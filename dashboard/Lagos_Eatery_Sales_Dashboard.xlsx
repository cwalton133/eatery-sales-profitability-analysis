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d79f432b9e48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a867fb305de4a09"/>
    <x:sheet xmlns:r="http://schemas.openxmlformats.org/officeDocument/2006/relationships" name="Analysis" sheetId="2" r:id="R332f953997ab483c"/>
    <x:sheet xmlns:r="http://schemas.openxmlformats.org/officeDocument/2006/relationships" name="Sales Data" sheetId="3" r:id="R3b0a0a8794434b10"/>
    <x:sheet xmlns:r="http://schemas.openxmlformats.org/officeDocument/2006/relationships" name="Menu &amp; Costs" sheetId="4" r:id="R088b2972d0d04a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₦#,##0;[Red](₦#,##0);-"/>
    <x:numFmt numFmtId="201" formatCode="#,##0"/>
    <x:numFmt numFmtId="202" formatCode="dd-mmm-yy"/>
    <x:numFmt numFmtId="203" formatCode="0"/>
    <x:numFmt numFmtId="204" formatCode="₦#,##0"/>
    <x:numFmt numFmtId="205" formatCode="0%"/>
    <x:numFmt numFmtId="206" formatCode="mmm-yy"/>
    <x:numFmt numFmtId="207" formatCode="0.0%"/>
    <x:numFmt numFmtId="208" formatCode="0.0"/>
  </x:numFmts>
  <x:fonts count="10">
    <x:font>
      <x:sz val="11"/>
      <x:name val="Carlito"/>
    </x:font>
    <x:font>
      <x:sz val="10"/>
      <x:color rgb="FF222222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b/>
      <x:sz val="15"/>
      <x:color rgb="FF17365D"/>
      <x:name val="Arial"/>
    </x:font>
    <x:font>
      <x:i/>
      <x:sz val="10"/>
      <x:color rgb="FF666666"/>
      <x:name val="Arial"/>
    </x:font>
    <x:font>
      <x:sz val="10"/>
      <x:color rgb="FF000000"/>
      <x:name val="Arial"/>
    </x:font>
    <x:font>
      <x:b/>
      <x:sz val="16"/>
      <x:color rgb="FF17365D"/>
      <x:name val="Arial"/>
    </x:font>
    <x:font>
      <x:b/>
      <x:sz val="14"/>
      <x:color rgb="FF17365D"/>
      <x:name val="Arial"/>
    </x:font>
    <x:font>
      <x:b/>
      <x:sz val="11"/>
      <x:color rgb="FF17365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4F7FB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</x:fills>
  <x:borders count="13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2F75B5"/>
      </x:bottom>
    </x:border>
    <x:border>
      <x:bottom style="thin">
        <x:color rgb="FFD9E2F3"/>
      </x:bottom>
    </x:border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right style="thin">
        <x:color rgb="FFFFFFFF"/>
      </x:right>
      <x:bottom style="thin">
        <x:color rgb="FFD9E2F3"/>
      </x:bottom>
    </x:border>
  </x:borders>
  <x:cellStyleXfs count="1">
    <x:xf numFmtId="0" fontId="0" fillId="0" borderId="0"/>
  </x:cellStyleXfs>
  <x:cellXfs count="17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0" borderId="4" xfId="0" applyNumberFormat="1" applyFont="1" applyFill="1" applyBorder="1"/>
    <x:xf numFmtId="0" fontId="1" fillId="0" borderId="5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/>
    <x:xf numFmtId="201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200" fontId="6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207" fontId="1" fillId="0" borderId="0" xfId="0" applyNumberFormat="1" applyFont="1" applyFill="1" applyBorder="1"/>
    <x:xf numFmtId="208" fontId="1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4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6" xfId="0" applyNumberFormat="1" applyFont="1" applyFill="1" applyBorder="1"/>
    <x:xf numFmtId="0" fontId="8" fillId="3" borderId="7" xfId="0" applyNumberFormat="1" applyFont="1" applyFill="1" applyBorder="1"/>
    <x:xf numFmtId="0" fontId="8" fillId="3" borderId="8" xfId="0" applyNumberFormat="1" applyFont="1" applyFill="1" applyBorder="1"/>
    <x:xf numFmtId="0" fontId="8" fillId="3" borderId="9" xfId="0" applyNumberFormat="1" applyFont="1" applyFill="1" applyBorder="1"/>
    <x:xf numFmtId="0" fontId="8" fillId="3" borderId="10" xfId="0" applyNumberFormat="1" applyFont="1" applyFill="1" applyBorder="1"/>
    <x:xf numFmtId="0" fontId="8" fillId="3" borderId="11" xfId="0" applyNumberFormat="1" applyFont="1" applyFill="1" applyBorder="1"/>
    <x:xf numFmtId="200" fontId="8" fillId="3" borderId="6" xfId="0" applyNumberFormat="1" applyFont="1" applyFill="1" applyBorder="1"/>
    <x:xf numFmtId="200" fontId="8" fillId="3" borderId="7" xfId="0" applyNumberFormat="1" applyFont="1" applyFill="1" applyBorder="1"/>
    <x:xf numFmtId="200" fontId="8" fillId="3" borderId="8" xfId="0" applyNumberFormat="1" applyFont="1" applyFill="1" applyBorder="1"/>
    <x:xf numFmtId="200" fontId="8" fillId="3" borderId="9" xfId="0" applyNumberFormat="1" applyFont="1" applyFill="1" applyBorder="1"/>
    <x:xf numFmtId="200" fontId="8" fillId="3" borderId="10" xfId="0" applyNumberFormat="1" applyFont="1" applyFill="1" applyBorder="1"/>
    <x:xf numFmtId="200" fontId="8" fillId="3" borderId="11" xfId="0" applyNumberFormat="1" applyFont="1" applyFill="1" applyBorder="1"/>
    <x:xf numFmtId="200" fontId="8" fillId="3" borderId="6" xfId="0" applyNumberFormat="1" applyFont="1" applyFill="1" applyBorder="1" applyAlignment="1">
      <x:alignment horizontal="center"/>
    </x:xf>
    <x:xf numFmtId="200" fontId="8" fillId="3" borderId="7" xfId="0" applyNumberFormat="1" applyFont="1" applyFill="1" applyBorder="1" applyAlignment="1">
      <x:alignment horizontal="center"/>
    </x:xf>
    <x:xf numFmtId="200" fontId="8" fillId="3" borderId="8" xfId="0" applyNumberFormat="1" applyFont="1" applyFill="1" applyBorder="1" applyAlignment="1">
      <x:alignment horizontal="center"/>
    </x:xf>
    <x:xf numFmtId="200" fontId="8" fillId="3" borderId="9" xfId="0" applyNumberFormat="1" applyFont="1" applyFill="1" applyBorder="1" applyAlignment="1">
      <x:alignment horizontal="center"/>
    </x:xf>
    <x:xf numFmtId="200" fontId="8" fillId="3" borderId="10" xfId="0" applyNumberFormat="1" applyFont="1" applyFill="1" applyBorder="1" applyAlignment="1">
      <x:alignment horizontal="center"/>
    </x:xf>
    <x:xf numFmtId="200" fontId="8" fillId="3" borderId="11" xfId="0" applyNumberFormat="1" applyFont="1" applyFill="1" applyBorder="1" applyAlignment="1">
      <x:alignment horizontal="center"/>
    </x:xf>
    <x:xf numFmtId="200" fontId="8" fillId="3" borderId="6" xfId="0" applyNumberFormat="1" applyFont="1" applyFill="1" applyBorder="1" applyAlignment="1">
      <x:alignment horizontal="center" vertical="center"/>
    </x:xf>
    <x:xf numFmtId="200" fontId="8" fillId="3" borderId="7" xfId="0" applyNumberFormat="1" applyFont="1" applyFill="1" applyBorder="1" applyAlignment="1">
      <x:alignment horizontal="center" vertical="center"/>
    </x:xf>
    <x:xf numFmtId="200" fontId="8" fillId="3" borderId="8" xfId="0" applyNumberFormat="1" applyFont="1" applyFill="1" applyBorder="1" applyAlignment="1">
      <x:alignment horizontal="center" vertical="center"/>
    </x:xf>
    <x:xf numFmtId="200" fontId="8" fillId="3" borderId="9" xfId="0" applyNumberFormat="1" applyFont="1" applyFill="1" applyBorder="1" applyAlignment="1">
      <x:alignment horizontal="center" vertical="center"/>
    </x:xf>
    <x:xf numFmtId="200" fontId="8" fillId="3" borderId="10" xfId="0" applyNumberFormat="1" applyFont="1" applyFill="1" applyBorder="1" applyAlignment="1">
      <x:alignment horizontal="center" vertical="center"/>
    </x:xf>
    <x:xf numFmtId="200" fontId="8" fillId="3" borderId="11" xfId="0" applyNumberFormat="1" applyFont="1" applyFill="1" applyBorder="1" applyAlignment="1">
      <x:alignment horizontal="center" vertical="center"/>
    </x:xf>
    <x:xf numFmtId="207" fontId="8" fillId="3" borderId="6" xfId="0" applyNumberFormat="1" applyFont="1" applyFill="1" applyBorder="1"/>
    <x:xf numFmtId="207" fontId="8" fillId="3" borderId="7" xfId="0" applyNumberFormat="1" applyFont="1" applyFill="1" applyBorder="1"/>
    <x:xf numFmtId="207" fontId="8" fillId="3" borderId="8" xfId="0" applyNumberFormat="1" applyFont="1" applyFill="1" applyBorder="1"/>
    <x:xf numFmtId="207" fontId="8" fillId="3" borderId="9" xfId="0" applyNumberFormat="1" applyFont="1" applyFill="1" applyBorder="1"/>
    <x:xf numFmtId="207" fontId="8" fillId="3" borderId="10" xfId="0" applyNumberFormat="1" applyFont="1" applyFill="1" applyBorder="1"/>
    <x:xf numFmtId="207" fontId="8" fillId="3" borderId="11" xfId="0" applyNumberFormat="1" applyFont="1" applyFill="1" applyBorder="1"/>
    <x:xf numFmtId="207" fontId="8" fillId="3" borderId="6" xfId="0" applyNumberFormat="1" applyFont="1" applyFill="1" applyBorder="1" applyAlignment="1">
      <x:alignment horizontal="center"/>
    </x:xf>
    <x:xf numFmtId="207" fontId="8" fillId="3" borderId="7" xfId="0" applyNumberFormat="1" applyFont="1" applyFill="1" applyBorder="1" applyAlignment="1">
      <x:alignment horizontal="center"/>
    </x:xf>
    <x:xf numFmtId="207" fontId="8" fillId="3" borderId="8" xfId="0" applyNumberFormat="1" applyFont="1" applyFill="1" applyBorder="1" applyAlignment="1">
      <x:alignment horizontal="center"/>
    </x:xf>
    <x:xf numFmtId="207" fontId="8" fillId="3" borderId="9" xfId="0" applyNumberFormat="1" applyFont="1" applyFill="1" applyBorder="1" applyAlignment="1">
      <x:alignment horizontal="center"/>
    </x:xf>
    <x:xf numFmtId="207" fontId="8" fillId="3" borderId="10" xfId="0" applyNumberFormat="1" applyFont="1" applyFill="1" applyBorder="1" applyAlignment="1">
      <x:alignment horizontal="center"/>
    </x:xf>
    <x:xf numFmtId="207" fontId="8" fillId="3" borderId="11" xfId="0" applyNumberFormat="1" applyFont="1" applyFill="1" applyBorder="1" applyAlignment="1">
      <x:alignment horizontal="center"/>
    </x:xf>
    <x:xf numFmtId="207" fontId="8" fillId="3" borderId="6" xfId="0" applyNumberFormat="1" applyFont="1" applyFill="1" applyBorder="1" applyAlignment="1">
      <x:alignment horizontal="center" vertical="center"/>
    </x:xf>
    <x:xf numFmtId="207" fontId="8" fillId="3" borderId="7" xfId="0" applyNumberFormat="1" applyFont="1" applyFill="1" applyBorder="1" applyAlignment="1">
      <x:alignment horizontal="center" vertical="center"/>
    </x:xf>
    <x:xf numFmtId="207" fontId="8" fillId="3" borderId="8" xfId="0" applyNumberFormat="1" applyFont="1" applyFill="1" applyBorder="1" applyAlignment="1">
      <x:alignment horizontal="center" vertical="center"/>
    </x:xf>
    <x:xf numFmtId="207" fontId="8" fillId="3" borderId="9" xfId="0" applyNumberFormat="1" applyFont="1" applyFill="1" applyBorder="1" applyAlignment="1">
      <x:alignment horizontal="center" vertical="center"/>
    </x:xf>
    <x:xf numFmtId="207" fontId="8" fillId="3" borderId="10" xfId="0" applyNumberFormat="1" applyFont="1" applyFill="1" applyBorder="1" applyAlignment="1">
      <x:alignment horizontal="center" vertical="center"/>
    </x:xf>
    <x:xf numFmtId="207" fontId="8" fillId="3" borderId="11" xfId="0" applyNumberFormat="1" applyFont="1" applyFill="1" applyBorder="1" applyAlignment="1">
      <x:alignment horizontal="center" vertical="center"/>
    </x:xf>
    <x:xf numFmtId="201" fontId="8" fillId="3" borderId="6" xfId="0" applyNumberFormat="1" applyFont="1" applyFill="1" applyBorder="1"/>
    <x:xf numFmtId="201" fontId="8" fillId="3" borderId="8" xfId="0" applyNumberFormat="1" applyFont="1" applyFill="1" applyBorder="1"/>
    <x:xf numFmtId="201" fontId="8" fillId="3" borderId="9" xfId="0" applyNumberFormat="1" applyFont="1" applyFill="1" applyBorder="1"/>
    <x:xf numFmtId="201" fontId="8" fillId="3" borderId="11" xfId="0" applyNumberFormat="1" applyFont="1" applyFill="1" applyBorder="1"/>
    <x:xf numFmtId="201" fontId="8" fillId="3" borderId="6" xfId="0" applyNumberFormat="1" applyFont="1" applyFill="1" applyBorder="1" applyAlignment="1">
      <x:alignment horizontal="center"/>
    </x:xf>
    <x:xf numFmtId="201" fontId="8" fillId="3" borderId="8" xfId="0" applyNumberFormat="1" applyFont="1" applyFill="1" applyBorder="1" applyAlignment="1">
      <x:alignment horizontal="center"/>
    </x:xf>
    <x:xf numFmtId="201" fontId="8" fillId="3" borderId="9" xfId="0" applyNumberFormat="1" applyFont="1" applyFill="1" applyBorder="1" applyAlignment="1">
      <x:alignment horizontal="center"/>
    </x:xf>
    <x:xf numFmtId="201" fontId="8" fillId="3" borderId="11" xfId="0" applyNumberFormat="1" applyFont="1" applyFill="1" applyBorder="1" applyAlignment="1">
      <x:alignment horizontal="center"/>
    </x:xf>
    <x:xf numFmtId="201" fontId="8" fillId="3" borderId="6" xfId="0" applyNumberFormat="1" applyFont="1" applyFill="1" applyBorder="1" applyAlignment="1">
      <x:alignment horizontal="center" vertical="center"/>
    </x:xf>
    <x:xf numFmtId="201" fontId="8" fillId="3" borderId="8" xfId="0" applyNumberFormat="1" applyFont="1" applyFill="1" applyBorder="1" applyAlignment="1">
      <x:alignment horizontal="center" vertical="center"/>
    </x:xf>
    <x:xf numFmtId="201" fontId="8" fillId="3" borderId="9" xfId="0" applyNumberFormat="1" applyFont="1" applyFill="1" applyBorder="1" applyAlignment="1">
      <x:alignment horizontal="center" vertical="center"/>
    </x:xf>
    <x:xf numFmtId="201" fontId="8" fillId="3" borderId="11" xfId="0" applyNumberFormat="1" applyFont="1" applyFill="1" applyBorder="1" applyAlignment="1">
      <x:alignment horizontal="center" vertical="center"/>
    </x:xf>
    <x:xf numFmtId="201" fontId="8" fillId="3" borderId="7" xfId="0" applyNumberFormat="1" applyFont="1" applyFill="1" applyBorder="1"/>
    <x:xf numFmtId="201" fontId="8" fillId="3" borderId="10" xfId="0" applyNumberFormat="1" applyFont="1" applyFill="1" applyBorder="1"/>
    <x:xf numFmtId="201" fontId="8" fillId="3" borderId="7" xfId="0" applyNumberFormat="1" applyFont="1" applyFill="1" applyBorder="1" applyAlignment="1">
      <x:alignment horizontal="center"/>
    </x:xf>
    <x:xf numFmtId="201" fontId="8" fillId="3" borderId="10" xfId="0" applyNumberFormat="1" applyFont="1" applyFill="1" applyBorder="1" applyAlignment="1">
      <x:alignment horizontal="center"/>
    </x:xf>
    <x:xf numFmtId="201" fontId="8" fillId="3" borderId="7" xfId="0" applyNumberFormat="1" applyFont="1" applyFill="1" applyBorder="1" applyAlignment="1">
      <x:alignment horizontal="center" vertical="center"/>
    </x:xf>
    <x:xf numFmtId="201" fontId="8" fillId="3" borderId="10" xfId="0" applyNumberFormat="1" applyFont="1" applyFill="1" applyBorder="1" applyAlignment="1">
      <x:alignment horizontal="center" vertical="center"/>
    </x:xf>
    <x:xf numFmtId="204" fontId="8" fillId="3" borderId="6" xfId="0" applyNumberFormat="1" applyFont="1" applyFill="1" applyBorder="1"/>
    <x:xf numFmtId="204" fontId="8" fillId="3" borderId="7" xfId="0" applyNumberFormat="1" applyFont="1" applyFill="1" applyBorder="1"/>
    <x:xf numFmtId="204" fontId="8" fillId="3" borderId="8" xfId="0" applyNumberFormat="1" applyFont="1" applyFill="1" applyBorder="1"/>
    <x:xf numFmtId="204" fontId="8" fillId="3" borderId="9" xfId="0" applyNumberFormat="1" applyFont="1" applyFill="1" applyBorder="1"/>
    <x:xf numFmtId="204" fontId="8" fillId="3" borderId="10" xfId="0" applyNumberFormat="1" applyFont="1" applyFill="1" applyBorder="1"/>
    <x:xf numFmtId="204" fontId="8" fillId="3" borderId="11" xfId="0" applyNumberFormat="1" applyFont="1" applyFill="1" applyBorder="1"/>
    <x:xf numFmtId="204" fontId="8" fillId="3" borderId="6" xfId="0" applyNumberFormat="1" applyFont="1" applyFill="1" applyBorder="1" applyAlignment="1">
      <x:alignment horizontal="center"/>
    </x:xf>
    <x:xf numFmtId="204" fontId="8" fillId="3" borderId="7" xfId="0" applyNumberFormat="1" applyFont="1" applyFill="1" applyBorder="1" applyAlignment="1">
      <x:alignment horizontal="center"/>
    </x:xf>
    <x:xf numFmtId="204" fontId="8" fillId="3" borderId="8" xfId="0" applyNumberFormat="1" applyFont="1" applyFill="1" applyBorder="1" applyAlignment="1">
      <x:alignment horizontal="center"/>
    </x:xf>
    <x:xf numFmtId="204" fontId="8" fillId="3" borderId="9" xfId="0" applyNumberFormat="1" applyFont="1" applyFill="1" applyBorder="1" applyAlignment="1">
      <x:alignment horizontal="center"/>
    </x:xf>
    <x:xf numFmtId="204" fontId="8" fillId="3" borderId="10" xfId="0" applyNumberFormat="1" applyFont="1" applyFill="1" applyBorder="1" applyAlignment="1">
      <x:alignment horizontal="center"/>
    </x:xf>
    <x:xf numFmtId="204" fontId="8" fillId="3" borderId="11" xfId="0" applyNumberFormat="1" applyFont="1" applyFill="1" applyBorder="1" applyAlignment="1">
      <x:alignment horizontal="center"/>
    </x:xf>
    <x:xf numFmtId="204" fontId="8" fillId="3" borderId="6" xfId="0" applyNumberFormat="1" applyFont="1" applyFill="1" applyBorder="1" applyAlignment="1">
      <x:alignment horizontal="center" vertical="center"/>
    </x:xf>
    <x:xf numFmtId="204" fontId="8" fillId="3" borderId="7" xfId="0" applyNumberFormat="1" applyFont="1" applyFill="1" applyBorder="1" applyAlignment="1">
      <x:alignment horizontal="center" vertical="center"/>
    </x:xf>
    <x:xf numFmtId="204" fontId="8" fillId="3" borderId="8" xfId="0" applyNumberFormat="1" applyFont="1" applyFill="1" applyBorder="1" applyAlignment="1">
      <x:alignment horizontal="center" vertical="center"/>
    </x:xf>
    <x:xf numFmtId="204" fontId="8" fillId="3" borderId="9" xfId="0" applyNumberFormat="1" applyFont="1" applyFill="1" applyBorder="1" applyAlignment="1">
      <x:alignment horizontal="center" vertical="center"/>
    </x:xf>
    <x:xf numFmtId="204" fontId="8" fillId="3" borderId="10" xfId="0" applyNumberFormat="1" applyFont="1" applyFill="1" applyBorder="1" applyAlignment="1">
      <x:alignment horizontal="center" vertical="center"/>
    </x:xf>
    <x:xf numFmtId="204" fontId="8" fillId="3" borderId="11" xfId="0" applyNumberFormat="1" applyFont="1" applyFill="1" applyBorder="1" applyAlignment="1">
      <x:alignment horizontal="center" vertical="center"/>
    </x:xf>
    <x:xf numFmtId="208" fontId="8" fillId="3" borderId="6" xfId="0" applyNumberFormat="1" applyFont="1" applyFill="1" applyBorder="1"/>
    <x:xf numFmtId="208" fontId="8" fillId="3" borderId="7" xfId="0" applyNumberFormat="1" applyFont="1" applyFill="1" applyBorder="1"/>
    <x:xf numFmtId="208" fontId="8" fillId="3" borderId="8" xfId="0" applyNumberFormat="1" applyFont="1" applyFill="1" applyBorder="1"/>
    <x:xf numFmtId="208" fontId="8" fillId="3" borderId="9" xfId="0" applyNumberFormat="1" applyFont="1" applyFill="1" applyBorder="1"/>
    <x:xf numFmtId="208" fontId="8" fillId="3" borderId="10" xfId="0" applyNumberFormat="1" applyFont="1" applyFill="1" applyBorder="1"/>
    <x:xf numFmtId="208" fontId="8" fillId="3" borderId="11" xfId="0" applyNumberFormat="1" applyFont="1" applyFill="1" applyBorder="1"/>
    <x:xf numFmtId="208" fontId="8" fillId="3" borderId="6" xfId="0" applyNumberFormat="1" applyFont="1" applyFill="1" applyBorder="1" applyAlignment="1">
      <x:alignment horizontal="center"/>
    </x:xf>
    <x:xf numFmtId="208" fontId="8" fillId="3" borderId="7" xfId="0" applyNumberFormat="1" applyFont="1" applyFill="1" applyBorder="1" applyAlignment="1">
      <x:alignment horizontal="center"/>
    </x:xf>
    <x:xf numFmtId="208" fontId="8" fillId="3" borderId="8" xfId="0" applyNumberFormat="1" applyFont="1" applyFill="1" applyBorder="1" applyAlignment="1">
      <x:alignment horizontal="center"/>
    </x:xf>
    <x:xf numFmtId="208" fontId="8" fillId="3" borderId="9" xfId="0" applyNumberFormat="1" applyFont="1" applyFill="1" applyBorder="1" applyAlignment="1">
      <x:alignment horizontal="center"/>
    </x:xf>
    <x:xf numFmtId="208" fontId="8" fillId="3" borderId="10" xfId="0" applyNumberFormat="1" applyFont="1" applyFill="1" applyBorder="1" applyAlignment="1">
      <x:alignment horizontal="center"/>
    </x:xf>
    <x:xf numFmtId="208" fontId="8" fillId="3" borderId="11" xfId="0" applyNumberFormat="1" applyFont="1" applyFill="1" applyBorder="1" applyAlignment="1">
      <x:alignment horizontal="center"/>
    </x:xf>
    <x:xf numFmtId="208" fontId="8" fillId="3" borderId="6" xfId="0" applyNumberFormat="1" applyFont="1" applyFill="1" applyBorder="1" applyAlignment="1">
      <x:alignment horizontal="center" vertical="center"/>
    </x:xf>
    <x:xf numFmtId="208" fontId="8" fillId="3" borderId="7" xfId="0" applyNumberFormat="1" applyFont="1" applyFill="1" applyBorder="1" applyAlignment="1">
      <x:alignment horizontal="center" vertical="center"/>
    </x:xf>
    <x:xf numFmtId="208" fontId="8" fillId="3" borderId="8" xfId="0" applyNumberFormat="1" applyFont="1" applyFill="1" applyBorder="1" applyAlignment="1">
      <x:alignment horizontal="center" vertical="center"/>
    </x:xf>
    <x:xf numFmtId="208" fontId="8" fillId="3" borderId="9" xfId="0" applyNumberFormat="1" applyFont="1" applyFill="1" applyBorder="1" applyAlignment="1">
      <x:alignment horizontal="center" vertical="center"/>
    </x:xf>
    <x:xf numFmtId="208" fontId="8" fillId="3" borderId="10" xfId="0" applyNumberFormat="1" applyFont="1" applyFill="1" applyBorder="1" applyAlignment="1">
      <x:alignment horizontal="center" vertical="center"/>
    </x:xf>
    <x:xf numFmtId="208" fontId="8" fillId="3" borderId="1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4" xfId="0" applyNumberFormat="1" applyFont="1" applyFill="1" applyBorder="1"/>
    <x:xf numFmtId="207" fontId="1" fillId="0" borderId="1" xfId="0" applyNumberFormat="1" applyFont="1" applyFill="1" applyBorder="1"/>
    <x:xf numFmtId="0" fontId="1" fillId="0" borderId="5" xfId="0" applyNumberFormat="1" applyFont="1" applyFill="1" applyBorder="1"/>
    <x:xf numFmtId="204" fontId="1" fillId="0" borderId="5" xfId="0" applyNumberFormat="1" applyFont="1" applyFill="1" applyBorder="1"/>
    <x:xf numFmtId="207" fontId="1" fillId="0" borderId="1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504a903cde45de" /><Relationship Type="http://schemas.openxmlformats.org/officeDocument/2006/relationships/theme" Target="/xl/theme/theme1.xml" Id="R5db7cbd5b5684127" /><Relationship Type="http://schemas.openxmlformats.org/officeDocument/2006/relationships/sharedStrings" Target="/xl/sharedStrings.xml" Id="R8409d43b452b4f8e" /><Relationship Type="http://schemas.openxmlformats.org/officeDocument/2006/relationships/worksheet" Target="/xl/worksheets/sheet1.xml" Id="Rda867fb305de4a09" /><Relationship Type="http://schemas.openxmlformats.org/officeDocument/2006/relationships/worksheet" Target="/xl/worksheets/sheet2.xml" Id="R332f953997ab483c" /><Relationship Type="http://schemas.openxmlformats.org/officeDocument/2006/relationships/worksheet" Target="/xl/worksheets/sheet3.xml" Id="R3b0a0a8794434b10" /><Relationship Type="http://schemas.openxmlformats.org/officeDocument/2006/relationships/worksheet" Target="/xl/worksheets/sheet4.xml" Id="R088b2972d0d04a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c41bc5a73b949c9" /><Relationship Type="http://schemas.openxmlformats.org/officeDocument/2006/relationships/chart" Target="/xl/drawings/charts/chart2.xml" Id="Rcddf307f08034ca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 and gross profit (₦)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Revenue (₦)</c:v>
          </c:tx>
          <c:spPr>
            <a:ln xmlns:a="http://schemas.openxmlformats.org/drawingml/2006/main" w="19050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'Dashboard'!$A$15:$A$22</c:f>
              <c:strCache>
                <c:ptCount val="0"/>
              </c:strCache>
            </c:strRef>
          </c:cat>
          <c:val>
            <c:numRef>
              <c:f>'Dashboard'!$B$15:$B$22</c:f>
              <c:numCache>
                <c:formatCode>₦#,##0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Gross Profit (₦)</c:v>
          </c:tx>
          <c:spPr>
            <a:ln xmlns:a="http://schemas.openxmlformats.org/drawingml/2006/main" w="19050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'Dashboard'!$A$15:$A$22</c:f>
              <c:strCache>
                <c:ptCount val="0"/>
              </c:strCache>
            </c:strRef>
          </c:cat>
          <c:val>
            <c:numRef>
              <c:f>'Dashboard'!$C$15:$C$22</c:f>
              <c:numCache>
                <c:formatCode>₦#,##0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from selected dishes (₦)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Revenue (₦)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'Dashboard'!$A$27:$A$31</c:f>
              <c:strCache>
                <c:ptCount val="0"/>
              </c:strCache>
            </c:strRef>
          </c:cat>
          <c:val>
            <c:numRef>
              <c:f>'Dashboard'!$C$27:$C$31</c:f>
              <c:numCache>
                <c:formatCode>₦#,##0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41bc5a73b949c9"/>
        </a:graphicData>
      </a:graphic>
    </xdr:graphicFrame>
    <xdr:clientData/>
  </xdr:twoCellAnchor>
  <xdr:twoCellAnchor>
    <xdr:from>
      <xdr:col>5</xdr:col>
      <xdr:colOff>0</xdr:colOff>
      <xdr:row>25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df307f08034ca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SalesTransactions" displayName="SalesTransactions" ref="A1:R1801" headerRowCount="1" totalsRowCount="0" totalsRowShown="0">
  <x:autoFilter ref="A1:R1801"/>
  <x:tableColumns count="18">
    <x:tableColumn id="1" name="Order ID"/>
    <x:tableColumn id="2" name="Date"/>
    <x:tableColumn id="3" name="Customer ID"/>
    <x:tableColumn id="4" name="Item Code"/>
    <x:tableColumn id="5" name="Dish"/>
    <x:tableColumn id="6" name="Category"/>
    <x:tableColumn id="7" name="Quantity"/>
    <x:tableColumn id="8" name="Unit Price (₦)"/>
    <x:tableColumn id="9" name="Discount %"/>
    <x:tableColumn id="10" name="Revenue (₦)"/>
    <x:tableColumn id="11" name="Unit Cost (₦)"/>
    <x:tableColumn id="12" name="Total Cost (₦)"/>
    <x:tableColumn id="13" name="Gross Profit (₦)"/>
    <x:tableColumn id="14" name="Order Channel"/>
    <x:tableColumn id="15" name="Payment Method"/>
    <x:tableColumn id="16" name="Meal Period"/>
    <x:tableColumn id="17" name="Hour"/>
    <x:tableColumn id="18" name="Rat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MenuCostTable" displayName="MenuCostTable" ref="A4:F16" headerRowCount="1" totalsRowCount="0" totalsRowShown="0">
  <x:autoFilter ref="A4:F16"/>
  <x:tableColumns count="6">
    <x:tableColumn id="1" name="Item Code"/>
    <x:tableColumn id="2" name="Dish"/>
    <x:tableColumn id="3" name="Category"/>
    <x:tableColumn id="4" name="Unit Price (₦)"/>
    <x:tableColumn id="5" name="Unit Cost (₦)"/>
    <x:tableColumn id="6" name="Opening Stock (portions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9c91524fa6449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be2fa77cb3d44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ba1cc1dcb394da4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56" t="str">
        <x:v>Lagos Eatery Sales Dashboard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7" t="str">
        <x:v>Performance summary | January–August 2026 | Nigerian naira (₦)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22" customHeight="1">
      <x:c r="A4" s="58" t="str">
        <x:v>Total Revenue</x:v>
      </x:c>
      <x:c r="B4" s="58" t="str">
        <x:v>Total Revenue</x:v>
      </x:c>
      <x:c r="C4" s="58" t="str">
        <x:v>Total Revenue</x:v>
      </x:c>
      <x:c r="D4" s="1"/>
      <x:c r="E4" s="58" t="str">
        <x:v>Gross Profit</x:v>
      </x:c>
      <x:c r="F4" s="58" t="str">
        <x:v>Gross Profit</x:v>
      </x:c>
      <x:c r="G4" s="58" t="str">
        <x:v>Gross Profit</x:v>
      </x:c>
      <x:c r="H4" s="1"/>
      <x:c r="I4" s="58" t="str">
        <x:v>Gross Margin</x:v>
      </x:c>
      <x:c r="J4" s="58" t="str">
        <x:v>Gross Margin</x:v>
      </x:c>
      <x:c r="K4" s="58" t="str">
        <x:v>Gross Margin</x:v>
      </x:c>
      <x:c r="L4" s="1"/>
      <x:c r="M4" s="58" t="str">
        <x:v>Orders</x:v>
      </x:c>
      <x:c r="N4" s="58" t="str">
        <x:v>Orders</x:v>
      </x:c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28" customHeight="1">
      <x:c r="A5" s="79" t="n">
        <x:f>SUM('Sales Data'!$J$2:$J$1801)</x:f>
        <x:v>10204965</x:v>
      </x:c>
      <x:c r="B5" s="80"/>
      <x:c r="C5" s="81"/>
      <x:c r="D5" s="1"/>
      <x:c r="E5" s="79" t="n">
        <x:f>SUM('Sales Data'!$M$2:$M$1801)</x:f>
        <x:v>5055025</x:v>
      </x:c>
      <x:c r="F5" s="80"/>
      <x:c r="G5" s="81"/>
      <x:c r="H5" s="1"/>
      <x:c r="I5" s="97" t="n">
        <x:f>IF(A5=0,"n.a.",E5/A5)</x:f>
        <x:v>0.4953495675879339</x:v>
      </x:c>
      <x:c r="J5" s="98"/>
      <x:c r="K5" s="99"/>
      <x:c r="L5" s="1"/>
      <x:c r="M5" s="111" t="n">
        <x:f>COUNTA('Sales Data'!$A$2:$A$1801)</x:f>
        <x:v>1800</x:v>
      </x:c>
      <x:c r="N5" s="112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28" customHeight="1">
      <x:c r="A6" s="82"/>
      <x:c r="B6" s="83"/>
      <x:c r="C6" s="84"/>
      <x:c r="D6" s="1"/>
      <x:c r="E6" s="82"/>
      <x:c r="F6" s="83"/>
      <x:c r="G6" s="84"/>
      <x:c r="H6" s="1"/>
      <x:c r="I6" s="100"/>
      <x:c r="J6" s="101"/>
      <x:c r="K6" s="102"/>
      <x:c r="L6" s="1"/>
      <x:c r="M6" s="113"/>
      <x:c r="N6" s="114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2" customHeight="1">
      <x:c r="A8" s="58" t="str">
        <x:v>Quantity Sold</x:v>
      </x:c>
      <x:c r="B8" s="58" t="str">
        <x:v>Quantity Sold</x:v>
      </x:c>
      <x:c r="C8" s="58" t="str">
        <x:v>Quantity Sold</x:v>
      </x:c>
      <x:c r="D8" s="1"/>
      <x:c r="E8" s="58" t="str">
        <x:v>Average Order Value</x:v>
      </x:c>
      <x:c r="F8" s="58" t="str">
        <x:v>Average Order Value</x:v>
      </x:c>
      <x:c r="G8" s="58" t="str">
        <x:v>Average Order Value</x:v>
      </x:c>
      <x:c r="H8" s="1"/>
      <x:c r="I8" s="58" t="str">
        <x:v>Average Rating</x:v>
      </x:c>
      <x:c r="J8" s="58" t="str">
        <x:v>Average Rating</x:v>
      </x:c>
      <x:c r="K8" s="58" t="str">
        <x:v>Average Rating</x:v>
      </x:c>
      <x:c r="L8" s="1"/>
      <x:c r="M8" s="58" t="str">
        <x:v>Customers</x:v>
      </x:c>
      <x:c r="N8" s="58" t="str">
        <x:v>Customers</x:v>
      </x:c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8" customHeight="1">
      <x:c r="A9" s="111" t="n">
        <x:f>SUM('Sales Data'!$G$2:$G$1801)</x:f>
        <x:v>4549</x:v>
      </x:c>
      <x:c r="B9" s="119"/>
      <x:c r="C9" s="112"/>
      <x:c r="D9" s="1"/>
      <x:c r="E9" s="133" t="n">
        <x:f>IF(M5=0,"n.a.",A5/M5)</x:f>
        <x:v>5669.425</x:v>
      </x:c>
      <x:c r="F9" s="134"/>
      <x:c r="G9" s="135"/>
      <x:c r="H9" s="1"/>
      <x:c r="I9" s="151" t="n">
        <x:f>AVERAGE('Sales Data'!$R$2:$R$1801)</x:f>
        <x:v>4.269364161849711</x:v>
      </x:c>
      <x:c r="J9" s="152"/>
      <x:c r="K9" s="153"/>
      <x:c r="L9" s="1"/>
      <x:c r="M9" s="111" t="n">
        <x:v>615</x:v>
      </x:c>
      <x:c r="N9" s="112" t="n">
        <x:v>615</x:v>
      </x:c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28" customHeight="1">
      <x:c r="A10" s="113"/>
      <x:c r="B10" s="120"/>
      <x:c r="C10" s="114"/>
      <x:c r="D10" s="1"/>
      <x:c r="E10" s="136"/>
      <x:c r="F10" s="137"/>
      <x:c r="G10" s="138"/>
      <x:c r="H10" s="1"/>
      <x:c r="I10" s="154"/>
      <x:c r="J10" s="155"/>
      <x:c r="K10" s="156"/>
      <x:c r="L10" s="1"/>
      <x:c r="M10" s="113" t="n">
        <x:v>615</x:v>
      </x:c>
      <x:c r="N10" s="114" t="n">
        <x:v>615</x:v>
      </x:c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70" t="str">
        <x:v>Monthly results</x:v>
      </x:c>
      <x:c r="B13" s="170"/>
      <x:c r="C13" s="170"/>
      <x:c r="D13" s="170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65" t="str">
        <x:v>Month</x:v>
      </x:c>
      <x:c r="B14" s="166" t="str">
        <x:v>Revenue (₦)</x:v>
      </x:c>
      <x:c r="C14" s="166" t="str">
        <x:v>Gross Profit (₦)</x:v>
      </x:c>
      <x:c r="D14" s="166" t="str">
        <x:v>Margin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 t="str">
        <x:v>Jan-26</x:v>
      </x:c>
      <x:c r="B15" s="25" t="n">
        <x:f>Analysis!B5</x:f>
        <x:v>1354100</x:v>
      </x:c>
      <x:c r="C15" s="25" t="n">
        <x:f>Analysis!D5</x:f>
        <x:v>672270</x:v>
      </x:c>
      <x:c r="D15" s="171" t="n">
        <x:f>Analysis!E5</x:f>
        <x:v>0.4964699800605568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 t="str">
        <x:v>Feb-26</x:v>
      </x:c>
      <x:c r="B16" s="25" t="n">
        <x:f>Analysis!B6</x:f>
        <x:v>1268395</x:v>
      </x:c>
      <x:c r="C16" s="25" t="n">
        <x:f>Analysis!D6</x:f>
        <x:v>628815</x:v>
      </x:c>
      <x:c r="D16" s="171" t="n">
        <x:f>Analysis!E6</x:f>
        <x:v>0.49575644810961883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 t="str">
        <x:v>Mar-26</x:v>
      </x:c>
      <x:c r="B17" s="25" t="n">
        <x:f>Analysis!B7</x:f>
        <x:v>1412820</x:v>
      </x:c>
      <x:c r="C17" s="25" t="n">
        <x:f>Analysis!D7</x:f>
        <x:v>698430</x:v>
      </x:c>
      <x:c r="D17" s="171" t="n">
        <x:f>Analysis!E7</x:f>
        <x:v>0.4943517220877394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 t="str">
        <x:v>Apr-26</x:v>
      </x:c>
      <x:c r="B18" s="25" t="n">
        <x:f>Analysis!B8</x:f>
        <x:v>1358850</x:v>
      </x:c>
      <x:c r="C18" s="25" t="n">
        <x:f>Analysis!D8</x:f>
        <x:v>677280</x:v>
      </x:c>
      <x:c r="D18" s="171" t="n">
        <x:f>Analysis!E8</x:f>
        <x:v>0.498421459322221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 t="str">
        <x:v>May-26</x:v>
      </x:c>
      <x:c r="B19" s="25" t="n">
        <x:f>Analysis!B9</x:f>
        <x:v>1246680</x:v>
      </x:c>
      <x:c r="C19" s="25" t="n">
        <x:f>Analysis!D9</x:f>
        <x:v>615460</x:v>
      </x:c>
      <x:c r="D19" s="171" t="n">
        <x:f>Analysis!E9</x:f>
        <x:v>0.49367921198703757</x:v>
      </x:c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 t="str">
        <x:v>Jun-26</x:v>
      </x:c>
      <x:c r="B20" s="25" t="n">
        <x:f>Analysis!B10</x:f>
        <x:v>1183360</x:v>
      </x:c>
      <x:c r="C20" s="25" t="n">
        <x:f>Analysis!D10</x:f>
        <x:v>585460</x:v>
      </x:c>
      <x:c r="D20" s="171" t="n">
        <x:f>Analysis!E10</x:f>
        <x:v>0.49474378042184963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 t="str">
        <x:v>Jul-26</x:v>
      </x:c>
      <x:c r="B21" s="25" t="n">
        <x:f>Analysis!B11</x:f>
        <x:v>1179885</x:v>
      </x:c>
      <x:c r="C21" s="25" t="n">
        <x:f>Analysis!D11</x:f>
        <x:v>579995</x:v>
      </x:c>
      <x:c r="D21" s="171" t="n">
        <x:f>Analysis!E11</x:f>
        <x:v>0.4915690935981049</x:v>
      </x:c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72" t="str">
        <x:v>Aug-26</x:v>
      </x:c>
      <x:c r="B22" s="173" t="n">
        <x:f>Analysis!B12</x:f>
        <x:v>1200875</x:v>
      </x:c>
      <x:c r="C22" s="173" t="n">
        <x:f>Analysis!D12</x:f>
        <x:v>597315</x:v>
      </x:c>
      <x:c r="D22" s="174" t="n">
        <x:f>Analysis!E12</x:f>
        <x:v>0.49739981263661914</x:v>
      </x:c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70" t="str">
        <x:v>Top dishes by revenue</x:v>
      </x:c>
      <x:c r="B25" s="170"/>
      <x:c r="C25" s="170"/>
      <x:c r="D25" s="170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65" t="str">
        <x:v>Dish</x:v>
      </x:c>
      <x:c r="B26" s="166" t="str">
        <x:v>Category</x:v>
      </x:c>
      <x:c r="C26" s="166" t="str">
        <x:v>Revenue (₦)</x:v>
      </x:c>
      <x:c r="D26" s="166" t="str">
        <x:v>Revenue Share</x:v>
      </x:c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 t="str">
        <x:v>Jollof Rice &amp; Chicken</x:v>
      </x:c>
      <x:c r="B27" s="1" t="str">
        <x:v>Rice Meals</x:v>
      </x:c>
      <x:c r="C27" s="25" t="n">
        <x:f>SUMIFS('Sales Data'!$J$2:$J$1801,'Sales Data'!$E$2:$E$1801,A27)</x:f>
        <x:v>2048760</x:v>
      </x:c>
      <x:c r="D27" s="171" t="n">
        <x:f>C27/$A$5</x:f>
        <x:v>0.20076110011156334</x:v>
      </x:c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 t="str">
        <x:v>Fried Rice &amp; Chicken</x:v>
      </x:c>
      <x:c r="B28" s="1" t="str">
        <x:v>Rice Meals</x:v>
      </x:c>
      <x:c r="C28" s="25" t="n">
        <x:f>SUMIFS('Sales Data'!$J$2:$J$1801,'Sales Data'!$E$2:$E$1801,A28)</x:f>
        <x:v>1983750</x:v>
      </x:c>
      <x:c r="D28" s="171" t="n">
        <x:f>C28/$A$5</x:f>
        <x:v>0.19439067159955964</x:v>
      </x:c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 t="str">
        <x:v>White Rice &amp; Stew</x:v>
      </x:c>
      <x:c r="B29" s="1" t="str">
        <x:v>Rice Meals</x:v>
      </x:c>
      <x:c r="C29" s="25" t="n">
        <x:f>SUMIFS('Sales Data'!$J$2:$J$1801,'Sales Data'!$E$2:$E$1801,A29)</x:f>
        <x:v>1284210</x:v>
      </x:c>
      <x:c r="D29" s="171" t="n">
        <x:f>C29/$A$5</x:f>
        <x:v>0.1258416858852529</x:v>
      </x:c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 t="str">
        <x:v>Eba &amp; Egusi Soup</x:v>
      </x:c>
      <x:c r="B30" s="1" t="str">
        <x:v>Swallow</x:v>
      </x:c>
      <x:c r="C30" s="25" t="n">
        <x:f>SUMIFS('Sales Data'!$J$2:$J$1801,'Sales Data'!$E$2:$E$1801,A30)</x:f>
        <x:v>1227980</x:v>
      </x:c>
      <x:c r="D30" s="171" t="n">
        <x:f>C30/$A$5</x:f>
        <x:v>0.1203316228914063</x:v>
      </x:c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72" t="str">
        <x:v>Pounded Yam &amp; Vegetable Soup</x:v>
      </x:c>
      <x:c r="B31" s="172" t="str">
        <x:v>Swallow</x:v>
      </x:c>
      <x:c r="C31" s="173" t="n">
        <x:f>SUMIFS('Sales Data'!$J$2:$J$1801,'Sales Data'!$E$2:$E$1801,A31)</x:f>
        <x:v>902400</x:v>
      </x:c>
      <x:c r="D31" s="174" t="n">
        <x:f>C31/$A$5</x:f>
        <x:v>0.08842754482744429</x:v>
      </x:c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  <x:row r="2001">
      <x:c r="A2001" s="1"/>
      <x:c r="B2001" s="1"/>
      <x:c r="C2001" s="1"/>
      <x:c r="D2001" s="1"/>
      <x:c r="E2001" s="1"/>
      <x:c r="F2001" s="1"/>
      <x:c r="G2001" s="1"/>
      <x:c r="H2001" s="1"/>
      <x:c r="I2001" s="1"/>
      <x:c r="J2001" s="1"/>
      <x:c r="K2001" s="1"/>
      <x:c r="L2001" s="1"/>
      <x:c r="M2001" s="1"/>
      <x:c r="N2001" s="1"/>
      <x:c r="O2001" s="1"/>
      <x:c r="P2001" s="1"/>
      <x:c r="Q2001" s="1"/>
      <x:c r="R2001" s="1"/>
      <x:c r="S2001" s="1"/>
      <x:c r="T2001" s="1"/>
      <x:c r="U2001" s="1"/>
      <x:c r="V2001" s="1"/>
      <x:c r="W2001" s="1"/>
      <x:c r="X2001" s="1"/>
      <x:c r="Y2001" s="1"/>
      <x:c r="Z2001" s="1"/>
    </x:row>
    <x:row r="2002">
      <x:c r="A2002" s="1"/>
      <x:c r="B2002" s="1"/>
      <x:c r="C2002" s="1"/>
      <x:c r="D2002" s="1"/>
      <x:c r="E2002" s="1"/>
      <x:c r="F2002" s="1"/>
      <x:c r="G2002" s="1"/>
      <x:c r="H2002" s="1"/>
      <x:c r="I2002" s="1"/>
      <x:c r="J2002" s="1"/>
      <x:c r="K2002" s="1"/>
      <x:c r="L2002" s="1"/>
      <x:c r="M2002" s="1"/>
      <x:c r="N2002" s="1"/>
      <x:c r="O2002" s="1"/>
      <x:c r="P2002" s="1"/>
      <x:c r="Q2002" s="1"/>
      <x:c r="R2002" s="1"/>
      <x:c r="S2002" s="1"/>
      <x:c r="T2002" s="1"/>
      <x:c r="U2002" s="1"/>
      <x:c r="V2002" s="1"/>
      <x:c r="W2002" s="1"/>
      <x:c r="X2002" s="1"/>
      <x:c r="Y2002" s="1"/>
      <x:c r="Z2002" s="1"/>
    </x:row>
    <x:row r="2003">
      <x:c r="A2003" s="1"/>
      <x:c r="B2003" s="1"/>
      <x:c r="C2003" s="1"/>
      <x:c r="D2003" s="1"/>
      <x:c r="E2003" s="1"/>
      <x:c r="F2003" s="1"/>
      <x:c r="G2003" s="1"/>
      <x:c r="H2003" s="1"/>
      <x:c r="I2003" s="1"/>
      <x:c r="J2003" s="1"/>
      <x:c r="K2003" s="1"/>
      <x:c r="L2003" s="1"/>
      <x:c r="M2003" s="1"/>
      <x:c r="N2003" s="1"/>
      <x:c r="O2003" s="1"/>
      <x:c r="P2003" s="1"/>
      <x:c r="Q2003" s="1"/>
      <x:c r="R2003" s="1"/>
      <x:c r="S2003" s="1"/>
      <x:c r="T2003" s="1"/>
      <x:c r="U2003" s="1"/>
      <x:c r="V2003" s="1"/>
      <x:c r="W2003" s="1"/>
      <x:c r="X2003" s="1"/>
      <x:c r="Y2003" s="1"/>
      <x:c r="Z2003" s="1"/>
    </x:row>
    <x:row r="2004">
      <x:c r="A2004" s="1"/>
      <x:c r="B2004" s="1"/>
      <x:c r="C2004" s="1"/>
      <x:c r="D2004" s="1"/>
      <x:c r="E2004" s="1"/>
      <x:c r="F2004" s="1"/>
      <x:c r="G2004" s="1"/>
      <x:c r="H2004" s="1"/>
      <x:c r="I2004" s="1"/>
      <x:c r="J2004" s="1"/>
      <x:c r="K2004" s="1"/>
      <x:c r="L2004" s="1"/>
      <x:c r="M2004" s="1"/>
      <x:c r="N2004" s="1"/>
      <x:c r="O2004" s="1"/>
      <x:c r="P2004" s="1"/>
      <x:c r="Q2004" s="1"/>
      <x:c r="R2004" s="1"/>
      <x:c r="S2004" s="1"/>
      <x:c r="T2004" s="1"/>
      <x:c r="U2004" s="1"/>
      <x:c r="V2004" s="1"/>
      <x:c r="W2004" s="1"/>
      <x:c r="X2004" s="1"/>
      <x:c r="Y2004" s="1"/>
      <x:c r="Z2004" s="1"/>
    </x:row>
    <x:row r="2005">
      <x:c r="A2005" s="1"/>
      <x:c r="B2005" s="1"/>
      <x:c r="C2005" s="1"/>
      <x:c r="D2005" s="1"/>
      <x:c r="E2005" s="1"/>
      <x:c r="F2005" s="1"/>
      <x:c r="G2005" s="1"/>
      <x:c r="H2005" s="1"/>
      <x:c r="I2005" s="1"/>
      <x:c r="J2005" s="1"/>
      <x:c r="K2005" s="1"/>
      <x:c r="L2005" s="1"/>
      <x:c r="M2005" s="1"/>
      <x:c r="N2005" s="1"/>
      <x:c r="O2005" s="1"/>
      <x:c r="P2005" s="1"/>
      <x:c r="Q2005" s="1"/>
      <x:c r="R2005" s="1"/>
      <x:c r="S2005" s="1"/>
      <x:c r="T2005" s="1"/>
      <x:c r="U2005" s="1"/>
      <x:c r="V2005" s="1"/>
      <x:c r="W2005" s="1"/>
      <x:c r="X2005" s="1"/>
      <x:c r="Y2005" s="1"/>
      <x:c r="Z2005" s="1"/>
    </x:row>
    <x:row r="2006">
      <x:c r="A2006" s="1"/>
      <x:c r="B2006" s="1"/>
      <x:c r="C2006" s="1"/>
      <x:c r="D2006" s="1"/>
      <x:c r="E2006" s="1"/>
      <x:c r="F2006" s="1"/>
      <x:c r="G2006" s="1"/>
      <x:c r="H2006" s="1"/>
      <x:c r="I2006" s="1"/>
      <x:c r="J2006" s="1"/>
      <x:c r="K2006" s="1"/>
      <x:c r="L2006" s="1"/>
      <x:c r="M2006" s="1"/>
      <x:c r="N2006" s="1"/>
      <x:c r="O2006" s="1"/>
      <x:c r="P2006" s="1"/>
      <x:c r="Q2006" s="1"/>
      <x:c r="R2006" s="1"/>
      <x:c r="S2006" s="1"/>
      <x:c r="T2006" s="1"/>
      <x:c r="U2006" s="1"/>
      <x:c r="V2006" s="1"/>
      <x:c r="W2006" s="1"/>
      <x:c r="X2006" s="1"/>
      <x:c r="Y2006" s="1"/>
      <x:c r="Z2006" s="1"/>
    </x:row>
    <x:row r="2007">
      <x:c r="A2007" s="1"/>
      <x:c r="B2007" s="1"/>
      <x:c r="C2007" s="1"/>
      <x:c r="D2007" s="1"/>
      <x:c r="E2007" s="1"/>
      <x:c r="F2007" s="1"/>
      <x:c r="G2007" s="1"/>
      <x:c r="H2007" s="1"/>
      <x:c r="I2007" s="1"/>
      <x:c r="J2007" s="1"/>
      <x:c r="K2007" s="1"/>
      <x:c r="L2007" s="1"/>
      <x:c r="M2007" s="1"/>
      <x:c r="N2007" s="1"/>
      <x:c r="O2007" s="1"/>
      <x:c r="P2007" s="1"/>
      <x:c r="Q2007" s="1"/>
      <x:c r="R2007" s="1"/>
      <x:c r="S2007" s="1"/>
      <x:c r="T2007" s="1"/>
      <x:c r="U2007" s="1"/>
      <x:c r="V2007" s="1"/>
      <x:c r="W2007" s="1"/>
      <x:c r="X2007" s="1"/>
      <x:c r="Y2007" s="1"/>
      <x:c r="Z2007" s="1"/>
    </x:row>
    <x:row r="2008">
      <x:c r="A2008" s="1"/>
      <x:c r="B2008" s="1"/>
      <x:c r="C2008" s="1"/>
      <x:c r="D2008" s="1"/>
      <x:c r="E2008" s="1"/>
      <x:c r="F2008" s="1"/>
      <x:c r="G2008" s="1"/>
      <x:c r="H2008" s="1"/>
      <x:c r="I2008" s="1"/>
      <x:c r="J2008" s="1"/>
      <x:c r="K2008" s="1"/>
      <x:c r="L2008" s="1"/>
      <x:c r="M2008" s="1"/>
      <x:c r="N2008" s="1"/>
      <x:c r="O2008" s="1"/>
      <x:c r="P2008" s="1"/>
      <x:c r="Q2008" s="1"/>
      <x:c r="R2008" s="1"/>
      <x:c r="S2008" s="1"/>
      <x:c r="T2008" s="1"/>
      <x:c r="U2008" s="1"/>
      <x:c r="V2008" s="1"/>
      <x:c r="W2008" s="1"/>
      <x:c r="X2008" s="1"/>
      <x:c r="Y2008" s="1"/>
      <x:c r="Z2008" s="1"/>
    </x:row>
    <x:row r="2009">
      <x:c r="A2009" s="1"/>
      <x:c r="B2009" s="1"/>
      <x:c r="C2009" s="1"/>
      <x:c r="D2009" s="1"/>
      <x:c r="E2009" s="1"/>
      <x:c r="F2009" s="1"/>
      <x:c r="G2009" s="1"/>
      <x:c r="H2009" s="1"/>
      <x:c r="I2009" s="1"/>
      <x:c r="J2009" s="1"/>
      <x:c r="K2009" s="1"/>
      <x:c r="L2009" s="1"/>
      <x:c r="M2009" s="1"/>
      <x:c r="N2009" s="1"/>
      <x:c r="O2009" s="1"/>
      <x:c r="P2009" s="1"/>
      <x:c r="Q2009" s="1"/>
      <x:c r="R2009" s="1"/>
      <x:c r="S2009" s="1"/>
      <x:c r="T2009" s="1"/>
      <x:c r="U2009" s="1"/>
      <x:c r="V2009" s="1"/>
      <x:c r="W2009" s="1"/>
      <x:c r="X2009" s="1"/>
      <x:c r="Y2009" s="1"/>
      <x:c r="Z2009" s="1"/>
    </x:row>
    <x:row r="2010">
      <x:c r="A2010" s="1"/>
      <x:c r="B2010" s="1"/>
      <x:c r="C2010" s="1"/>
      <x:c r="D2010" s="1"/>
      <x:c r="E2010" s="1"/>
      <x:c r="F2010" s="1"/>
      <x:c r="G2010" s="1"/>
      <x:c r="H2010" s="1"/>
      <x:c r="I2010" s="1"/>
      <x:c r="J2010" s="1"/>
      <x:c r="K2010" s="1"/>
      <x:c r="L2010" s="1"/>
      <x:c r="M2010" s="1"/>
      <x:c r="N2010" s="1"/>
      <x:c r="O2010" s="1"/>
      <x:c r="P2010" s="1"/>
      <x:c r="Q2010" s="1"/>
      <x:c r="R2010" s="1"/>
      <x:c r="S2010" s="1"/>
      <x:c r="T2010" s="1"/>
      <x:c r="U2010" s="1"/>
      <x:c r="V2010" s="1"/>
      <x:c r="W2010" s="1"/>
      <x:c r="X2010" s="1"/>
      <x:c r="Y2010" s="1"/>
      <x:c r="Z2010" s="1"/>
    </x:row>
    <x:row r="2011">
      <x:c r="A2011" s="1"/>
      <x:c r="B2011" s="1"/>
      <x:c r="C2011" s="1"/>
      <x:c r="D2011" s="1"/>
      <x:c r="E2011" s="1"/>
      <x:c r="F2011" s="1"/>
      <x:c r="G2011" s="1"/>
      <x:c r="H2011" s="1"/>
      <x:c r="I2011" s="1"/>
      <x:c r="J2011" s="1"/>
      <x:c r="K2011" s="1"/>
      <x:c r="L2011" s="1"/>
      <x:c r="M2011" s="1"/>
      <x:c r="N2011" s="1"/>
      <x:c r="O2011" s="1"/>
      <x:c r="P2011" s="1"/>
      <x:c r="Q2011" s="1"/>
      <x:c r="R2011" s="1"/>
      <x:c r="S2011" s="1"/>
      <x:c r="T2011" s="1"/>
      <x:c r="U2011" s="1"/>
      <x:c r="V2011" s="1"/>
      <x:c r="W2011" s="1"/>
      <x:c r="X2011" s="1"/>
      <x:c r="Y2011" s="1"/>
      <x:c r="Z2011" s="1"/>
    </x:row>
    <x:row r="2012">
      <x:c r="A2012" s="1"/>
      <x:c r="B2012" s="1"/>
      <x:c r="C2012" s="1"/>
      <x:c r="D2012" s="1"/>
      <x:c r="E2012" s="1"/>
      <x:c r="F2012" s="1"/>
      <x:c r="G2012" s="1"/>
      <x:c r="H2012" s="1"/>
      <x:c r="I2012" s="1"/>
      <x:c r="J2012" s="1"/>
      <x:c r="K2012" s="1"/>
      <x:c r="L2012" s="1"/>
      <x:c r="M2012" s="1"/>
      <x:c r="N2012" s="1"/>
      <x:c r="O2012" s="1"/>
      <x:c r="P2012" s="1"/>
      <x:c r="Q2012" s="1"/>
      <x:c r="R2012" s="1"/>
      <x:c r="S2012" s="1"/>
      <x:c r="T2012" s="1"/>
      <x:c r="U2012" s="1"/>
      <x:c r="V2012" s="1"/>
      <x:c r="W2012" s="1"/>
      <x:c r="X2012" s="1"/>
      <x:c r="Y2012" s="1"/>
      <x:c r="Z2012" s="1"/>
    </x:row>
    <x:row r="2013">
      <x:c r="A2013" s="1"/>
      <x:c r="B2013" s="1"/>
      <x:c r="C2013" s="1"/>
      <x:c r="D2013" s="1"/>
      <x:c r="E2013" s="1"/>
      <x:c r="F2013" s="1"/>
      <x:c r="G2013" s="1"/>
      <x:c r="H2013" s="1"/>
      <x:c r="I2013" s="1"/>
      <x:c r="J2013" s="1"/>
      <x:c r="K2013" s="1"/>
      <x:c r="L2013" s="1"/>
      <x:c r="M2013" s="1"/>
      <x:c r="N2013" s="1"/>
      <x:c r="O2013" s="1"/>
      <x:c r="P2013" s="1"/>
      <x:c r="Q2013" s="1"/>
      <x:c r="R2013" s="1"/>
      <x:c r="S2013" s="1"/>
      <x:c r="T2013" s="1"/>
      <x:c r="U2013" s="1"/>
      <x:c r="V2013" s="1"/>
      <x:c r="W2013" s="1"/>
      <x:c r="X2013" s="1"/>
      <x:c r="Y2013" s="1"/>
      <x:c r="Z2013" s="1"/>
    </x:row>
    <x:row r="2014">
      <x:c r="A2014" s="1"/>
      <x:c r="B2014" s="1"/>
      <x:c r="C2014" s="1"/>
      <x:c r="D2014" s="1"/>
      <x:c r="E2014" s="1"/>
      <x:c r="F2014" s="1"/>
      <x:c r="G2014" s="1"/>
      <x:c r="H2014" s="1"/>
      <x:c r="I2014" s="1"/>
      <x:c r="J2014" s="1"/>
      <x:c r="K2014" s="1"/>
      <x:c r="L2014" s="1"/>
      <x:c r="M2014" s="1"/>
      <x:c r="N2014" s="1"/>
      <x:c r="O2014" s="1"/>
      <x:c r="P2014" s="1"/>
      <x:c r="Q2014" s="1"/>
      <x:c r="R2014" s="1"/>
      <x:c r="S2014" s="1"/>
      <x:c r="T2014" s="1"/>
      <x:c r="U2014" s="1"/>
      <x:c r="V2014" s="1"/>
      <x:c r="W2014" s="1"/>
      <x:c r="X2014" s="1"/>
      <x:c r="Y2014" s="1"/>
      <x:c r="Z2014" s="1"/>
    </x:row>
    <x:row r="2015">
      <x:c r="A2015" s="1"/>
      <x:c r="B2015" s="1"/>
      <x:c r="C2015" s="1"/>
      <x:c r="D2015" s="1"/>
      <x:c r="E2015" s="1"/>
      <x:c r="F2015" s="1"/>
      <x:c r="G2015" s="1"/>
      <x:c r="H2015" s="1"/>
      <x:c r="I2015" s="1"/>
      <x:c r="J2015" s="1"/>
      <x:c r="K2015" s="1"/>
      <x:c r="L2015" s="1"/>
      <x:c r="M2015" s="1"/>
      <x:c r="N2015" s="1"/>
      <x:c r="O2015" s="1"/>
      <x:c r="P2015" s="1"/>
      <x:c r="Q2015" s="1"/>
      <x:c r="R2015" s="1"/>
      <x:c r="S2015" s="1"/>
      <x:c r="T2015" s="1"/>
      <x:c r="U2015" s="1"/>
      <x:c r="V2015" s="1"/>
      <x:c r="W2015" s="1"/>
      <x:c r="X2015" s="1"/>
      <x:c r="Y2015" s="1"/>
      <x:c r="Z2015" s="1"/>
    </x:row>
    <x:row r="2016">
      <x:c r="A2016" s="1"/>
      <x:c r="B2016" s="1"/>
      <x:c r="C2016" s="1"/>
      <x:c r="D2016" s="1"/>
      <x:c r="E2016" s="1"/>
      <x:c r="F2016" s="1"/>
      <x:c r="G2016" s="1"/>
      <x:c r="H2016" s="1"/>
      <x:c r="I2016" s="1"/>
      <x:c r="J2016" s="1"/>
      <x:c r="K2016" s="1"/>
      <x:c r="L2016" s="1"/>
      <x:c r="M2016" s="1"/>
      <x:c r="N2016" s="1"/>
      <x:c r="O2016" s="1"/>
      <x:c r="P2016" s="1"/>
      <x:c r="Q2016" s="1"/>
      <x:c r="R2016" s="1"/>
      <x:c r="S2016" s="1"/>
      <x:c r="T2016" s="1"/>
      <x:c r="U2016" s="1"/>
      <x:c r="V2016" s="1"/>
      <x:c r="W2016" s="1"/>
      <x:c r="X2016" s="1"/>
      <x:c r="Y2016" s="1"/>
      <x:c r="Z2016" s="1"/>
    </x:row>
    <x:row r="2017">
      <x:c r="A2017" s="1"/>
      <x:c r="B2017" s="1"/>
      <x:c r="C2017" s="1"/>
      <x:c r="D2017" s="1"/>
      <x:c r="E2017" s="1"/>
      <x:c r="F2017" s="1"/>
      <x:c r="G2017" s="1"/>
      <x:c r="H2017" s="1"/>
      <x:c r="I2017" s="1"/>
      <x:c r="J2017" s="1"/>
      <x:c r="K2017" s="1"/>
      <x:c r="L2017" s="1"/>
      <x:c r="M2017" s="1"/>
      <x:c r="N2017" s="1"/>
      <x:c r="O2017" s="1"/>
      <x:c r="P2017" s="1"/>
      <x:c r="Q2017" s="1"/>
      <x:c r="R2017" s="1"/>
      <x:c r="S2017" s="1"/>
      <x:c r="T2017" s="1"/>
      <x:c r="U2017" s="1"/>
      <x:c r="V2017" s="1"/>
      <x:c r="W2017" s="1"/>
      <x:c r="X2017" s="1"/>
      <x:c r="Y2017" s="1"/>
      <x:c r="Z2017" s="1"/>
    </x:row>
    <x:row r="2018">
      <x:c r="A2018" s="1"/>
      <x:c r="B2018" s="1"/>
      <x:c r="C2018" s="1"/>
      <x:c r="D2018" s="1"/>
      <x:c r="E2018" s="1"/>
      <x:c r="F2018" s="1"/>
      <x:c r="G2018" s="1"/>
      <x:c r="H2018" s="1"/>
      <x:c r="I2018" s="1"/>
      <x:c r="J2018" s="1"/>
      <x:c r="K2018" s="1"/>
      <x:c r="L2018" s="1"/>
      <x:c r="M2018" s="1"/>
      <x:c r="N2018" s="1"/>
      <x:c r="O2018" s="1"/>
      <x:c r="P2018" s="1"/>
      <x:c r="Q2018" s="1"/>
      <x:c r="R2018" s="1"/>
      <x:c r="S2018" s="1"/>
      <x:c r="T2018" s="1"/>
      <x:c r="U2018" s="1"/>
      <x:c r="V2018" s="1"/>
      <x:c r="W2018" s="1"/>
      <x:c r="X2018" s="1"/>
      <x:c r="Y2018" s="1"/>
      <x:c r="Z2018" s="1"/>
    </x:row>
    <x:row r="2019">
      <x:c r="A2019" s="1"/>
      <x:c r="B2019" s="1"/>
      <x:c r="C2019" s="1"/>
      <x:c r="D2019" s="1"/>
      <x:c r="E2019" s="1"/>
      <x:c r="F2019" s="1"/>
      <x:c r="G2019" s="1"/>
      <x:c r="H2019" s="1"/>
      <x:c r="I2019" s="1"/>
      <x:c r="J2019" s="1"/>
      <x:c r="K2019" s="1"/>
      <x:c r="L2019" s="1"/>
      <x:c r="M2019" s="1"/>
      <x:c r="N2019" s="1"/>
      <x:c r="O2019" s="1"/>
      <x:c r="P2019" s="1"/>
      <x:c r="Q2019" s="1"/>
      <x:c r="R2019" s="1"/>
      <x:c r="S2019" s="1"/>
      <x:c r="T2019" s="1"/>
      <x:c r="U2019" s="1"/>
      <x:c r="V2019" s="1"/>
      <x:c r="W2019" s="1"/>
      <x:c r="X2019" s="1"/>
      <x:c r="Y2019" s="1"/>
      <x:c r="Z2019" s="1"/>
    </x:row>
    <x:row r="2020">
      <x:c r="A2020" s="1"/>
      <x:c r="B2020" s="1"/>
      <x:c r="C2020" s="1"/>
      <x:c r="D2020" s="1"/>
      <x:c r="E2020" s="1"/>
      <x:c r="F2020" s="1"/>
      <x:c r="G2020" s="1"/>
      <x:c r="H2020" s="1"/>
      <x:c r="I2020" s="1"/>
      <x:c r="J2020" s="1"/>
      <x:c r="K2020" s="1"/>
      <x:c r="L2020" s="1"/>
      <x:c r="M2020" s="1"/>
      <x:c r="N2020" s="1"/>
      <x:c r="O2020" s="1"/>
      <x:c r="P2020" s="1"/>
      <x:c r="Q2020" s="1"/>
      <x:c r="R2020" s="1"/>
      <x:c r="S2020" s="1"/>
      <x:c r="T2020" s="1"/>
      <x:c r="U2020" s="1"/>
      <x:c r="V2020" s="1"/>
      <x:c r="W2020" s="1"/>
      <x:c r="X2020" s="1"/>
      <x:c r="Y2020" s="1"/>
      <x:c r="Z2020" s="1"/>
    </x:row>
    <x:row r="2021">
      <x:c r="A2021" s="1"/>
      <x:c r="B2021" s="1"/>
      <x:c r="C2021" s="1"/>
      <x:c r="D2021" s="1"/>
      <x:c r="E2021" s="1"/>
      <x:c r="F2021" s="1"/>
      <x:c r="G2021" s="1"/>
      <x:c r="H2021" s="1"/>
      <x:c r="I2021" s="1"/>
      <x:c r="J2021" s="1"/>
      <x:c r="K2021" s="1"/>
      <x:c r="L2021" s="1"/>
      <x:c r="M2021" s="1"/>
      <x:c r="N2021" s="1"/>
      <x:c r="O2021" s="1"/>
      <x:c r="P2021" s="1"/>
      <x:c r="Q2021" s="1"/>
      <x:c r="R2021" s="1"/>
      <x:c r="S2021" s="1"/>
      <x:c r="T2021" s="1"/>
      <x:c r="U2021" s="1"/>
      <x:c r="V2021" s="1"/>
      <x:c r="W2021" s="1"/>
      <x:c r="X2021" s="1"/>
      <x:c r="Y2021" s="1"/>
      <x:c r="Z2021" s="1"/>
    </x:row>
    <x:row r="2022">
      <x:c r="A2022" s="1"/>
      <x:c r="B2022" s="1"/>
      <x:c r="C2022" s="1"/>
      <x:c r="D2022" s="1"/>
      <x:c r="E2022" s="1"/>
      <x:c r="F2022" s="1"/>
      <x:c r="G2022" s="1"/>
      <x:c r="H2022" s="1"/>
      <x:c r="I2022" s="1"/>
      <x:c r="J2022" s="1"/>
      <x:c r="K2022" s="1"/>
      <x:c r="L2022" s="1"/>
      <x:c r="M2022" s="1"/>
      <x:c r="N2022" s="1"/>
      <x:c r="O2022" s="1"/>
      <x:c r="P2022" s="1"/>
      <x:c r="Q2022" s="1"/>
      <x:c r="R2022" s="1"/>
      <x:c r="S2022" s="1"/>
      <x:c r="T2022" s="1"/>
      <x:c r="U2022" s="1"/>
      <x:c r="V2022" s="1"/>
      <x:c r="W2022" s="1"/>
      <x:c r="X2022" s="1"/>
      <x:c r="Y2022" s="1"/>
      <x:c r="Z2022" s="1"/>
    </x:row>
    <x:row r="2023">
      <x:c r="A2023" s="1"/>
      <x:c r="B2023" s="1"/>
      <x:c r="C2023" s="1"/>
      <x:c r="D2023" s="1"/>
      <x:c r="E2023" s="1"/>
      <x:c r="F2023" s="1"/>
      <x:c r="G2023" s="1"/>
      <x:c r="H2023" s="1"/>
      <x:c r="I2023" s="1"/>
      <x:c r="J2023" s="1"/>
      <x:c r="K2023" s="1"/>
      <x:c r="L2023" s="1"/>
      <x:c r="M2023" s="1"/>
      <x:c r="N2023" s="1"/>
      <x:c r="O2023" s="1"/>
      <x:c r="P2023" s="1"/>
      <x:c r="Q2023" s="1"/>
      <x:c r="R2023" s="1"/>
      <x:c r="S2023" s="1"/>
      <x:c r="T2023" s="1"/>
      <x:c r="U2023" s="1"/>
      <x:c r="V2023" s="1"/>
      <x:c r="W2023" s="1"/>
      <x:c r="X2023" s="1"/>
      <x:c r="Y2023" s="1"/>
      <x:c r="Z2023" s="1"/>
    </x:row>
    <x:row r="2024">
      <x:c r="A2024" s="1"/>
      <x:c r="B2024" s="1"/>
      <x:c r="C2024" s="1"/>
      <x:c r="D2024" s="1"/>
      <x:c r="E2024" s="1"/>
      <x:c r="F2024" s="1"/>
      <x:c r="G2024" s="1"/>
      <x:c r="H2024" s="1"/>
      <x:c r="I2024" s="1"/>
      <x:c r="J2024" s="1"/>
      <x:c r="K2024" s="1"/>
      <x:c r="L2024" s="1"/>
      <x:c r="M2024" s="1"/>
      <x:c r="N2024" s="1"/>
      <x:c r="O2024" s="1"/>
      <x:c r="P2024" s="1"/>
      <x:c r="Q2024" s="1"/>
      <x:c r="R2024" s="1"/>
      <x:c r="S2024" s="1"/>
      <x:c r="T2024" s="1"/>
      <x:c r="U2024" s="1"/>
      <x:c r="V2024" s="1"/>
      <x:c r="W2024" s="1"/>
      <x:c r="X2024" s="1"/>
      <x:c r="Y2024" s="1"/>
      <x:c r="Z2024" s="1"/>
    </x:row>
    <x:row r="2025">
      <x:c r="A2025" s="1"/>
      <x:c r="B2025" s="1"/>
      <x:c r="C2025" s="1"/>
      <x:c r="D2025" s="1"/>
      <x:c r="E2025" s="1"/>
      <x:c r="F2025" s="1"/>
      <x:c r="G2025" s="1"/>
      <x:c r="H2025" s="1"/>
      <x:c r="I2025" s="1"/>
      <x:c r="J2025" s="1"/>
      <x:c r="K2025" s="1"/>
      <x:c r="L2025" s="1"/>
      <x:c r="M2025" s="1"/>
      <x:c r="N2025" s="1"/>
      <x:c r="O2025" s="1"/>
      <x:c r="P2025" s="1"/>
      <x:c r="Q2025" s="1"/>
      <x:c r="R2025" s="1"/>
      <x:c r="S2025" s="1"/>
      <x:c r="T2025" s="1"/>
      <x:c r="U2025" s="1"/>
      <x:c r="V2025" s="1"/>
      <x:c r="W2025" s="1"/>
      <x:c r="X2025" s="1"/>
      <x:c r="Y2025" s="1"/>
      <x:c r="Z2025" s="1"/>
    </x:row>
    <x:row r="2026">
      <x:c r="A2026" s="1"/>
      <x:c r="B2026" s="1"/>
      <x:c r="C2026" s="1"/>
      <x:c r="D2026" s="1"/>
      <x:c r="E2026" s="1"/>
      <x:c r="F2026" s="1"/>
      <x:c r="G2026" s="1"/>
      <x:c r="H2026" s="1"/>
      <x:c r="I2026" s="1"/>
      <x:c r="J2026" s="1"/>
      <x:c r="K2026" s="1"/>
      <x:c r="L2026" s="1"/>
      <x:c r="M2026" s="1"/>
      <x:c r="N2026" s="1"/>
      <x:c r="O2026" s="1"/>
      <x:c r="P2026" s="1"/>
      <x:c r="Q2026" s="1"/>
      <x:c r="R2026" s="1"/>
      <x:c r="S2026" s="1"/>
      <x:c r="T2026" s="1"/>
      <x:c r="U2026" s="1"/>
      <x:c r="V2026" s="1"/>
      <x:c r="W2026" s="1"/>
      <x:c r="X2026" s="1"/>
      <x:c r="Y2026" s="1"/>
      <x:c r="Z2026" s="1"/>
    </x:row>
    <x:row r="2027">
      <x:c r="A2027" s="1"/>
      <x:c r="B2027" s="1"/>
      <x:c r="C2027" s="1"/>
      <x:c r="D2027" s="1"/>
      <x:c r="E2027" s="1"/>
      <x:c r="F2027" s="1"/>
      <x:c r="G2027" s="1"/>
      <x:c r="H2027" s="1"/>
      <x:c r="I2027" s="1"/>
      <x:c r="J2027" s="1"/>
      <x:c r="K2027" s="1"/>
      <x:c r="L2027" s="1"/>
      <x:c r="M2027" s="1"/>
      <x:c r="N2027" s="1"/>
      <x:c r="O2027" s="1"/>
      <x:c r="P2027" s="1"/>
      <x:c r="Q2027" s="1"/>
      <x:c r="R2027" s="1"/>
      <x:c r="S2027" s="1"/>
      <x:c r="T2027" s="1"/>
      <x:c r="U2027" s="1"/>
      <x:c r="V2027" s="1"/>
      <x:c r="W2027" s="1"/>
      <x:c r="X2027" s="1"/>
      <x:c r="Y2027" s="1"/>
      <x:c r="Z2027" s="1"/>
    </x:row>
    <x:row r="2028">
      <x:c r="A2028" s="1"/>
      <x:c r="B2028" s="1"/>
      <x:c r="C2028" s="1"/>
      <x:c r="D2028" s="1"/>
      <x:c r="E2028" s="1"/>
      <x:c r="F2028" s="1"/>
      <x:c r="G2028" s="1"/>
      <x:c r="H2028" s="1"/>
      <x:c r="I2028" s="1"/>
      <x:c r="J2028" s="1"/>
      <x:c r="K2028" s="1"/>
      <x:c r="L2028" s="1"/>
      <x:c r="M2028" s="1"/>
      <x:c r="N2028" s="1"/>
      <x:c r="O2028" s="1"/>
      <x:c r="P2028" s="1"/>
      <x:c r="Q2028" s="1"/>
      <x:c r="R2028" s="1"/>
      <x:c r="S2028" s="1"/>
      <x:c r="T2028" s="1"/>
      <x:c r="U2028" s="1"/>
      <x:c r="V2028" s="1"/>
      <x:c r="W2028" s="1"/>
      <x:c r="X2028" s="1"/>
      <x:c r="Y2028" s="1"/>
      <x:c r="Z2028" s="1"/>
    </x:row>
    <x:row r="2029">
      <x:c r="A2029" s="1"/>
      <x:c r="B2029" s="1"/>
      <x:c r="C2029" s="1"/>
      <x:c r="D2029" s="1"/>
      <x:c r="E2029" s="1"/>
      <x:c r="F2029" s="1"/>
      <x:c r="G2029" s="1"/>
      <x:c r="H2029" s="1"/>
      <x:c r="I2029" s="1"/>
      <x:c r="J2029" s="1"/>
      <x:c r="K2029" s="1"/>
      <x:c r="L2029" s="1"/>
      <x:c r="M2029" s="1"/>
      <x:c r="N2029" s="1"/>
      <x:c r="O2029" s="1"/>
      <x:c r="P2029" s="1"/>
      <x:c r="Q2029" s="1"/>
      <x:c r="R2029" s="1"/>
      <x:c r="S2029" s="1"/>
      <x:c r="T2029" s="1"/>
      <x:c r="U2029" s="1"/>
      <x:c r="V2029" s="1"/>
      <x:c r="W2029" s="1"/>
      <x:c r="X2029" s="1"/>
      <x:c r="Y2029" s="1"/>
      <x:c r="Z2029" s="1"/>
    </x:row>
    <x:row r="2030">
      <x:c r="A2030" s="1"/>
      <x:c r="B2030" s="1"/>
      <x:c r="C2030" s="1"/>
      <x:c r="D2030" s="1"/>
      <x:c r="E2030" s="1"/>
      <x:c r="F2030" s="1"/>
      <x:c r="G2030" s="1"/>
      <x:c r="H2030" s="1"/>
      <x:c r="I2030" s="1"/>
      <x:c r="J2030" s="1"/>
      <x:c r="K2030" s="1"/>
      <x:c r="L2030" s="1"/>
      <x:c r="M2030" s="1"/>
      <x:c r="N2030" s="1"/>
      <x:c r="O2030" s="1"/>
      <x:c r="P2030" s="1"/>
      <x:c r="Q2030" s="1"/>
      <x:c r="R2030" s="1"/>
      <x:c r="S2030" s="1"/>
      <x:c r="T2030" s="1"/>
      <x:c r="U2030" s="1"/>
      <x:c r="V2030" s="1"/>
      <x:c r="W2030" s="1"/>
      <x:c r="X2030" s="1"/>
      <x:c r="Y2030" s="1"/>
      <x:c r="Z2030" s="1"/>
    </x:row>
    <x:row r="2031">
      <x:c r="A2031" s="1"/>
      <x:c r="B2031" s="1"/>
      <x:c r="C2031" s="1"/>
      <x:c r="D2031" s="1"/>
      <x:c r="E2031" s="1"/>
      <x:c r="F2031" s="1"/>
      <x:c r="G2031" s="1"/>
      <x:c r="H2031" s="1"/>
      <x:c r="I2031" s="1"/>
      <x:c r="J2031" s="1"/>
      <x:c r="K2031" s="1"/>
      <x:c r="L2031" s="1"/>
      <x:c r="M2031" s="1"/>
      <x:c r="N2031" s="1"/>
      <x:c r="O2031" s="1"/>
      <x:c r="P2031" s="1"/>
      <x:c r="Q2031" s="1"/>
      <x:c r="R2031" s="1"/>
      <x:c r="S2031" s="1"/>
      <x:c r="T2031" s="1"/>
      <x:c r="U2031" s="1"/>
      <x:c r="V2031" s="1"/>
      <x:c r="W2031" s="1"/>
      <x:c r="X2031" s="1"/>
      <x:c r="Y2031" s="1"/>
      <x:c r="Z2031" s="1"/>
    </x:row>
    <x:row r="2032">
      <x:c r="A2032" s="1"/>
      <x:c r="B2032" s="1"/>
      <x:c r="C2032" s="1"/>
      <x:c r="D2032" s="1"/>
      <x:c r="E2032" s="1"/>
      <x:c r="F2032" s="1"/>
      <x:c r="G2032" s="1"/>
      <x:c r="H2032" s="1"/>
      <x:c r="I2032" s="1"/>
      <x:c r="J2032" s="1"/>
      <x:c r="K2032" s="1"/>
      <x:c r="L2032" s="1"/>
      <x:c r="M2032" s="1"/>
      <x:c r="N2032" s="1"/>
      <x:c r="O2032" s="1"/>
      <x:c r="P2032" s="1"/>
      <x:c r="Q2032" s="1"/>
      <x:c r="R2032" s="1"/>
      <x:c r="S2032" s="1"/>
      <x:c r="T2032" s="1"/>
      <x:c r="U2032" s="1"/>
      <x:c r="V2032" s="1"/>
      <x:c r="W2032" s="1"/>
      <x:c r="X2032" s="1"/>
      <x:c r="Y2032" s="1"/>
      <x:c r="Z2032" s="1"/>
    </x:row>
    <x:row r="2033">
      <x:c r="A2033" s="1"/>
      <x:c r="B2033" s="1"/>
      <x:c r="C2033" s="1"/>
      <x:c r="D2033" s="1"/>
      <x:c r="E2033" s="1"/>
      <x:c r="F2033" s="1"/>
      <x:c r="G2033" s="1"/>
      <x:c r="H2033" s="1"/>
      <x:c r="I2033" s="1"/>
      <x:c r="J2033" s="1"/>
      <x:c r="K2033" s="1"/>
      <x:c r="L2033" s="1"/>
      <x:c r="M2033" s="1"/>
      <x:c r="N2033" s="1"/>
      <x:c r="O2033" s="1"/>
      <x:c r="P2033" s="1"/>
      <x:c r="Q2033" s="1"/>
      <x:c r="R2033" s="1"/>
      <x:c r="S2033" s="1"/>
      <x:c r="T2033" s="1"/>
      <x:c r="U2033" s="1"/>
      <x:c r="V2033" s="1"/>
      <x:c r="W2033" s="1"/>
      <x:c r="X2033" s="1"/>
      <x:c r="Y2033" s="1"/>
      <x:c r="Z2033" s="1"/>
    </x:row>
    <x:row r="2034">
      <x:c r="A2034" s="1"/>
      <x:c r="B2034" s="1"/>
      <x:c r="C2034" s="1"/>
      <x:c r="D2034" s="1"/>
      <x:c r="E2034" s="1"/>
      <x:c r="F2034" s="1"/>
      <x:c r="G2034" s="1"/>
      <x:c r="H2034" s="1"/>
      <x:c r="I2034" s="1"/>
      <x:c r="J2034" s="1"/>
      <x:c r="K2034" s="1"/>
      <x:c r="L2034" s="1"/>
      <x:c r="M2034" s="1"/>
      <x:c r="N2034" s="1"/>
      <x:c r="O2034" s="1"/>
      <x:c r="P2034" s="1"/>
      <x:c r="Q2034" s="1"/>
      <x:c r="R2034" s="1"/>
      <x:c r="S2034" s="1"/>
      <x:c r="T2034" s="1"/>
      <x:c r="U2034" s="1"/>
      <x:c r="V2034" s="1"/>
      <x:c r="W2034" s="1"/>
      <x:c r="X2034" s="1"/>
      <x:c r="Y2034" s="1"/>
      <x:c r="Z2034" s="1"/>
    </x:row>
    <x:row r="2035">
      <x:c r="A2035" s="1"/>
      <x:c r="B2035" s="1"/>
      <x:c r="C2035" s="1"/>
      <x:c r="D2035" s="1"/>
      <x:c r="E2035" s="1"/>
      <x:c r="F2035" s="1"/>
      <x:c r="G2035" s="1"/>
      <x:c r="H2035" s="1"/>
      <x:c r="I2035" s="1"/>
      <x:c r="J2035" s="1"/>
      <x:c r="K2035" s="1"/>
      <x:c r="L2035" s="1"/>
      <x:c r="M2035" s="1"/>
      <x:c r="N2035" s="1"/>
      <x:c r="O2035" s="1"/>
      <x:c r="P2035" s="1"/>
      <x:c r="Q2035" s="1"/>
      <x:c r="R2035" s="1"/>
      <x:c r="S2035" s="1"/>
      <x:c r="T2035" s="1"/>
      <x:c r="U2035" s="1"/>
      <x:c r="V2035" s="1"/>
      <x:c r="W2035" s="1"/>
      <x:c r="X2035" s="1"/>
      <x:c r="Y2035" s="1"/>
      <x:c r="Z2035" s="1"/>
    </x:row>
    <x:row r="2036">
      <x:c r="A2036" s="1"/>
      <x:c r="B2036" s="1"/>
      <x:c r="C2036" s="1"/>
      <x:c r="D2036" s="1"/>
      <x:c r="E2036" s="1"/>
      <x:c r="F2036" s="1"/>
      <x:c r="G2036" s="1"/>
      <x:c r="H2036" s="1"/>
      <x:c r="I2036" s="1"/>
      <x:c r="J2036" s="1"/>
      <x:c r="K2036" s="1"/>
      <x:c r="L2036" s="1"/>
      <x:c r="M2036" s="1"/>
      <x:c r="N2036" s="1"/>
      <x:c r="O2036" s="1"/>
      <x:c r="P2036" s="1"/>
      <x:c r="Q2036" s="1"/>
      <x:c r="R2036" s="1"/>
      <x:c r="S2036" s="1"/>
      <x:c r="T2036" s="1"/>
      <x:c r="U2036" s="1"/>
      <x:c r="V2036" s="1"/>
      <x:c r="W2036" s="1"/>
      <x:c r="X2036" s="1"/>
      <x:c r="Y2036" s="1"/>
      <x:c r="Z2036" s="1"/>
    </x:row>
    <x:row r="2037">
      <x:c r="A2037" s="1"/>
      <x:c r="B2037" s="1"/>
      <x:c r="C2037" s="1"/>
      <x:c r="D2037" s="1"/>
      <x:c r="E2037" s="1"/>
      <x:c r="F2037" s="1"/>
      <x:c r="G2037" s="1"/>
      <x:c r="H2037" s="1"/>
      <x:c r="I2037" s="1"/>
      <x:c r="J2037" s="1"/>
      <x:c r="K2037" s="1"/>
      <x:c r="L2037" s="1"/>
      <x:c r="M2037" s="1"/>
      <x:c r="N2037" s="1"/>
      <x:c r="O2037" s="1"/>
      <x:c r="P2037" s="1"/>
      <x:c r="Q2037" s="1"/>
      <x:c r="R2037" s="1"/>
      <x:c r="S2037" s="1"/>
      <x:c r="T2037" s="1"/>
      <x:c r="U2037" s="1"/>
      <x:c r="V2037" s="1"/>
      <x:c r="W2037" s="1"/>
      <x:c r="X2037" s="1"/>
      <x:c r="Y2037" s="1"/>
      <x:c r="Z2037" s="1"/>
    </x:row>
    <x:row r="2038">
      <x:c r="A2038" s="1"/>
      <x:c r="B2038" s="1"/>
      <x:c r="C2038" s="1"/>
      <x:c r="D2038" s="1"/>
      <x:c r="E2038" s="1"/>
      <x:c r="F2038" s="1"/>
      <x:c r="G2038" s="1"/>
      <x:c r="H2038" s="1"/>
      <x:c r="I2038" s="1"/>
      <x:c r="J2038" s="1"/>
      <x:c r="K2038" s="1"/>
      <x:c r="L2038" s="1"/>
      <x:c r="M2038" s="1"/>
      <x:c r="N2038" s="1"/>
      <x:c r="O2038" s="1"/>
      <x:c r="P2038" s="1"/>
      <x:c r="Q2038" s="1"/>
      <x:c r="R2038" s="1"/>
      <x:c r="S2038" s="1"/>
      <x:c r="T2038" s="1"/>
      <x:c r="U2038" s="1"/>
      <x:c r="V2038" s="1"/>
      <x:c r="W2038" s="1"/>
      <x:c r="X2038" s="1"/>
      <x:c r="Y2038" s="1"/>
      <x:c r="Z2038" s="1"/>
    </x:row>
    <x:row r="2039">
      <x:c r="A2039" s="1"/>
      <x:c r="B2039" s="1"/>
      <x:c r="C2039" s="1"/>
      <x:c r="D2039" s="1"/>
      <x:c r="E2039" s="1"/>
      <x:c r="F2039" s="1"/>
      <x:c r="G2039" s="1"/>
      <x:c r="H2039" s="1"/>
      <x:c r="I2039" s="1"/>
      <x:c r="J2039" s="1"/>
      <x:c r="K2039" s="1"/>
      <x:c r="L2039" s="1"/>
      <x:c r="M2039" s="1"/>
      <x:c r="N2039" s="1"/>
      <x:c r="O2039" s="1"/>
      <x:c r="P2039" s="1"/>
      <x:c r="Q2039" s="1"/>
      <x:c r="R2039" s="1"/>
      <x:c r="S2039" s="1"/>
      <x:c r="T2039" s="1"/>
      <x:c r="U2039" s="1"/>
      <x:c r="V2039" s="1"/>
      <x:c r="W2039" s="1"/>
      <x:c r="X2039" s="1"/>
      <x:c r="Y2039" s="1"/>
      <x:c r="Z2039" s="1"/>
    </x:row>
    <x:row r="2040">
      <x:c r="A2040" s="1"/>
      <x:c r="B2040" s="1"/>
      <x:c r="C2040" s="1"/>
      <x:c r="D2040" s="1"/>
      <x:c r="E2040" s="1"/>
      <x:c r="F2040" s="1"/>
      <x:c r="G2040" s="1"/>
      <x:c r="H2040" s="1"/>
      <x:c r="I2040" s="1"/>
      <x:c r="J2040" s="1"/>
      <x:c r="K2040" s="1"/>
      <x:c r="L2040" s="1"/>
      <x:c r="M2040" s="1"/>
      <x:c r="N2040" s="1"/>
      <x:c r="O2040" s="1"/>
      <x:c r="P2040" s="1"/>
      <x:c r="Q2040" s="1"/>
      <x:c r="R2040" s="1"/>
      <x:c r="S2040" s="1"/>
      <x:c r="T2040" s="1"/>
      <x:c r="U2040" s="1"/>
      <x:c r="V2040" s="1"/>
      <x:c r="W2040" s="1"/>
      <x:c r="X2040" s="1"/>
      <x:c r="Y2040" s="1"/>
      <x:c r="Z2040" s="1"/>
    </x:row>
    <x:row r="2041">
      <x:c r="A2041" s="1"/>
      <x:c r="B2041" s="1"/>
      <x:c r="C2041" s="1"/>
      <x:c r="D2041" s="1"/>
      <x:c r="E2041" s="1"/>
      <x:c r="F2041" s="1"/>
      <x:c r="G2041" s="1"/>
      <x:c r="H2041" s="1"/>
      <x:c r="I2041" s="1"/>
      <x:c r="J2041" s="1"/>
      <x:c r="K2041" s="1"/>
      <x:c r="L2041" s="1"/>
      <x:c r="M2041" s="1"/>
      <x:c r="N2041" s="1"/>
      <x:c r="O2041" s="1"/>
      <x:c r="P2041" s="1"/>
      <x:c r="Q2041" s="1"/>
      <x:c r="R2041" s="1"/>
      <x:c r="S2041" s="1"/>
      <x:c r="T2041" s="1"/>
      <x:c r="U2041" s="1"/>
      <x:c r="V2041" s="1"/>
      <x:c r="W2041" s="1"/>
      <x:c r="X2041" s="1"/>
      <x:c r="Y2041" s="1"/>
      <x:c r="Z2041" s="1"/>
    </x:row>
    <x:row r="2042">
      <x:c r="A2042" s="1"/>
      <x:c r="B2042" s="1"/>
      <x:c r="C2042" s="1"/>
      <x:c r="D2042" s="1"/>
      <x:c r="E2042" s="1"/>
      <x:c r="F2042" s="1"/>
      <x:c r="G2042" s="1"/>
      <x:c r="H2042" s="1"/>
      <x:c r="I2042" s="1"/>
      <x:c r="J2042" s="1"/>
      <x:c r="K2042" s="1"/>
      <x:c r="L2042" s="1"/>
      <x:c r="M2042" s="1"/>
      <x:c r="N2042" s="1"/>
      <x:c r="O2042" s="1"/>
      <x:c r="P2042" s="1"/>
      <x:c r="Q2042" s="1"/>
      <x:c r="R2042" s="1"/>
      <x:c r="S2042" s="1"/>
      <x:c r="T2042" s="1"/>
      <x:c r="U2042" s="1"/>
      <x:c r="V2042" s="1"/>
      <x:c r="W2042" s="1"/>
      <x:c r="X2042" s="1"/>
      <x:c r="Y2042" s="1"/>
      <x:c r="Z2042" s="1"/>
    </x:row>
    <x:row r="2043">
      <x:c r="A2043" s="1"/>
      <x:c r="B2043" s="1"/>
      <x:c r="C2043" s="1"/>
      <x:c r="D2043" s="1"/>
      <x:c r="E2043" s="1"/>
      <x:c r="F2043" s="1"/>
      <x:c r="G2043" s="1"/>
      <x:c r="H2043" s="1"/>
      <x:c r="I2043" s="1"/>
      <x:c r="J2043" s="1"/>
      <x:c r="K2043" s="1"/>
      <x:c r="L2043" s="1"/>
      <x:c r="M2043" s="1"/>
      <x:c r="N2043" s="1"/>
      <x:c r="O2043" s="1"/>
      <x:c r="P2043" s="1"/>
      <x:c r="Q2043" s="1"/>
      <x:c r="R2043" s="1"/>
      <x:c r="S2043" s="1"/>
      <x:c r="T2043" s="1"/>
      <x:c r="U2043" s="1"/>
      <x:c r="V2043" s="1"/>
      <x:c r="W2043" s="1"/>
      <x:c r="X2043" s="1"/>
      <x:c r="Y2043" s="1"/>
      <x:c r="Z2043" s="1"/>
    </x:row>
    <x:row r="2044">
      <x:c r="A2044" s="1"/>
      <x:c r="B2044" s="1"/>
      <x:c r="C2044" s="1"/>
      <x:c r="D2044" s="1"/>
      <x:c r="E2044" s="1"/>
      <x:c r="F2044" s="1"/>
      <x:c r="G2044" s="1"/>
      <x:c r="H2044" s="1"/>
      <x:c r="I2044" s="1"/>
      <x:c r="J2044" s="1"/>
      <x:c r="K2044" s="1"/>
      <x:c r="L2044" s="1"/>
      <x:c r="M2044" s="1"/>
      <x:c r="N2044" s="1"/>
      <x:c r="O2044" s="1"/>
      <x:c r="P2044" s="1"/>
      <x:c r="Q2044" s="1"/>
      <x:c r="R2044" s="1"/>
      <x:c r="S2044" s="1"/>
      <x:c r="T2044" s="1"/>
      <x:c r="U2044" s="1"/>
      <x:c r="V2044" s="1"/>
      <x:c r="W2044" s="1"/>
      <x:c r="X2044" s="1"/>
      <x:c r="Y2044" s="1"/>
      <x:c r="Z2044" s="1"/>
    </x:row>
    <x:row r="2045">
      <x:c r="A2045" s="1"/>
      <x:c r="B2045" s="1"/>
      <x:c r="C2045" s="1"/>
      <x:c r="D2045" s="1"/>
      <x:c r="E2045" s="1"/>
      <x:c r="F2045" s="1"/>
      <x:c r="G2045" s="1"/>
      <x:c r="H2045" s="1"/>
      <x:c r="I2045" s="1"/>
      <x:c r="J2045" s="1"/>
      <x:c r="K2045" s="1"/>
      <x:c r="L2045" s="1"/>
      <x:c r="M2045" s="1"/>
      <x:c r="N2045" s="1"/>
      <x:c r="O2045" s="1"/>
      <x:c r="P2045" s="1"/>
      <x:c r="Q2045" s="1"/>
      <x:c r="R2045" s="1"/>
      <x:c r="S2045" s="1"/>
      <x:c r="T2045" s="1"/>
      <x:c r="U2045" s="1"/>
      <x:c r="V2045" s="1"/>
      <x:c r="W2045" s="1"/>
      <x:c r="X2045" s="1"/>
      <x:c r="Y2045" s="1"/>
      <x:c r="Z2045" s="1"/>
    </x:row>
    <x:row r="2046">
      <x:c r="A2046" s="1"/>
      <x:c r="B2046" s="1"/>
      <x:c r="C2046" s="1"/>
      <x:c r="D2046" s="1"/>
      <x:c r="E2046" s="1"/>
      <x:c r="F2046" s="1"/>
      <x:c r="G2046" s="1"/>
      <x:c r="H2046" s="1"/>
      <x:c r="I2046" s="1"/>
      <x:c r="J2046" s="1"/>
      <x:c r="K2046" s="1"/>
      <x:c r="L2046" s="1"/>
      <x:c r="M2046" s="1"/>
      <x:c r="N2046" s="1"/>
      <x:c r="O2046" s="1"/>
      <x:c r="P2046" s="1"/>
      <x:c r="Q2046" s="1"/>
      <x:c r="R2046" s="1"/>
      <x:c r="S2046" s="1"/>
      <x:c r="T2046" s="1"/>
      <x:c r="U2046" s="1"/>
      <x:c r="V2046" s="1"/>
      <x:c r="W2046" s="1"/>
      <x:c r="X2046" s="1"/>
      <x:c r="Y2046" s="1"/>
      <x:c r="Z2046" s="1"/>
    </x:row>
    <x:row r="2047">
      <x:c r="A2047" s="1"/>
      <x:c r="B2047" s="1"/>
      <x:c r="C2047" s="1"/>
      <x:c r="D2047" s="1"/>
      <x:c r="E2047" s="1"/>
      <x:c r="F2047" s="1"/>
      <x:c r="G2047" s="1"/>
      <x:c r="H2047" s="1"/>
      <x:c r="I2047" s="1"/>
      <x:c r="J2047" s="1"/>
      <x:c r="K2047" s="1"/>
      <x:c r="L2047" s="1"/>
      <x:c r="M2047" s="1"/>
      <x:c r="N2047" s="1"/>
      <x:c r="O2047" s="1"/>
      <x:c r="P2047" s="1"/>
      <x:c r="Q2047" s="1"/>
      <x:c r="R2047" s="1"/>
      <x:c r="S2047" s="1"/>
      <x:c r="T2047" s="1"/>
      <x:c r="U2047" s="1"/>
      <x:c r="V2047" s="1"/>
      <x:c r="W2047" s="1"/>
      <x:c r="X2047" s="1"/>
      <x:c r="Y2047" s="1"/>
      <x:c r="Z2047" s="1"/>
    </x:row>
    <x:row r="2048">
      <x:c r="A2048" s="1"/>
      <x:c r="B2048" s="1"/>
      <x:c r="C2048" s="1"/>
      <x:c r="D2048" s="1"/>
      <x:c r="E2048" s="1"/>
      <x:c r="F2048" s="1"/>
      <x:c r="G2048" s="1"/>
      <x:c r="H2048" s="1"/>
      <x:c r="I2048" s="1"/>
      <x:c r="J2048" s="1"/>
      <x:c r="K2048" s="1"/>
      <x:c r="L2048" s="1"/>
      <x:c r="M2048" s="1"/>
      <x:c r="N2048" s="1"/>
      <x:c r="O2048" s="1"/>
      <x:c r="P2048" s="1"/>
      <x:c r="Q2048" s="1"/>
      <x:c r="R2048" s="1"/>
      <x:c r="S2048" s="1"/>
      <x:c r="T2048" s="1"/>
      <x:c r="U2048" s="1"/>
      <x:c r="V2048" s="1"/>
      <x:c r="W2048" s="1"/>
      <x:c r="X2048" s="1"/>
      <x:c r="Y2048" s="1"/>
      <x:c r="Z2048" s="1"/>
    </x:row>
    <x:row r="2049">
      <x:c r="A2049" s="1"/>
      <x:c r="B2049" s="1"/>
      <x:c r="C2049" s="1"/>
      <x:c r="D2049" s="1"/>
      <x:c r="E2049" s="1"/>
      <x:c r="F2049" s="1"/>
      <x:c r="G2049" s="1"/>
      <x:c r="H2049" s="1"/>
      <x:c r="I2049" s="1"/>
      <x:c r="J2049" s="1"/>
      <x:c r="K2049" s="1"/>
      <x:c r="L2049" s="1"/>
      <x:c r="M2049" s="1"/>
      <x:c r="N2049" s="1"/>
      <x:c r="O2049" s="1"/>
      <x:c r="P2049" s="1"/>
      <x:c r="Q2049" s="1"/>
      <x:c r="R2049" s="1"/>
      <x:c r="S2049" s="1"/>
      <x:c r="T2049" s="1"/>
      <x:c r="U2049" s="1"/>
      <x:c r="V2049" s="1"/>
      <x:c r="W2049" s="1"/>
      <x:c r="X2049" s="1"/>
      <x:c r="Y2049" s="1"/>
      <x:c r="Z2049" s="1"/>
    </x:row>
    <x:row r="2050">
      <x:c r="A2050" s="1"/>
      <x:c r="B2050" s="1"/>
      <x:c r="C2050" s="1"/>
      <x:c r="D2050" s="1"/>
      <x:c r="E2050" s="1"/>
      <x:c r="F2050" s="1"/>
      <x:c r="G2050" s="1"/>
      <x:c r="H2050" s="1"/>
      <x:c r="I2050" s="1"/>
      <x:c r="J2050" s="1"/>
      <x:c r="K2050" s="1"/>
      <x:c r="L2050" s="1"/>
      <x:c r="M2050" s="1"/>
      <x:c r="N2050" s="1"/>
      <x:c r="O2050" s="1"/>
      <x:c r="P2050" s="1"/>
      <x:c r="Q2050" s="1"/>
      <x:c r="R2050" s="1"/>
      <x:c r="S2050" s="1"/>
      <x:c r="T2050" s="1"/>
      <x:c r="U2050" s="1"/>
      <x:c r="V2050" s="1"/>
      <x:c r="W2050" s="1"/>
      <x:c r="X2050" s="1"/>
      <x:c r="Y2050" s="1"/>
      <x:c r="Z2050" s="1"/>
    </x:row>
    <x:row r="2051">
      <x:c r="A2051" s="1"/>
      <x:c r="B2051" s="1"/>
      <x:c r="C2051" s="1"/>
      <x:c r="D2051" s="1"/>
      <x:c r="E2051" s="1"/>
      <x:c r="F2051" s="1"/>
      <x:c r="G2051" s="1"/>
      <x:c r="H2051" s="1"/>
      <x:c r="I2051" s="1"/>
      <x:c r="J2051" s="1"/>
      <x:c r="K2051" s="1"/>
      <x:c r="L2051" s="1"/>
      <x:c r="M2051" s="1"/>
      <x:c r="N2051" s="1"/>
      <x:c r="O2051" s="1"/>
      <x:c r="P2051" s="1"/>
      <x:c r="Q2051" s="1"/>
      <x:c r="R2051" s="1"/>
      <x:c r="S2051" s="1"/>
      <x:c r="T2051" s="1"/>
      <x:c r="U2051" s="1"/>
      <x:c r="V2051" s="1"/>
      <x:c r="W2051" s="1"/>
      <x:c r="X2051" s="1"/>
      <x:c r="Y2051" s="1"/>
      <x:c r="Z2051" s="1"/>
    </x:row>
    <x:row r="2052">
      <x:c r="A2052" s="1"/>
      <x:c r="B2052" s="1"/>
      <x:c r="C2052" s="1"/>
      <x:c r="D2052" s="1"/>
      <x:c r="E2052" s="1"/>
      <x:c r="F2052" s="1"/>
      <x:c r="G2052" s="1"/>
      <x:c r="H2052" s="1"/>
      <x:c r="I2052" s="1"/>
      <x:c r="J2052" s="1"/>
      <x:c r="K2052" s="1"/>
      <x:c r="L2052" s="1"/>
      <x:c r="M2052" s="1"/>
      <x:c r="N2052" s="1"/>
      <x:c r="O2052" s="1"/>
      <x:c r="P2052" s="1"/>
      <x:c r="Q2052" s="1"/>
      <x:c r="R2052" s="1"/>
      <x:c r="S2052" s="1"/>
      <x:c r="T2052" s="1"/>
      <x:c r="U2052" s="1"/>
      <x:c r="V2052" s="1"/>
      <x:c r="W2052" s="1"/>
      <x:c r="X2052" s="1"/>
      <x:c r="Y2052" s="1"/>
      <x:c r="Z2052" s="1"/>
    </x:row>
    <x:row r="2053">
      <x:c r="A2053" s="1"/>
      <x:c r="B2053" s="1"/>
      <x:c r="C2053" s="1"/>
      <x:c r="D2053" s="1"/>
      <x:c r="E2053" s="1"/>
      <x:c r="F2053" s="1"/>
      <x:c r="G2053" s="1"/>
      <x:c r="H2053" s="1"/>
      <x:c r="I2053" s="1"/>
      <x:c r="J2053" s="1"/>
      <x:c r="K2053" s="1"/>
      <x:c r="L2053" s="1"/>
      <x:c r="M2053" s="1"/>
      <x:c r="N2053" s="1"/>
      <x:c r="O2053" s="1"/>
      <x:c r="P2053" s="1"/>
      <x:c r="Q2053" s="1"/>
      <x:c r="R2053" s="1"/>
      <x:c r="S2053" s="1"/>
      <x:c r="T2053" s="1"/>
      <x:c r="U2053" s="1"/>
      <x:c r="V2053" s="1"/>
      <x:c r="W2053" s="1"/>
      <x:c r="X2053" s="1"/>
      <x:c r="Y2053" s="1"/>
      <x:c r="Z2053" s="1"/>
    </x:row>
    <x:row r="2054">
      <x:c r="A2054" s="1"/>
      <x:c r="B2054" s="1"/>
      <x:c r="C2054" s="1"/>
      <x:c r="D2054" s="1"/>
      <x:c r="E2054" s="1"/>
      <x:c r="F2054" s="1"/>
      <x:c r="G2054" s="1"/>
      <x:c r="H2054" s="1"/>
      <x:c r="I2054" s="1"/>
      <x:c r="J2054" s="1"/>
      <x:c r="K2054" s="1"/>
      <x:c r="L2054" s="1"/>
      <x:c r="M2054" s="1"/>
      <x:c r="N2054" s="1"/>
      <x:c r="O2054" s="1"/>
      <x:c r="P2054" s="1"/>
      <x:c r="Q2054" s="1"/>
      <x:c r="R2054" s="1"/>
      <x:c r="S2054" s="1"/>
      <x:c r="T2054" s="1"/>
      <x:c r="U2054" s="1"/>
      <x:c r="V2054" s="1"/>
      <x:c r="W2054" s="1"/>
      <x:c r="X2054" s="1"/>
      <x:c r="Y2054" s="1"/>
      <x:c r="Z2054" s="1"/>
    </x:row>
    <x:row r="2055">
      <x:c r="A2055" s="1"/>
      <x:c r="B2055" s="1"/>
      <x:c r="C2055" s="1"/>
      <x:c r="D2055" s="1"/>
      <x:c r="E2055" s="1"/>
      <x:c r="F2055" s="1"/>
      <x:c r="G2055" s="1"/>
      <x:c r="H2055" s="1"/>
      <x:c r="I2055" s="1"/>
      <x:c r="J2055" s="1"/>
      <x:c r="K2055" s="1"/>
      <x:c r="L2055" s="1"/>
      <x:c r="M2055" s="1"/>
      <x:c r="N2055" s="1"/>
      <x:c r="O2055" s="1"/>
      <x:c r="P2055" s="1"/>
      <x:c r="Q2055" s="1"/>
      <x:c r="R2055" s="1"/>
      <x:c r="S2055" s="1"/>
      <x:c r="T2055" s="1"/>
      <x:c r="U2055" s="1"/>
      <x:c r="V2055" s="1"/>
      <x:c r="W2055" s="1"/>
      <x:c r="X2055" s="1"/>
      <x:c r="Y2055" s="1"/>
      <x:c r="Z2055" s="1"/>
    </x:row>
    <x:row r="2056">
      <x:c r="A2056" s="1"/>
      <x:c r="B2056" s="1"/>
      <x:c r="C2056" s="1"/>
      <x:c r="D2056" s="1"/>
      <x:c r="E2056" s="1"/>
      <x:c r="F2056" s="1"/>
      <x:c r="G2056" s="1"/>
      <x:c r="H2056" s="1"/>
      <x:c r="I2056" s="1"/>
      <x:c r="J2056" s="1"/>
      <x:c r="K2056" s="1"/>
      <x:c r="L2056" s="1"/>
      <x:c r="M2056" s="1"/>
      <x:c r="N2056" s="1"/>
      <x:c r="O2056" s="1"/>
      <x:c r="P2056" s="1"/>
      <x:c r="Q2056" s="1"/>
      <x:c r="R2056" s="1"/>
      <x:c r="S2056" s="1"/>
      <x:c r="T2056" s="1"/>
      <x:c r="U2056" s="1"/>
      <x:c r="V2056" s="1"/>
      <x:c r="W2056" s="1"/>
      <x:c r="X2056" s="1"/>
      <x:c r="Y2056" s="1"/>
      <x:c r="Z2056" s="1"/>
    </x:row>
    <x:row r="2057">
      <x:c r="A2057" s="1"/>
      <x:c r="B2057" s="1"/>
      <x:c r="C2057" s="1"/>
      <x:c r="D2057" s="1"/>
      <x:c r="E2057" s="1"/>
      <x:c r="F2057" s="1"/>
      <x:c r="G2057" s="1"/>
      <x:c r="H2057" s="1"/>
      <x:c r="I2057" s="1"/>
      <x:c r="J2057" s="1"/>
      <x:c r="K2057" s="1"/>
      <x:c r="L2057" s="1"/>
      <x:c r="M2057" s="1"/>
      <x:c r="N2057" s="1"/>
      <x:c r="O2057" s="1"/>
      <x:c r="P2057" s="1"/>
      <x:c r="Q2057" s="1"/>
      <x:c r="R2057" s="1"/>
      <x:c r="S2057" s="1"/>
      <x:c r="T2057" s="1"/>
      <x:c r="U2057" s="1"/>
      <x:c r="V2057" s="1"/>
      <x:c r="W2057" s="1"/>
      <x:c r="X2057" s="1"/>
      <x:c r="Y2057" s="1"/>
      <x:c r="Z2057" s="1"/>
    </x:row>
    <x:row r="2058">
      <x:c r="A2058" s="1"/>
      <x:c r="B2058" s="1"/>
      <x:c r="C2058" s="1"/>
      <x:c r="D2058" s="1"/>
      <x:c r="E2058" s="1"/>
      <x:c r="F2058" s="1"/>
      <x:c r="G2058" s="1"/>
      <x:c r="H2058" s="1"/>
      <x:c r="I2058" s="1"/>
      <x:c r="J2058" s="1"/>
      <x:c r="K2058" s="1"/>
      <x:c r="L2058" s="1"/>
      <x:c r="M2058" s="1"/>
      <x:c r="N2058" s="1"/>
      <x:c r="O2058" s="1"/>
      <x:c r="P2058" s="1"/>
      <x:c r="Q2058" s="1"/>
      <x:c r="R2058" s="1"/>
      <x:c r="S2058" s="1"/>
      <x:c r="T2058" s="1"/>
      <x:c r="U2058" s="1"/>
      <x:c r="V2058" s="1"/>
      <x:c r="W2058" s="1"/>
      <x:c r="X2058" s="1"/>
      <x:c r="Y2058" s="1"/>
      <x:c r="Z2058" s="1"/>
    </x:row>
    <x:row r="2059">
      <x:c r="A2059" s="1"/>
      <x:c r="B2059" s="1"/>
      <x:c r="C2059" s="1"/>
      <x:c r="D2059" s="1"/>
      <x:c r="E2059" s="1"/>
      <x:c r="F2059" s="1"/>
      <x:c r="G2059" s="1"/>
      <x:c r="H2059" s="1"/>
      <x:c r="I2059" s="1"/>
      <x:c r="J2059" s="1"/>
      <x:c r="K2059" s="1"/>
      <x:c r="L2059" s="1"/>
      <x:c r="M2059" s="1"/>
      <x:c r="N2059" s="1"/>
      <x:c r="O2059" s="1"/>
      <x:c r="P2059" s="1"/>
      <x:c r="Q2059" s="1"/>
      <x:c r="R2059" s="1"/>
      <x:c r="S2059" s="1"/>
      <x:c r="T2059" s="1"/>
      <x:c r="U2059" s="1"/>
      <x:c r="V2059" s="1"/>
      <x:c r="W2059" s="1"/>
      <x:c r="X2059" s="1"/>
      <x:c r="Y2059" s="1"/>
      <x:c r="Z2059" s="1"/>
    </x:row>
    <x:row r="2060">
      <x:c r="A2060" s="1"/>
      <x:c r="B2060" s="1"/>
      <x:c r="C2060" s="1"/>
      <x:c r="D2060" s="1"/>
      <x:c r="E2060" s="1"/>
      <x:c r="F2060" s="1"/>
      <x:c r="G2060" s="1"/>
      <x:c r="H2060" s="1"/>
      <x:c r="I2060" s="1"/>
      <x:c r="J2060" s="1"/>
      <x:c r="K2060" s="1"/>
      <x:c r="L2060" s="1"/>
      <x:c r="M2060" s="1"/>
      <x:c r="N2060" s="1"/>
      <x:c r="O2060" s="1"/>
      <x:c r="P2060" s="1"/>
      <x:c r="Q2060" s="1"/>
      <x:c r="R2060" s="1"/>
      <x:c r="S2060" s="1"/>
      <x:c r="T2060" s="1"/>
      <x:c r="U2060" s="1"/>
      <x:c r="V2060" s="1"/>
      <x:c r="W2060" s="1"/>
      <x:c r="X2060" s="1"/>
      <x:c r="Y2060" s="1"/>
      <x:c r="Z2060" s="1"/>
    </x:row>
    <x:row r="2061">
      <x:c r="A2061" s="1"/>
      <x:c r="B2061" s="1"/>
      <x:c r="C2061" s="1"/>
      <x:c r="D2061" s="1"/>
      <x:c r="E2061" s="1"/>
      <x:c r="F2061" s="1"/>
      <x:c r="G2061" s="1"/>
      <x:c r="H2061" s="1"/>
      <x:c r="I2061" s="1"/>
      <x:c r="J2061" s="1"/>
      <x:c r="K2061" s="1"/>
      <x:c r="L2061" s="1"/>
      <x:c r="M2061" s="1"/>
      <x:c r="N2061" s="1"/>
      <x:c r="O2061" s="1"/>
      <x:c r="P2061" s="1"/>
      <x:c r="Q2061" s="1"/>
      <x:c r="R2061" s="1"/>
      <x:c r="S2061" s="1"/>
      <x:c r="T2061" s="1"/>
      <x:c r="U2061" s="1"/>
      <x:c r="V2061" s="1"/>
      <x:c r="W2061" s="1"/>
      <x:c r="X2061" s="1"/>
      <x:c r="Y2061" s="1"/>
      <x:c r="Z2061" s="1"/>
    </x:row>
    <x:row r="2062">
      <x:c r="A2062" s="1"/>
      <x:c r="B2062" s="1"/>
      <x:c r="C2062" s="1"/>
      <x:c r="D2062" s="1"/>
      <x:c r="E2062" s="1"/>
      <x:c r="F2062" s="1"/>
      <x:c r="G2062" s="1"/>
      <x:c r="H2062" s="1"/>
      <x:c r="I2062" s="1"/>
      <x:c r="J2062" s="1"/>
      <x:c r="K2062" s="1"/>
      <x:c r="L2062" s="1"/>
      <x:c r="M2062" s="1"/>
      <x:c r="N2062" s="1"/>
      <x:c r="O2062" s="1"/>
      <x:c r="P2062" s="1"/>
      <x:c r="Q2062" s="1"/>
      <x:c r="R2062" s="1"/>
      <x:c r="S2062" s="1"/>
      <x:c r="T2062" s="1"/>
      <x:c r="U2062" s="1"/>
      <x:c r="V2062" s="1"/>
      <x:c r="W2062" s="1"/>
      <x:c r="X2062" s="1"/>
      <x:c r="Y2062" s="1"/>
      <x:c r="Z2062" s="1"/>
    </x:row>
    <x:row r="2063">
      <x:c r="A2063" s="1"/>
      <x:c r="B2063" s="1"/>
      <x:c r="C2063" s="1"/>
      <x:c r="D2063" s="1"/>
      <x:c r="E2063" s="1"/>
      <x:c r="F2063" s="1"/>
      <x:c r="G2063" s="1"/>
      <x:c r="H2063" s="1"/>
      <x:c r="I2063" s="1"/>
      <x:c r="J2063" s="1"/>
      <x:c r="K2063" s="1"/>
      <x:c r="L2063" s="1"/>
      <x:c r="M2063" s="1"/>
      <x:c r="N2063" s="1"/>
      <x:c r="O2063" s="1"/>
      <x:c r="P2063" s="1"/>
      <x:c r="Q2063" s="1"/>
      <x:c r="R2063" s="1"/>
      <x:c r="S2063" s="1"/>
      <x:c r="T2063" s="1"/>
      <x:c r="U2063" s="1"/>
      <x:c r="V2063" s="1"/>
      <x:c r="W2063" s="1"/>
      <x:c r="X2063" s="1"/>
      <x:c r="Y2063" s="1"/>
      <x:c r="Z2063" s="1"/>
    </x:row>
    <x:row r="2064">
      <x:c r="A2064" s="1"/>
      <x:c r="B2064" s="1"/>
      <x:c r="C2064" s="1"/>
      <x:c r="D2064" s="1"/>
      <x:c r="E2064" s="1"/>
      <x:c r="F2064" s="1"/>
      <x:c r="G2064" s="1"/>
      <x:c r="H2064" s="1"/>
      <x:c r="I2064" s="1"/>
      <x:c r="J2064" s="1"/>
      <x:c r="K2064" s="1"/>
      <x:c r="L2064" s="1"/>
      <x:c r="M2064" s="1"/>
      <x:c r="N2064" s="1"/>
      <x:c r="O2064" s="1"/>
      <x:c r="P2064" s="1"/>
      <x:c r="Q2064" s="1"/>
      <x:c r="R2064" s="1"/>
      <x:c r="S2064" s="1"/>
      <x:c r="T2064" s="1"/>
      <x:c r="U2064" s="1"/>
      <x:c r="V2064" s="1"/>
      <x:c r="W2064" s="1"/>
      <x:c r="X2064" s="1"/>
      <x:c r="Y2064" s="1"/>
      <x:c r="Z2064" s="1"/>
    </x:row>
    <x:row r="2065">
      <x:c r="A2065" s="1"/>
      <x:c r="B2065" s="1"/>
      <x:c r="C2065" s="1"/>
      <x:c r="D2065" s="1"/>
      <x:c r="E2065" s="1"/>
      <x:c r="F2065" s="1"/>
      <x:c r="G2065" s="1"/>
      <x:c r="H2065" s="1"/>
      <x:c r="I2065" s="1"/>
      <x:c r="J2065" s="1"/>
      <x:c r="K2065" s="1"/>
      <x:c r="L2065" s="1"/>
      <x:c r="M2065" s="1"/>
      <x:c r="N2065" s="1"/>
      <x:c r="O2065" s="1"/>
      <x:c r="P2065" s="1"/>
      <x:c r="Q2065" s="1"/>
      <x:c r="R2065" s="1"/>
      <x:c r="S2065" s="1"/>
      <x:c r="T2065" s="1"/>
      <x:c r="U2065" s="1"/>
      <x:c r="V2065" s="1"/>
      <x:c r="W2065" s="1"/>
      <x:c r="X2065" s="1"/>
      <x:c r="Y2065" s="1"/>
      <x:c r="Z2065" s="1"/>
    </x:row>
    <x:row r="2066">
      <x:c r="A2066" s="1"/>
      <x:c r="B2066" s="1"/>
      <x:c r="C2066" s="1"/>
      <x:c r="D2066" s="1"/>
      <x:c r="E2066" s="1"/>
      <x:c r="F2066" s="1"/>
      <x:c r="G2066" s="1"/>
      <x:c r="H2066" s="1"/>
      <x:c r="I2066" s="1"/>
      <x:c r="J2066" s="1"/>
      <x:c r="K2066" s="1"/>
      <x:c r="L2066" s="1"/>
      <x:c r="M2066" s="1"/>
      <x:c r="N2066" s="1"/>
      <x:c r="O2066" s="1"/>
      <x:c r="P2066" s="1"/>
      <x:c r="Q2066" s="1"/>
      <x:c r="R2066" s="1"/>
      <x:c r="S2066" s="1"/>
      <x:c r="T2066" s="1"/>
      <x:c r="U2066" s="1"/>
      <x:c r="V2066" s="1"/>
      <x:c r="W2066" s="1"/>
      <x:c r="X2066" s="1"/>
      <x:c r="Y2066" s="1"/>
      <x:c r="Z2066" s="1"/>
    </x:row>
    <x:row r="2067">
      <x:c r="A2067" s="1"/>
      <x:c r="B2067" s="1"/>
      <x:c r="C2067" s="1"/>
      <x:c r="D2067" s="1"/>
      <x:c r="E2067" s="1"/>
      <x:c r="F2067" s="1"/>
      <x:c r="G2067" s="1"/>
      <x:c r="H2067" s="1"/>
      <x:c r="I2067" s="1"/>
      <x:c r="J2067" s="1"/>
      <x:c r="K2067" s="1"/>
      <x:c r="L2067" s="1"/>
      <x:c r="M2067" s="1"/>
      <x:c r="N2067" s="1"/>
      <x:c r="O2067" s="1"/>
      <x:c r="P2067" s="1"/>
      <x:c r="Q2067" s="1"/>
      <x:c r="R2067" s="1"/>
      <x:c r="S2067" s="1"/>
      <x:c r="T2067" s="1"/>
      <x:c r="U2067" s="1"/>
      <x:c r="V2067" s="1"/>
      <x:c r="W2067" s="1"/>
      <x:c r="X2067" s="1"/>
      <x:c r="Y2067" s="1"/>
      <x:c r="Z2067" s="1"/>
    </x:row>
    <x:row r="2068">
      <x:c r="A2068" s="1"/>
      <x:c r="B2068" s="1"/>
      <x:c r="C2068" s="1"/>
      <x:c r="D2068" s="1"/>
      <x:c r="E2068" s="1"/>
      <x:c r="F2068" s="1"/>
      <x:c r="G2068" s="1"/>
      <x:c r="H2068" s="1"/>
      <x:c r="I2068" s="1"/>
      <x:c r="J2068" s="1"/>
      <x:c r="K2068" s="1"/>
      <x:c r="L2068" s="1"/>
      <x:c r="M2068" s="1"/>
      <x:c r="N2068" s="1"/>
      <x:c r="O2068" s="1"/>
      <x:c r="P2068" s="1"/>
      <x:c r="Q2068" s="1"/>
      <x:c r="R2068" s="1"/>
      <x:c r="S2068" s="1"/>
      <x:c r="T2068" s="1"/>
      <x:c r="U2068" s="1"/>
      <x:c r="V2068" s="1"/>
      <x:c r="W2068" s="1"/>
      <x:c r="X2068" s="1"/>
      <x:c r="Y2068" s="1"/>
      <x:c r="Z2068" s="1"/>
    </x:row>
    <x:row r="2069">
      <x:c r="A2069" s="1"/>
      <x:c r="B2069" s="1"/>
      <x:c r="C2069" s="1"/>
      <x:c r="D2069" s="1"/>
      <x:c r="E2069" s="1"/>
      <x:c r="F2069" s="1"/>
      <x:c r="G2069" s="1"/>
      <x:c r="H2069" s="1"/>
      <x:c r="I2069" s="1"/>
      <x:c r="J2069" s="1"/>
      <x:c r="K2069" s="1"/>
      <x:c r="L2069" s="1"/>
      <x:c r="M2069" s="1"/>
      <x:c r="N2069" s="1"/>
      <x:c r="O2069" s="1"/>
      <x:c r="P2069" s="1"/>
      <x:c r="Q2069" s="1"/>
      <x:c r="R2069" s="1"/>
      <x:c r="S2069" s="1"/>
      <x:c r="T2069" s="1"/>
      <x:c r="U2069" s="1"/>
      <x:c r="V2069" s="1"/>
      <x:c r="W2069" s="1"/>
      <x:c r="X2069" s="1"/>
      <x:c r="Y2069" s="1"/>
      <x:c r="Z2069" s="1"/>
    </x:row>
    <x:row r="2070">
      <x:c r="A2070" s="1"/>
      <x:c r="B2070" s="1"/>
      <x:c r="C2070" s="1"/>
      <x:c r="D2070" s="1"/>
      <x:c r="E2070" s="1"/>
      <x:c r="F2070" s="1"/>
      <x:c r="G2070" s="1"/>
      <x:c r="H2070" s="1"/>
      <x:c r="I2070" s="1"/>
      <x:c r="J2070" s="1"/>
      <x:c r="K2070" s="1"/>
      <x:c r="L2070" s="1"/>
      <x:c r="M2070" s="1"/>
      <x:c r="N2070" s="1"/>
      <x:c r="O2070" s="1"/>
      <x:c r="P2070" s="1"/>
      <x:c r="Q2070" s="1"/>
      <x:c r="R2070" s="1"/>
      <x:c r="S2070" s="1"/>
      <x:c r="T2070" s="1"/>
      <x:c r="U2070" s="1"/>
      <x:c r="V2070" s="1"/>
      <x:c r="W2070" s="1"/>
      <x:c r="X2070" s="1"/>
      <x:c r="Y2070" s="1"/>
      <x:c r="Z2070" s="1"/>
    </x:row>
    <x:row r="2071">
      <x:c r="A2071" s="1"/>
      <x:c r="B2071" s="1"/>
      <x:c r="C2071" s="1"/>
      <x:c r="D2071" s="1"/>
      <x:c r="E2071" s="1"/>
      <x:c r="F2071" s="1"/>
      <x:c r="G2071" s="1"/>
      <x:c r="H2071" s="1"/>
      <x:c r="I2071" s="1"/>
      <x:c r="J2071" s="1"/>
      <x:c r="K2071" s="1"/>
      <x:c r="L2071" s="1"/>
      <x:c r="M2071" s="1"/>
      <x:c r="N2071" s="1"/>
      <x:c r="O2071" s="1"/>
      <x:c r="P2071" s="1"/>
      <x:c r="Q2071" s="1"/>
      <x:c r="R2071" s="1"/>
      <x:c r="S2071" s="1"/>
      <x:c r="T2071" s="1"/>
      <x:c r="U2071" s="1"/>
      <x:c r="V2071" s="1"/>
      <x:c r="W2071" s="1"/>
      <x:c r="X2071" s="1"/>
      <x:c r="Y2071" s="1"/>
      <x:c r="Z2071" s="1"/>
    </x:row>
    <x:row r="2072">
      <x:c r="A2072" s="1"/>
      <x:c r="B2072" s="1"/>
      <x:c r="C2072" s="1"/>
      <x:c r="D2072" s="1"/>
      <x:c r="E2072" s="1"/>
      <x:c r="F2072" s="1"/>
      <x:c r="G2072" s="1"/>
      <x:c r="H2072" s="1"/>
      <x:c r="I2072" s="1"/>
      <x:c r="J2072" s="1"/>
      <x:c r="K2072" s="1"/>
      <x:c r="L2072" s="1"/>
      <x:c r="M2072" s="1"/>
      <x:c r="N2072" s="1"/>
      <x:c r="O2072" s="1"/>
      <x:c r="P2072" s="1"/>
      <x:c r="Q2072" s="1"/>
      <x:c r="R2072" s="1"/>
      <x:c r="S2072" s="1"/>
      <x:c r="T2072" s="1"/>
      <x:c r="U2072" s="1"/>
      <x:c r="V2072" s="1"/>
      <x:c r="W2072" s="1"/>
      <x:c r="X2072" s="1"/>
      <x:c r="Y2072" s="1"/>
      <x:c r="Z2072" s="1"/>
    </x:row>
    <x:row r="2073">
      <x:c r="A2073" s="1"/>
      <x:c r="B2073" s="1"/>
      <x:c r="C2073" s="1"/>
      <x:c r="D2073" s="1"/>
      <x:c r="E2073" s="1"/>
      <x:c r="F2073" s="1"/>
      <x:c r="G2073" s="1"/>
      <x:c r="H2073" s="1"/>
      <x:c r="I2073" s="1"/>
      <x:c r="J2073" s="1"/>
      <x:c r="K2073" s="1"/>
      <x:c r="L2073" s="1"/>
      <x:c r="M2073" s="1"/>
      <x:c r="N2073" s="1"/>
      <x:c r="O2073" s="1"/>
      <x:c r="P2073" s="1"/>
      <x:c r="Q2073" s="1"/>
      <x:c r="R2073" s="1"/>
      <x:c r="S2073" s="1"/>
      <x:c r="T2073" s="1"/>
      <x:c r="U2073" s="1"/>
      <x:c r="V2073" s="1"/>
      <x:c r="W2073" s="1"/>
      <x:c r="X2073" s="1"/>
      <x:c r="Y2073" s="1"/>
      <x:c r="Z2073" s="1"/>
    </x:row>
    <x:row r="2074">
      <x:c r="A2074" s="1"/>
      <x:c r="B2074" s="1"/>
      <x:c r="C2074" s="1"/>
      <x:c r="D2074" s="1"/>
      <x:c r="E2074" s="1"/>
      <x:c r="F2074" s="1"/>
      <x:c r="G2074" s="1"/>
      <x:c r="H2074" s="1"/>
      <x:c r="I2074" s="1"/>
      <x:c r="J2074" s="1"/>
      <x:c r="K2074" s="1"/>
      <x:c r="L2074" s="1"/>
      <x:c r="M2074" s="1"/>
      <x:c r="N2074" s="1"/>
      <x:c r="O2074" s="1"/>
      <x:c r="P2074" s="1"/>
      <x:c r="Q2074" s="1"/>
      <x:c r="R2074" s="1"/>
      <x:c r="S2074" s="1"/>
      <x:c r="T2074" s="1"/>
      <x:c r="U2074" s="1"/>
      <x:c r="V2074" s="1"/>
      <x:c r="W2074" s="1"/>
      <x:c r="X2074" s="1"/>
      <x:c r="Y2074" s="1"/>
      <x:c r="Z2074" s="1"/>
    </x:row>
    <x:row r="2075">
      <x:c r="A2075" s="1"/>
      <x:c r="B2075" s="1"/>
      <x:c r="C2075" s="1"/>
      <x:c r="D2075" s="1"/>
      <x:c r="E2075" s="1"/>
      <x:c r="F2075" s="1"/>
      <x:c r="G2075" s="1"/>
      <x:c r="H2075" s="1"/>
      <x:c r="I2075" s="1"/>
      <x:c r="J2075" s="1"/>
      <x:c r="K2075" s="1"/>
      <x:c r="L2075" s="1"/>
      <x:c r="M2075" s="1"/>
      <x:c r="N2075" s="1"/>
      <x:c r="O2075" s="1"/>
      <x:c r="P2075" s="1"/>
      <x:c r="Q2075" s="1"/>
      <x:c r="R2075" s="1"/>
      <x:c r="S2075" s="1"/>
      <x:c r="T2075" s="1"/>
      <x:c r="U2075" s="1"/>
      <x:c r="V2075" s="1"/>
      <x:c r="W2075" s="1"/>
      <x:c r="X2075" s="1"/>
      <x:c r="Y2075" s="1"/>
      <x:c r="Z2075" s="1"/>
    </x:row>
    <x:row r="2076">
      <x:c r="A2076" s="1"/>
      <x:c r="B2076" s="1"/>
      <x:c r="C2076" s="1"/>
      <x:c r="D2076" s="1"/>
      <x:c r="E2076" s="1"/>
      <x:c r="F2076" s="1"/>
      <x:c r="G2076" s="1"/>
      <x:c r="H2076" s="1"/>
      <x:c r="I2076" s="1"/>
      <x:c r="J2076" s="1"/>
      <x:c r="K2076" s="1"/>
      <x:c r="L2076" s="1"/>
      <x:c r="M2076" s="1"/>
      <x:c r="N2076" s="1"/>
      <x:c r="O2076" s="1"/>
      <x:c r="P2076" s="1"/>
      <x:c r="Q2076" s="1"/>
      <x:c r="R2076" s="1"/>
      <x:c r="S2076" s="1"/>
      <x:c r="T2076" s="1"/>
      <x:c r="U2076" s="1"/>
      <x:c r="V2076" s="1"/>
      <x:c r="W2076" s="1"/>
      <x:c r="X2076" s="1"/>
      <x:c r="Y2076" s="1"/>
      <x:c r="Z2076" s="1"/>
    </x:row>
    <x:row r="2077">
      <x:c r="A2077" s="1"/>
      <x:c r="B2077" s="1"/>
      <x:c r="C2077" s="1"/>
      <x:c r="D2077" s="1"/>
      <x:c r="E2077" s="1"/>
      <x:c r="F2077" s="1"/>
      <x:c r="G2077" s="1"/>
      <x:c r="H2077" s="1"/>
      <x:c r="I2077" s="1"/>
      <x:c r="J2077" s="1"/>
      <x:c r="K2077" s="1"/>
      <x:c r="L2077" s="1"/>
      <x:c r="M2077" s="1"/>
      <x:c r="N2077" s="1"/>
      <x:c r="O2077" s="1"/>
      <x:c r="P2077" s="1"/>
      <x:c r="Q2077" s="1"/>
      <x:c r="R2077" s="1"/>
      <x:c r="S2077" s="1"/>
      <x:c r="T2077" s="1"/>
      <x:c r="U2077" s="1"/>
      <x:c r="V2077" s="1"/>
      <x:c r="W2077" s="1"/>
      <x:c r="X2077" s="1"/>
      <x:c r="Y2077" s="1"/>
      <x:c r="Z2077" s="1"/>
    </x:row>
    <x:row r="2078">
      <x:c r="A2078" s="1"/>
      <x:c r="B2078" s="1"/>
      <x:c r="C2078" s="1"/>
      <x:c r="D2078" s="1"/>
      <x:c r="E2078" s="1"/>
      <x:c r="F2078" s="1"/>
      <x:c r="G2078" s="1"/>
      <x:c r="H2078" s="1"/>
      <x:c r="I2078" s="1"/>
      <x:c r="J2078" s="1"/>
      <x:c r="K2078" s="1"/>
      <x:c r="L2078" s="1"/>
      <x:c r="M2078" s="1"/>
      <x:c r="N2078" s="1"/>
      <x:c r="O2078" s="1"/>
      <x:c r="P2078" s="1"/>
      <x:c r="Q2078" s="1"/>
      <x:c r="R2078" s="1"/>
      <x:c r="S2078" s="1"/>
      <x:c r="T2078" s="1"/>
      <x:c r="U2078" s="1"/>
      <x:c r="V2078" s="1"/>
      <x:c r="W2078" s="1"/>
      <x:c r="X2078" s="1"/>
      <x:c r="Y2078" s="1"/>
      <x:c r="Z2078" s="1"/>
    </x:row>
    <x:row r="2079">
      <x:c r="A2079" s="1"/>
      <x:c r="B2079" s="1"/>
      <x:c r="C2079" s="1"/>
      <x:c r="D2079" s="1"/>
      <x:c r="E2079" s="1"/>
      <x:c r="F2079" s="1"/>
      <x:c r="G2079" s="1"/>
      <x:c r="H2079" s="1"/>
      <x:c r="I2079" s="1"/>
      <x:c r="J2079" s="1"/>
      <x:c r="K2079" s="1"/>
      <x:c r="L2079" s="1"/>
      <x:c r="M2079" s="1"/>
      <x:c r="N2079" s="1"/>
      <x:c r="O2079" s="1"/>
      <x:c r="P2079" s="1"/>
      <x:c r="Q2079" s="1"/>
      <x:c r="R2079" s="1"/>
      <x:c r="S2079" s="1"/>
      <x:c r="T2079" s="1"/>
      <x:c r="U2079" s="1"/>
      <x:c r="V2079" s="1"/>
      <x:c r="W2079" s="1"/>
      <x:c r="X2079" s="1"/>
      <x:c r="Y2079" s="1"/>
      <x:c r="Z2079" s="1"/>
    </x:row>
    <x:row r="2080">
      <x:c r="A2080" s="1"/>
      <x:c r="B2080" s="1"/>
      <x:c r="C2080" s="1"/>
      <x:c r="D2080" s="1"/>
      <x:c r="E2080" s="1"/>
      <x:c r="F2080" s="1"/>
      <x:c r="G2080" s="1"/>
      <x:c r="H2080" s="1"/>
      <x:c r="I2080" s="1"/>
      <x:c r="J2080" s="1"/>
      <x:c r="K2080" s="1"/>
      <x:c r="L2080" s="1"/>
      <x:c r="M2080" s="1"/>
      <x:c r="N2080" s="1"/>
      <x:c r="O2080" s="1"/>
      <x:c r="P2080" s="1"/>
      <x:c r="Q2080" s="1"/>
      <x:c r="R2080" s="1"/>
      <x:c r="S2080" s="1"/>
      <x:c r="T2080" s="1"/>
      <x:c r="U2080" s="1"/>
      <x:c r="V2080" s="1"/>
      <x:c r="W2080" s="1"/>
      <x:c r="X2080" s="1"/>
      <x:c r="Y2080" s="1"/>
      <x:c r="Z2080" s="1"/>
    </x:row>
    <x:row r="2081">
      <x:c r="A2081" s="1"/>
      <x:c r="B2081" s="1"/>
      <x:c r="C2081" s="1"/>
      <x:c r="D2081" s="1"/>
      <x:c r="E2081" s="1"/>
      <x:c r="F2081" s="1"/>
      <x:c r="G2081" s="1"/>
      <x:c r="H2081" s="1"/>
      <x:c r="I2081" s="1"/>
      <x:c r="J2081" s="1"/>
      <x:c r="K2081" s="1"/>
      <x:c r="L2081" s="1"/>
      <x:c r="M2081" s="1"/>
      <x:c r="N2081" s="1"/>
      <x:c r="O2081" s="1"/>
      <x:c r="P2081" s="1"/>
      <x:c r="Q2081" s="1"/>
      <x:c r="R2081" s="1"/>
      <x:c r="S2081" s="1"/>
      <x:c r="T2081" s="1"/>
      <x:c r="U2081" s="1"/>
      <x:c r="V2081" s="1"/>
      <x:c r="W2081" s="1"/>
      <x:c r="X2081" s="1"/>
      <x:c r="Y2081" s="1"/>
      <x:c r="Z2081" s="1"/>
    </x:row>
    <x:row r="2082">
      <x:c r="A2082" s="1"/>
      <x:c r="B2082" s="1"/>
      <x:c r="C2082" s="1"/>
      <x:c r="D2082" s="1"/>
      <x:c r="E2082" s="1"/>
      <x:c r="F2082" s="1"/>
      <x:c r="G2082" s="1"/>
      <x:c r="H2082" s="1"/>
      <x:c r="I2082" s="1"/>
      <x:c r="J2082" s="1"/>
      <x:c r="K2082" s="1"/>
      <x:c r="L2082" s="1"/>
      <x:c r="M2082" s="1"/>
      <x:c r="N2082" s="1"/>
      <x:c r="O2082" s="1"/>
      <x:c r="P2082" s="1"/>
      <x:c r="Q2082" s="1"/>
      <x:c r="R2082" s="1"/>
      <x:c r="S2082" s="1"/>
      <x:c r="T2082" s="1"/>
      <x:c r="U2082" s="1"/>
      <x:c r="V2082" s="1"/>
      <x:c r="W2082" s="1"/>
      <x:c r="X2082" s="1"/>
      <x:c r="Y2082" s="1"/>
      <x:c r="Z2082" s="1"/>
    </x:row>
    <x:row r="2083">
      <x:c r="A2083" s="1"/>
      <x:c r="B2083" s="1"/>
      <x:c r="C2083" s="1"/>
      <x:c r="D2083" s="1"/>
      <x:c r="E2083" s="1"/>
      <x:c r="F2083" s="1"/>
      <x:c r="G2083" s="1"/>
      <x:c r="H2083" s="1"/>
      <x:c r="I2083" s="1"/>
      <x:c r="J2083" s="1"/>
      <x:c r="K2083" s="1"/>
      <x:c r="L2083" s="1"/>
      <x:c r="M2083" s="1"/>
      <x:c r="N2083" s="1"/>
      <x:c r="O2083" s="1"/>
      <x:c r="P2083" s="1"/>
      <x:c r="Q2083" s="1"/>
      <x:c r="R2083" s="1"/>
      <x:c r="S2083" s="1"/>
      <x:c r="T2083" s="1"/>
      <x:c r="U2083" s="1"/>
      <x:c r="V2083" s="1"/>
      <x:c r="W2083" s="1"/>
      <x:c r="X2083" s="1"/>
      <x:c r="Y2083" s="1"/>
      <x:c r="Z2083" s="1"/>
    </x:row>
    <x:row r="2084">
      <x:c r="A2084" s="1"/>
      <x:c r="B2084" s="1"/>
      <x:c r="C2084" s="1"/>
      <x:c r="D2084" s="1"/>
      <x:c r="E2084" s="1"/>
      <x:c r="F2084" s="1"/>
      <x:c r="G2084" s="1"/>
      <x:c r="H2084" s="1"/>
      <x:c r="I2084" s="1"/>
      <x:c r="J2084" s="1"/>
      <x:c r="K2084" s="1"/>
      <x:c r="L2084" s="1"/>
      <x:c r="M2084" s="1"/>
      <x:c r="N2084" s="1"/>
      <x:c r="O2084" s="1"/>
      <x:c r="P2084" s="1"/>
      <x:c r="Q2084" s="1"/>
      <x:c r="R2084" s="1"/>
      <x:c r="S2084" s="1"/>
      <x:c r="T2084" s="1"/>
      <x:c r="U2084" s="1"/>
      <x:c r="V2084" s="1"/>
      <x:c r="W2084" s="1"/>
      <x:c r="X2084" s="1"/>
      <x:c r="Y2084" s="1"/>
      <x:c r="Z2084" s="1"/>
    </x:row>
    <x:row r="2085">
      <x:c r="A2085" s="1"/>
      <x:c r="B2085" s="1"/>
      <x:c r="C2085" s="1"/>
      <x:c r="D2085" s="1"/>
      <x:c r="E2085" s="1"/>
      <x:c r="F2085" s="1"/>
      <x:c r="G2085" s="1"/>
      <x:c r="H2085" s="1"/>
      <x:c r="I2085" s="1"/>
      <x:c r="J2085" s="1"/>
      <x:c r="K2085" s="1"/>
      <x:c r="L2085" s="1"/>
      <x:c r="M2085" s="1"/>
      <x:c r="N2085" s="1"/>
      <x:c r="O2085" s="1"/>
      <x:c r="P2085" s="1"/>
      <x:c r="Q2085" s="1"/>
      <x:c r="R2085" s="1"/>
      <x:c r="S2085" s="1"/>
      <x:c r="T2085" s="1"/>
      <x:c r="U2085" s="1"/>
      <x:c r="V2085" s="1"/>
      <x:c r="W2085" s="1"/>
      <x:c r="X2085" s="1"/>
      <x:c r="Y2085" s="1"/>
      <x:c r="Z2085" s="1"/>
    </x:row>
    <x:row r="2086">
      <x:c r="A2086" s="1"/>
      <x:c r="B2086" s="1"/>
      <x:c r="C2086" s="1"/>
      <x:c r="D2086" s="1"/>
      <x:c r="E2086" s="1"/>
      <x:c r="F2086" s="1"/>
      <x:c r="G2086" s="1"/>
      <x:c r="H2086" s="1"/>
      <x:c r="I2086" s="1"/>
      <x:c r="J2086" s="1"/>
      <x:c r="K2086" s="1"/>
      <x:c r="L2086" s="1"/>
      <x:c r="M2086" s="1"/>
      <x:c r="N2086" s="1"/>
      <x:c r="O2086" s="1"/>
      <x:c r="P2086" s="1"/>
      <x:c r="Q2086" s="1"/>
      <x:c r="R2086" s="1"/>
      <x:c r="S2086" s="1"/>
      <x:c r="T2086" s="1"/>
      <x:c r="U2086" s="1"/>
      <x:c r="V2086" s="1"/>
      <x:c r="W2086" s="1"/>
      <x:c r="X2086" s="1"/>
      <x:c r="Y2086" s="1"/>
      <x:c r="Z2086" s="1"/>
    </x:row>
    <x:row r="2087">
      <x:c r="A2087" s="1"/>
      <x:c r="B2087" s="1"/>
      <x:c r="C2087" s="1"/>
      <x:c r="D2087" s="1"/>
      <x:c r="E2087" s="1"/>
      <x:c r="F2087" s="1"/>
      <x:c r="G2087" s="1"/>
      <x:c r="H2087" s="1"/>
      <x:c r="I2087" s="1"/>
      <x:c r="J2087" s="1"/>
      <x:c r="K2087" s="1"/>
      <x:c r="L2087" s="1"/>
      <x:c r="M2087" s="1"/>
      <x:c r="N2087" s="1"/>
      <x:c r="O2087" s="1"/>
      <x:c r="P2087" s="1"/>
      <x:c r="Q2087" s="1"/>
      <x:c r="R2087" s="1"/>
      <x:c r="S2087" s="1"/>
      <x:c r="T2087" s="1"/>
      <x:c r="U2087" s="1"/>
      <x:c r="V2087" s="1"/>
      <x:c r="W2087" s="1"/>
      <x:c r="X2087" s="1"/>
      <x:c r="Y2087" s="1"/>
      <x:c r="Z2087" s="1"/>
    </x:row>
    <x:row r="2088">
      <x:c r="A2088" s="1"/>
      <x:c r="B2088" s="1"/>
      <x:c r="C2088" s="1"/>
      <x:c r="D2088" s="1"/>
      <x:c r="E2088" s="1"/>
      <x:c r="F2088" s="1"/>
      <x:c r="G2088" s="1"/>
      <x:c r="H2088" s="1"/>
      <x:c r="I2088" s="1"/>
      <x:c r="J2088" s="1"/>
      <x:c r="K2088" s="1"/>
      <x:c r="L2088" s="1"/>
      <x:c r="M2088" s="1"/>
      <x:c r="N2088" s="1"/>
      <x:c r="O2088" s="1"/>
      <x:c r="P2088" s="1"/>
      <x:c r="Q2088" s="1"/>
      <x:c r="R2088" s="1"/>
      <x:c r="S2088" s="1"/>
      <x:c r="T2088" s="1"/>
      <x:c r="U2088" s="1"/>
      <x:c r="V2088" s="1"/>
      <x:c r="W2088" s="1"/>
      <x:c r="X2088" s="1"/>
      <x:c r="Y2088" s="1"/>
      <x:c r="Z2088" s="1"/>
    </x:row>
    <x:row r="2089">
      <x:c r="A2089" s="1"/>
      <x:c r="B2089" s="1"/>
      <x:c r="C2089" s="1"/>
      <x:c r="D2089" s="1"/>
      <x:c r="E2089" s="1"/>
      <x:c r="F2089" s="1"/>
      <x:c r="G2089" s="1"/>
      <x:c r="H2089" s="1"/>
      <x:c r="I2089" s="1"/>
      <x:c r="J2089" s="1"/>
      <x:c r="K2089" s="1"/>
      <x:c r="L2089" s="1"/>
      <x:c r="M2089" s="1"/>
      <x:c r="N2089" s="1"/>
      <x:c r="O2089" s="1"/>
      <x:c r="P2089" s="1"/>
      <x:c r="Q2089" s="1"/>
      <x:c r="R2089" s="1"/>
      <x:c r="S2089" s="1"/>
      <x:c r="T2089" s="1"/>
      <x:c r="U2089" s="1"/>
      <x:c r="V2089" s="1"/>
      <x:c r="W2089" s="1"/>
      <x:c r="X2089" s="1"/>
      <x:c r="Y2089" s="1"/>
      <x:c r="Z2089" s="1"/>
    </x:row>
    <x:row r="2090">
      <x:c r="A2090" s="1"/>
      <x:c r="B2090" s="1"/>
      <x:c r="C2090" s="1"/>
      <x:c r="D2090" s="1"/>
      <x:c r="E2090" s="1"/>
      <x:c r="F2090" s="1"/>
      <x:c r="G2090" s="1"/>
      <x:c r="H2090" s="1"/>
      <x:c r="I2090" s="1"/>
      <x:c r="J2090" s="1"/>
      <x:c r="K2090" s="1"/>
      <x:c r="L2090" s="1"/>
      <x:c r="M2090" s="1"/>
      <x:c r="N2090" s="1"/>
      <x:c r="O2090" s="1"/>
      <x:c r="P2090" s="1"/>
      <x:c r="Q2090" s="1"/>
      <x:c r="R2090" s="1"/>
      <x:c r="S2090" s="1"/>
      <x:c r="T2090" s="1"/>
      <x:c r="U2090" s="1"/>
      <x:c r="V2090" s="1"/>
      <x:c r="W2090" s="1"/>
      <x:c r="X2090" s="1"/>
      <x:c r="Y2090" s="1"/>
      <x:c r="Z2090" s="1"/>
    </x:row>
    <x:row r="2091">
      <x:c r="A2091" s="1"/>
      <x:c r="B2091" s="1"/>
      <x:c r="C2091" s="1"/>
      <x:c r="D2091" s="1"/>
      <x:c r="E2091" s="1"/>
      <x:c r="F2091" s="1"/>
      <x:c r="G2091" s="1"/>
      <x:c r="H2091" s="1"/>
      <x:c r="I2091" s="1"/>
      <x:c r="J2091" s="1"/>
      <x:c r="K2091" s="1"/>
      <x:c r="L2091" s="1"/>
      <x:c r="M2091" s="1"/>
      <x:c r="N2091" s="1"/>
      <x:c r="O2091" s="1"/>
      <x:c r="P2091" s="1"/>
      <x:c r="Q2091" s="1"/>
      <x:c r="R2091" s="1"/>
      <x:c r="S2091" s="1"/>
      <x:c r="T2091" s="1"/>
      <x:c r="U2091" s="1"/>
      <x:c r="V2091" s="1"/>
      <x:c r="W2091" s="1"/>
      <x:c r="X2091" s="1"/>
      <x:c r="Y2091" s="1"/>
      <x:c r="Z2091" s="1"/>
    </x:row>
    <x:row r="2092">
      <x:c r="A2092" s="1"/>
      <x:c r="B2092" s="1"/>
      <x:c r="C2092" s="1"/>
      <x:c r="D2092" s="1"/>
      <x:c r="E2092" s="1"/>
      <x:c r="F2092" s="1"/>
      <x:c r="G2092" s="1"/>
      <x:c r="H2092" s="1"/>
      <x:c r="I2092" s="1"/>
      <x:c r="J2092" s="1"/>
      <x:c r="K2092" s="1"/>
      <x:c r="L2092" s="1"/>
      <x:c r="M2092" s="1"/>
      <x:c r="N2092" s="1"/>
      <x:c r="O2092" s="1"/>
      <x:c r="P2092" s="1"/>
      <x:c r="Q2092" s="1"/>
      <x:c r="R2092" s="1"/>
      <x:c r="S2092" s="1"/>
      <x:c r="T2092" s="1"/>
      <x:c r="U2092" s="1"/>
      <x:c r="V2092" s="1"/>
      <x:c r="W2092" s="1"/>
      <x:c r="X2092" s="1"/>
      <x:c r="Y2092" s="1"/>
      <x:c r="Z2092" s="1"/>
    </x:row>
    <x:row r="2093">
      <x:c r="A2093" s="1"/>
      <x:c r="B2093" s="1"/>
      <x:c r="C2093" s="1"/>
      <x:c r="D2093" s="1"/>
      <x:c r="E2093" s="1"/>
      <x:c r="F2093" s="1"/>
      <x:c r="G2093" s="1"/>
      <x:c r="H2093" s="1"/>
      <x:c r="I2093" s="1"/>
      <x:c r="J2093" s="1"/>
      <x:c r="K2093" s="1"/>
      <x:c r="L2093" s="1"/>
      <x:c r="M2093" s="1"/>
      <x:c r="N2093" s="1"/>
      <x:c r="O2093" s="1"/>
      <x:c r="P2093" s="1"/>
      <x:c r="Q2093" s="1"/>
      <x:c r="R2093" s="1"/>
      <x:c r="S2093" s="1"/>
      <x:c r="T2093" s="1"/>
      <x:c r="U2093" s="1"/>
      <x:c r="V2093" s="1"/>
      <x:c r="W2093" s="1"/>
      <x:c r="X2093" s="1"/>
      <x:c r="Y2093" s="1"/>
      <x:c r="Z2093" s="1"/>
    </x:row>
    <x:row r="2094">
      <x:c r="A2094" s="1"/>
      <x:c r="B2094" s="1"/>
      <x:c r="C2094" s="1"/>
      <x:c r="D2094" s="1"/>
      <x:c r="E2094" s="1"/>
      <x:c r="F2094" s="1"/>
      <x:c r="G2094" s="1"/>
      <x:c r="H2094" s="1"/>
      <x:c r="I2094" s="1"/>
      <x:c r="J2094" s="1"/>
      <x:c r="K2094" s="1"/>
      <x:c r="L2094" s="1"/>
      <x:c r="M2094" s="1"/>
      <x:c r="N2094" s="1"/>
      <x:c r="O2094" s="1"/>
      <x:c r="P2094" s="1"/>
      <x:c r="Q2094" s="1"/>
      <x:c r="R2094" s="1"/>
      <x:c r="S2094" s="1"/>
      <x:c r="T2094" s="1"/>
      <x:c r="U2094" s="1"/>
      <x:c r="V2094" s="1"/>
      <x:c r="W2094" s="1"/>
      <x:c r="X2094" s="1"/>
      <x:c r="Y2094" s="1"/>
      <x:c r="Z2094" s="1"/>
    </x:row>
    <x:row r="2095">
      <x:c r="A2095" s="1"/>
      <x:c r="B2095" s="1"/>
      <x:c r="C2095" s="1"/>
      <x:c r="D2095" s="1"/>
      <x:c r="E2095" s="1"/>
      <x:c r="F2095" s="1"/>
      <x:c r="G2095" s="1"/>
      <x:c r="H2095" s="1"/>
      <x:c r="I2095" s="1"/>
      <x:c r="J2095" s="1"/>
      <x:c r="K2095" s="1"/>
      <x:c r="L2095" s="1"/>
      <x:c r="M2095" s="1"/>
      <x:c r="N2095" s="1"/>
      <x:c r="O2095" s="1"/>
      <x:c r="P2095" s="1"/>
      <x:c r="Q2095" s="1"/>
      <x:c r="R2095" s="1"/>
      <x:c r="S2095" s="1"/>
      <x:c r="T2095" s="1"/>
      <x:c r="U2095" s="1"/>
      <x:c r="V2095" s="1"/>
      <x:c r="W2095" s="1"/>
      <x:c r="X2095" s="1"/>
      <x:c r="Y2095" s="1"/>
      <x:c r="Z2095" s="1"/>
    </x:row>
    <x:row r="2096">
      <x:c r="A2096" s="1"/>
      <x:c r="B2096" s="1"/>
      <x:c r="C2096" s="1"/>
      <x:c r="D2096" s="1"/>
      <x:c r="E2096" s="1"/>
      <x:c r="F2096" s="1"/>
      <x:c r="G2096" s="1"/>
      <x:c r="H2096" s="1"/>
      <x:c r="I2096" s="1"/>
      <x:c r="J2096" s="1"/>
      <x:c r="K2096" s="1"/>
      <x:c r="L2096" s="1"/>
      <x:c r="M2096" s="1"/>
      <x:c r="N2096" s="1"/>
      <x:c r="O2096" s="1"/>
      <x:c r="P2096" s="1"/>
      <x:c r="Q2096" s="1"/>
      <x:c r="R2096" s="1"/>
      <x:c r="S2096" s="1"/>
      <x:c r="T2096" s="1"/>
      <x:c r="U2096" s="1"/>
      <x:c r="V2096" s="1"/>
      <x:c r="W2096" s="1"/>
      <x:c r="X2096" s="1"/>
      <x:c r="Y2096" s="1"/>
      <x:c r="Z2096" s="1"/>
    </x:row>
    <x:row r="2097">
      <x:c r="A2097" s="1"/>
      <x:c r="B2097" s="1"/>
      <x:c r="C2097" s="1"/>
      <x:c r="D2097" s="1"/>
      <x:c r="E2097" s="1"/>
      <x:c r="F2097" s="1"/>
      <x:c r="G2097" s="1"/>
      <x:c r="H2097" s="1"/>
      <x:c r="I2097" s="1"/>
      <x:c r="J2097" s="1"/>
      <x:c r="K2097" s="1"/>
      <x:c r="L2097" s="1"/>
      <x:c r="M2097" s="1"/>
      <x:c r="N2097" s="1"/>
      <x:c r="O2097" s="1"/>
      <x:c r="P2097" s="1"/>
      <x:c r="Q2097" s="1"/>
      <x:c r="R2097" s="1"/>
      <x:c r="S2097" s="1"/>
      <x:c r="T2097" s="1"/>
      <x:c r="U2097" s="1"/>
      <x:c r="V2097" s="1"/>
      <x:c r="W2097" s="1"/>
      <x:c r="X2097" s="1"/>
      <x:c r="Y2097" s="1"/>
      <x:c r="Z2097" s="1"/>
    </x:row>
    <x:row r="2098">
      <x:c r="A2098" s="1"/>
      <x:c r="B2098" s="1"/>
      <x:c r="C2098" s="1"/>
      <x:c r="D2098" s="1"/>
      <x:c r="E2098" s="1"/>
      <x:c r="F2098" s="1"/>
      <x:c r="G2098" s="1"/>
      <x:c r="H2098" s="1"/>
      <x:c r="I2098" s="1"/>
      <x:c r="J2098" s="1"/>
      <x:c r="K2098" s="1"/>
      <x:c r="L2098" s="1"/>
      <x:c r="M2098" s="1"/>
      <x:c r="N2098" s="1"/>
      <x:c r="O2098" s="1"/>
      <x:c r="P2098" s="1"/>
      <x:c r="Q2098" s="1"/>
      <x:c r="R2098" s="1"/>
      <x:c r="S2098" s="1"/>
      <x:c r="T2098" s="1"/>
      <x:c r="U2098" s="1"/>
      <x:c r="V2098" s="1"/>
      <x:c r="W2098" s="1"/>
      <x:c r="X2098" s="1"/>
      <x:c r="Y2098" s="1"/>
      <x:c r="Z2098" s="1"/>
    </x:row>
    <x:row r="2099">
      <x:c r="A2099" s="1"/>
      <x:c r="B2099" s="1"/>
      <x:c r="C2099" s="1"/>
      <x:c r="D2099" s="1"/>
      <x:c r="E2099" s="1"/>
      <x:c r="F2099" s="1"/>
      <x:c r="G2099" s="1"/>
      <x:c r="H2099" s="1"/>
      <x:c r="I2099" s="1"/>
      <x:c r="J2099" s="1"/>
      <x:c r="K2099" s="1"/>
      <x:c r="L2099" s="1"/>
      <x:c r="M2099" s="1"/>
      <x:c r="N2099" s="1"/>
      <x:c r="O2099" s="1"/>
      <x:c r="P2099" s="1"/>
      <x:c r="Q2099" s="1"/>
      <x:c r="R2099" s="1"/>
      <x:c r="S2099" s="1"/>
      <x:c r="T2099" s="1"/>
      <x:c r="U2099" s="1"/>
      <x:c r="V2099" s="1"/>
      <x:c r="W2099" s="1"/>
      <x:c r="X2099" s="1"/>
      <x:c r="Y2099" s="1"/>
      <x:c r="Z2099" s="1"/>
    </x:row>
    <x:row r="2100">
      <x:c r="A2100" s="1"/>
      <x:c r="B2100" s="1"/>
      <x:c r="C2100" s="1"/>
      <x:c r="D2100" s="1"/>
      <x:c r="E2100" s="1"/>
      <x:c r="F2100" s="1"/>
      <x:c r="G2100" s="1"/>
      <x:c r="H2100" s="1"/>
      <x:c r="I2100" s="1"/>
      <x:c r="J2100" s="1"/>
      <x:c r="K2100" s="1"/>
      <x:c r="L2100" s="1"/>
      <x:c r="M2100" s="1"/>
      <x:c r="N2100" s="1"/>
      <x:c r="O2100" s="1"/>
      <x:c r="P2100" s="1"/>
      <x:c r="Q2100" s="1"/>
      <x:c r="R2100" s="1"/>
      <x:c r="S2100" s="1"/>
      <x:c r="T2100" s="1"/>
      <x:c r="U2100" s="1"/>
      <x:c r="V2100" s="1"/>
      <x:c r="W2100" s="1"/>
      <x:c r="X2100" s="1"/>
      <x:c r="Y2100" s="1"/>
      <x:c r="Z2100" s="1"/>
    </x:row>
    <x:row r="2101">
      <x:c r="A2101" s="1"/>
      <x:c r="B2101" s="1"/>
      <x:c r="C2101" s="1"/>
      <x:c r="D2101" s="1"/>
      <x:c r="E2101" s="1"/>
      <x:c r="F2101" s="1"/>
      <x:c r="G2101" s="1"/>
      <x:c r="H2101" s="1"/>
      <x:c r="I2101" s="1"/>
      <x:c r="J2101" s="1"/>
      <x:c r="K2101" s="1"/>
      <x:c r="L2101" s="1"/>
      <x:c r="M2101" s="1"/>
      <x:c r="N2101" s="1"/>
      <x:c r="O2101" s="1"/>
      <x:c r="P2101" s="1"/>
      <x:c r="Q2101" s="1"/>
      <x:c r="R2101" s="1"/>
      <x:c r="S2101" s="1"/>
      <x:c r="T2101" s="1"/>
      <x:c r="U2101" s="1"/>
      <x:c r="V2101" s="1"/>
      <x:c r="W2101" s="1"/>
      <x:c r="X2101" s="1"/>
      <x:c r="Y2101" s="1"/>
      <x:c r="Z2101" s="1"/>
    </x:row>
    <x:row r="2102">
      <x:c r="A2102" s="1"/>
      <x:c r="B2102" s="1"/>
      <x:c r="C2102" s="1"/>
      <x:c r="D2102" s="1"/>
      <x:c r="E2102" s="1"/>
      <x:c r="F2102" s="1"/>
      <x:c r="G2102" s="1"/>
      <x:c r="H2102" s="1"/>
      <x:c r="I2102" s="1"/>
      <x:c r="J2102" s="1"/>
      <x:c r="K2102" s="1"/>
      <x:c r="L2102" s="1"/>
      <x:c r="M2102" s="1"/>
      <x:c r="N2102" s="1"/>
      <x:c r="O2102" s="1"/>
      <x:c r="P2102" s="1"/>
      <x:c r="Q2102" s="1"/>
      <x:c r="R2102" s="1"/>
      <x:c r="S2102" s="1"/>
      <x:c r="T2102" s="1"/>
      <x:c r="U2102" s="1"/>
      <x:c r="V2102" s="1"/>
      <x:c r="W2102" s="1"/>
      <x:c r="X2102" s="1"/>
      <x:c r="Y2102" s="1"/>
      <x:c r="Z2102" s="1"/>
    </x:row>
    <x:row r="2103">
      <x:c r="A2103" s="1"/>
      <x:c r="B2103" s="1"/>
      <x:c r="C2103" s="1"/>
      <x:c r="D2103" s="1"/>
      <x:c r="E2103" s="1"/>
      <x:c r="F2103" s="1"/>
      <x:c r="G2103" s="1"/>
      <x:c r="H2103" s="1"/>
      <x:c r="I2103" s="1"/>
      <x:c r="J2103" s="1"/>
      <x:c r="K2103" s="1"/>
      <x:c r="L2103" s="1"/>
      <x:c r="M2103" s="1"/>
      <x:c r="N2103" s="1"/>
      <x:c r="O2103" s="1"/>
      <x:c r="P2103" s="1"/>
      <x:c r="Q2103" s="1"/>
      <x:c r="R2103" s="1"/>
      <x:c r="S2103" s="1"/>
      <x:c r="T2103" s="1"/>
      <x:c r="U2103" s="1"/>
      <x:c r="V2103" s="1"/>
      <x:c r="W2103" s="1"/>
      <x:c r="X2103" s="1"/>
      <x:c r="Y2103" s="1"/>
      <x:c r="Z2103" s="1"/>
    </x:row>
    <x:row r="2104">
      <x:c r="A2104" s="1"/>
      <x:c r="B2104" s="1"/>
      <x:c r="C2104" s="1"/>
      <x:c r="D2104" s="1"/>
      <x:c r="E2104" s="1"/>
      <x:c r="F2104" s="1"/>
      <x:c r="G2104" s="1"/>
      <x:c r="H2104" s="1"/>
      <x:c r="I2104" s="1"/>
      <x:c r="J2104" s="1"/>
      <x:c r="K2104" s="1"/>
      <x:c r="L2104" s="1"/>
      <x:c r="M2104" s="1"/>
      <x:c r="N2104" s="1"/>
      <x:c r="O2104" s="1"/>
      <x:c r="P2104" s="1"/>
      <x:c r="Q2104" s="1"/>
      <x:c r="R2104" s="1"/>
      <x:c r="S2104" s="1"/>
      <x:c r="T2104" s="1"/>
      <x:c r="U2104" s="1"/>
      <x:c r="V2104" s="1"/>
      <x:c r="W2104" s="1"/>
      <x:c r="X2104" s="1"/>
      <x:c r="Y2104" s="1"/>
      <x:c r="Z2104" s="1"/>
    </x:row>
    <x:row r="2105">
      <x:c r="A2105" s="1"/>
      <x:c r="B2105" s="1"/>
      <x:c r="C2105" s="1"/>
      <x:c r="D2105" s="1"/>
      <x:c r="E2105" s="1"/>
      <x:c r="F2105" s="1"/>
      <x:c r="G2105" s="1"/>
      <x:c r="H2105" s="1"/>
      <x:c r="I2105" s="1"/>
      <x:c r="J2105" s="1"/>
      <x:c r="K2105" s="1"/>
      <x:c r="L2105" s="1"/>
      <x:c r="M2105" s="1"/>
      <x:c r="N2105" s="1"/>
      <x:c r="O2105" s="1"/>
      <x:c r="P2105" s="1"/>
      <x:c r="Q2105" s="1"/>
      <x:c r="R2105" s="1"/>
      <x:c r="S2105" s="1"/>
      <x:c r="T2105" s="1"/>
      <x:c r="U2105" s="1"/>
      <x:c r="V2105" s="1"/>
      <x:c r="W2105" s="1"/>
      <x:c r="X2105" s="1"/>
      <x:c r="Y2105" s="1"/>
      <x:c r="Z2105" s="1"/>
    </x:row>
    <x:row r="2106">
      <x:c r="A2106" s="1"/>
      <x:c r="B2106" s="1"/>
      <x:c r="C2106" s="1"/>
      <x:c r="D2106" s="1"/>
      <x:c r="E2106" s="1"/>
      <x:c r="F2106" s="1"/>
      <x:c r="G2106" s="1"/>
      <x:c r="H2106" s="1"/>
      <x:c r="I2106" s="1"/>
      <x:c r="J2106" s="1"/>
      <x:c r="K2106" s="1"/>
      <x:c r="L2106" s="1"/>
      <x:c r="M2106" s="1"/>
      <x:c r="N2106" s="1"/>
      <x:c r="O2106" s="1"/>
      <x:c r="P2106" s="1"/>
      <x:c r="Q2106" s="1"/>
      <x:c r="R2106" s="1"/>
      <x:c r="S2106" s="1"/>
      <x:c r="T2106" s="1"/>
      <x:c r="U2106" s="1"/>
      <x:c r="V2106" s="1"/>
      <x:c r="W2106" s="1"/>
      <x:c r="X2106" s="1"/>
      <x:c r="Y2106" s="1"/>
      <x:c r="Z2106" s="1"/>
    </x:row>
    <x:row r="2107">
      <x:c r="A2107" s="1"/>
      <x:c r="B2107" s="1"/>
      <x:c r="C2107" s="1"/>
      <x:c r="D2107" s="1"/>
      <x:c r="E2107" s="1"/>
      <x:c r="F2107" s="1"/>
      <x:c r="G2107" s="1"/>
      <x:c r="H2107" s="1"/>
      <x:c r="I2107" s="1"/>
      <x:c r="J2107" s="1"/>
      <x:c r="K2107" s="1"/>
      <x:c r="L2107" s="1"/>
      <x:c r="M2107" s="1"/>
      <x:c r="N2107" s="1"/>
      <x:c r="O2107" s="1"/>
      <x:c r="P2107" s="1"/>
      <x:c r="Q2107" s="1"/>
      <x:c r="R2107" s="1"/>
      <x:c r="S2107" s="1"/>
      <x:c r="T2107" s="1"/>
      <x:c r="U2107" s="1"/>
      <x:c r="V2107" s="1"/>
      <x:c r="W2107" s="1"/>
      <x:c r="X2107" s="1"/>
      <x:c r="Y2107" s="1"/>
      <x:c r="Z2107" s="1"/>
    </x:row>
    <x:row r="2108">
      <x:c r="A2108" s="1"/>
      <x:c r="B2108" s="1"/>
      <x:c r="C2108" s="1"/>
      <x:c r="D2108" s="1"/>
      <x:c r="E2108" s="1"/>
      <x:c r="F2108" s="1"/>
      <x:c r="G2108" s="1"/>
      <x:c r="H2108" s="1"/>
      <x:c r="I2108" s="1"/>
      <x:c r="J2108" s="1"/>
      <x:c r="K2108" s="1"/>
      <x:c r="L2108" s="1"/>
      <x:c r="M2108" s="1"/>
      <x:c r="N2108" s="1"/>
      <x:c r="O2108" s="1"/>
      <x:c r="P2108" s="1"/>
      <x:c r="Q2108" s="1"/>
      <x:c r="R2108" s="1"/>
      <x:c r="S2108" s="1"/>
      <x:c r="T2108" s="1"/>
      <x:c r="U2108" s="1"/>
      <x:c r="V2108" s="1"/>
      <x:c r="W2108" s="1"/>
      <x:c r="X2108" s="1"/>
      <x:c r="Y2108" s="1"/>
      <x:c r="Z2108" s="1"/>
    </x:row>
    <x:row r="2109">
      <x:c r="A2109" s="1"/>
      <x:c r="B2109" s="1"/>
      <x:c r="C2109" s="1"/>
      <x:c r="D2109" s="1"/>
      <x:c r="E2109" s="1"/>
      <x:c r="F2109" s="1"/>
      <x:c r="G2109" s="1"/>
      <x:c r="H2109" s="1"/>
      <x:c r="I2109" s="1"/>
      <x:c r="J2109" s="1"/>
      <x:c r="K2109" s="1"/>
      <x:c r="L2109" s="1"/>
      <x:c r="M2109" s="1"/>
      <x:c r="N2109" s="1"/>
      <x:c r="O2109" s="1"/>
      <x:c r="P2109" s="1"/>
      <x:c r="Q2109" s="1"/>
      <x:c r="R2109" s="1"/>
      <x:c r="S2109" s="1"/>
      <x:c r="T2109" s="1"/>
      <x:c r="U2109" s="1"/>
      <x:c r="V2109" s="1"/>
      <x:c r="W2109" s="1"/>
      <x:c r="X2109" s="1"/>
      <x:c r="Y2109" s="1"/>
      <x:c r="Z2109" s="1"/>
    </x:row>
    <x:row r="2110">
      <x:c r="A2110" s="1"/>
      <x:c r="B2110" s="1"/>
      <x:c r="C2110" s="1"/>
      <x:c r="D2110" s="1"/>
      <x:c r="E2110" s="1"/>
      <x:c r="F2110" s="1"/>
      <x:c r="G2110" s="1"/>
      <x:c r="H2110" s="1"/>
      <x:c r="I2110" s="1"/>
      <x:c r="J2110" s="1"/>
      <x:c r="K2110" s="1"/>
      <x:c r="L2110" s="1"/>
      <x:c r="M2110" s="1"/>
      <x:c r="N2110" s="1"/>
      <x:c r="O2110" s="1"/>
      <x:c r="P2110" s="1"/>
      <x:c r="Q2110" s="1"/>
      <x:c r="R2110" s="1"/>
      <x:c r="S2110" s="1"/>
      <x:c r="T2110" s="1"/>
      <x:c r="U2110" s="1"/>
      <x:c r="V2110" s="1"/>
      <x:c r="W2110" s="1"/>
      <x:c r="X2110" s="1"/>
      <x:c r="Y2110" s="1"/>
      <x:c r="Z2110" s="1"/>
    </x:row>
    <x:row r="2111">
      <x:c r="A2111" s="1"/>
      <x:c r="B2111" s="1"/>
      <x:c r="C2111" s="1"/>
      <x:c r="D2111" s="1"/>
      <x:c r="E2111" s="1"/>
      <x:c r="F2111" s="1"/>
      <x:c r="G2111" s="1"/>
      <x:c r="H2111" s="1"/>
      <x:c r="I2111" s="1"/>
      <x:c r="J2111" s="1"/>
      <x:c r="K2111" s="1"/>
      <x:c r="L2111" s="1"/>
      <x:c r="M2111" s="1"/>
      <x:c r="N2111" s="1"/>
      <x:c r="O2111" s="1"/>
      <x:c r="P2111" s="1"/>
      <x:c r="Q2111" s="1"/>
      <x:c r="R2111" s="1"/>
      <x:c r="S2111" s="1"/>
      <x:c r="T2111" s="1"/>
      <x:c r="U2111" s="1"/>
      <x:c r="V2111" s="1"/>
      <x:c r="W2111" s="1"/>
      <x:c r="X2111" s="1"/>
      <x:c r="Y2111" s="1"/>
      <x:c r="Z2111" s="1"/>
    </x:row>
    <x:row r="2112">
      <x:c r="A2112" s="1"/>
      <x:c r="B2112" s="1"/>
      <x:c r="C2112" s="1"/>
      <x:c r="D2112" s="1"/>
      <x:c r="E2112" s="1"/>
      <x:c r="F2112" s="1"/>
      <x:c r="G2112" s="1"/>
      <x:c r="H2112" s="1"/>
      <x:c r="I2112" s="1"/>
      <x:c r="J2112" s="1"/>
      <x:c r="K2112" s="1"/>
      <x:c r="L2112" s="1"/>
      <x:c r="M2112" s="1"/>
      <x:c r="N2112" s="1"/>
      <x:c r="O2112" s="1"/>
      <x:c r="P2112" s="1"/>
      <x:c r="Q2112" s="1"/>
      <x:c r="R2112" s="1"/>
      <x:c r="S2112" s="1"/>
      <x:c r="T2112" s="1"/>
      <x:c r="U2112" s="1"/>
      <x:c r="V2112" s="1"/>
      <x:c r="W2112" s="1"/>
      <x:c r="X2112" s="1"/>
      <x:c r="Y2112" s="1"/>
      <x:c r="Z2112" s="1"/>
    </x:row>
    <x:row r="2113">
      <x:c r="A2113" s="1"/>
      <x:c r="B2113" s="1"/>
      <x:c r="C2113" s="1"/>
      <x:c r="D2113" s="1"/>
      <x:c r="E2113" s="1"/>
      <x:c r="F2113" s="1"/>
      <x:c r="G2113" s="1"/>
      <x:c r="H2113" s="1"/>
      <x:c r="I2113" s="1"/>
      <x:c r="J2113" s="1"/>
      <x:c r="K2113" s="1"/>
      <x:c r="L2113" s="1"/>
      <x:c r="M2113" s="1"/>
      <x:c r="N2113" s="1"/>
      <x:c r="O2113" s="1"/>
      <x:c r="P2113" s="1"/>
      <x:c r="Q2113" s="1"/>
      <x:c r="R2113" s="1"/>
      <x:c r="S2113" s="1"/>
      <x:c r="T2113" s="1"/>
      <x:c r="U2113" s="1"/>
      <x:c r="V2113" s="1"/>
      <x:c r="W2113" s="1"/>
      <x:c r="X2113" s="1"/>
      <x:c r="Y2113" s="1"/>
      <x:c r="Z2113" s="1"/>
    </x:row>
    <x:row r="2114">
      <x:c r="A2114" s="1"/>
      <x:c r="B2114" s="1"/>
      <x:c r="C2114" s="1"/>
      <x:c r="D2114" s="1"/>
      <x:c r="E2114" s="1"/>
      <x:c r="F2114" s="1"/>
      <x:c r="G2114" s="1"/>
      <x:c r="H2114" s="1"/>
      <x:c r="I2114" s="1"/>
      <x:c r="J2114" s="1"/>
      <x:c r="K2114" s="1"/>
      <x:c r="L2114" s="1"/>
      <x:c r="M2114" s="1"/>
      <x:c r="N2114" s="1"/>
      <x:c r="O2114" s="1"/>
      <x:c r="P2114" s="1"/>
      <x:c r="Q2114" s="1"/>
      <x:c r="R2114" s="1"/>
      <x:c r="S2114" s="1"/>
      <x:c r="T2114" s="1"/>
      <x:c r="U2114" s="1"/>
      <x:c r="V2114" s="1"/>
      <x:c r="W2114" s="1"/>
      <x:c r="X2114" s="1"/>
      <x:c r="Y2114" s="1"/>
      <x:c r="Z2114" s="1"/>
    </x:row>
    <x:row r="2115">
      <x:c r="A2115" s="1"/>
      <x:c r="B2115" s="1"/>
      <x:c r="C2115" s="1"/>
      <x:c r="D2115" s="1"/>
      <x:c r="E2115" s="1"/>
      <x:c r="F2115" s="1"/>
      <x:c r="G2115" s="1"/>
      <x:c r="H2115" s="1"/>
      <x:c r="I2115" s="1"/>
      <x:c r="J2115" s="1"/>
      <x:c r="K2115" s="1"/>
      <x:c r="L2115" s="1"/>
      <x:c r="M2115" s="1"/>
      <x:c r="N2115" s="1"/>
      <x:c r="O2115" s="1"/>
      <x:c r="P2115" s="1"/>
      <x:c r="Q2115" s="1"/>
      <x:c r="R2115" s="1"/>
      <x:c r="S2115" s="1"/>
      <x:c r="T2115" s="1"/>
      <x:c r="U2115" s="1"/>
      <x:c r="V2115" s="1"/>
      <x:c r="W2115" s="1"/>
      <x:c r="X2115" s="1"/>
      <x:c r="Y2115" s="1"/>
      <x:c r="Z2115" s="1"/>
    </x:row>
    <x:row r="2116">
      <x:c r="A2116" s="1"/>
      <x:c r="B2116" s="1"/>
      <x:c r="C2116" s="1"/>
      <x:c r="D2116" s="1"/>
      <x:c r="E2116" s="1"/>
      <x:c r="F2116" s="1"/>
      <x:c r="G2116" s="1"/>
      <x:c r="H2116" s="1"/>
      <x:c r="I2116" s="1"/>
      <x:c r="J2116" s="1"/>
      <x:c r="K2116" s="1"/>
      <x:c r="L2116" s="1"/>
      <x:c r="M2116" s="1"/>
      <x:c r="N2116" s="1"/>
      <x:c r="O2116" s="1"/>
      <x:c r="P2116" s="1"/>
      <x:c r="Q2116" s="1"/>
      <x:c r="R2116" s="1"/>
      <x:c r="S2116" s="1"/>
      <x:c r="T2116" s="1"/>
      <x:c r="U2116" s="1"/>
      <x:c r="V2116" s="1"/>
      <x:c r="W2116" s="1"/>
      <x:c r="X2116" s="1"/>
      <x:c r="Y2116" s="1"/>
      <x:c r="Z2116" s="1"/>
    </x:row>
    <x:row r="2117">
      <x:c r="A2117" s="1"/>
      <x:c r="B2117" s="1"/>
      <x:c r="C2117" s="1"/>
      <x:c r="D2117" s="1"/>
      <x:c r="E2117" s="1"/>
      <x:c r="F2117" s="1"/>
      <x:c r="G2117" s="1"/>
      <x:c r="H2117" s="1"/>
      <x:c r="I2117" s="1"/>
      <x:c r="J2117" s="1"/>
      <x:c r="K2117" s="1"/>
      <x:c r="L2117" s="1"/>
      <x:c r="M2117" s="1"/>
      <x:c r="N2117" s="1"/>
      <x:c r="O2117" s="1"/>
      <x:c r="P2117" s="1"/>
      <x:c r="Q2117" s="1"/>
      <x:c r="R2117" s="1"/>
      <x:c r="S2117" s="1"/>
      <x:c r="T2117" s="1"/>
      <x:c r="U2117" s="1"/>
      <x:c r="V2117" s="1"/>
      <x:c r="W2117" s="1"/>
      <x:c r="X2117" s="1"/>
      <x:c r="Y2117" s="1"/>
      <x:c r="Z2117" s="1"/>
    </x:row>
    <x:row r="2118">
      <x:c r="A2118" s="1"/>
      <x:c r="B2118" s="1"/>
      <x:c r="C2118" s="1"/>
      <x:c r="D2118" s="1"/>
      <x:c r="E2118" s="1"/>
      <x:c r="F2118" s="1"/>
      <x:c r="G2118" s="1"/>
      <x:c r="H2118" s="1"/>
      <x:c r="I2118" s="1"/>
      <x:c r="J2118" s="1"/>
      <x:c r="K2118" s="1"/>
      <x:c r="L2118" s="1"/>
      <x:c r="M2118" s="1"/>
      <x:c r="N2118" s="1"/>
      <x:c r="O2118" s="1"/>
      <x:c r="P2118" s="1"/>
      <x:c r="Q2118" s="1"/>
      <x:c r="R2118" s="1"/>
      <x:c r="S2118" s="1"/>
      <x:c r="T2118" s="1"/>
      <x:c r="U2118" s="1"/>
      <x:c r="V2118" s="1"/>
      <x:c r="W2118" s="1"/>
      <x:c r="X2118" s="1"/>
      <x:c r="Y2118" s="1"/>
      <x:c r="Z2118" s="1"/>
    </x:row>
    <x:row r="2119">
      <x:c r="A2119" s="1"/>
      <x:c r="B2119" s="1"/>
      <x:c r="C2119" s="1"/>
      <x:c r="D2119" s="1"/>
      <x:c r="E2119" s="1"/>
      <x:c r="F2119" s="1"/>
      <x:c r="G2119" s="1"/>
      <x:c r="H2119" s="1"/>
      <x:c r="I2119" s="1"/>
      <x:c r="J2119" s="1"/>
      <x:c r="K2119" s="1"/>
      <x:c r="L2119" s="1"/>
      <x:c r="M2119" s="1"/>
      <x:c r="N2119" s="1"/>
      <x:c r="O2119" s="1"/>
      <x:c r="P2119" s="1"/>
      <x:c r="Q2119" s="1"/>
      <x:c r="R2119" s="1"/>
      <x:c r="S2119" s="1"/>
      <x:c r="T2119" s="1"/>
      <x:c r="U2119" s="1"/>
      <x:c r="V2119" s="1"/>
      <x:c r="W2119" s="1"/>
      <x:c r="X2119" s="1"/>
      <x:c r="Y2119" s="1"/>
      <x:c r="Z2119" s="1"/>
    </x:row>
    <x:row r="2120">
      <x:c r="A2120" s="1"/>
      <x:c r="B2120" s="1"/>
      <x:c r="C2120" s="1"/>
      <x:c r="D2120" s="1"/>
      <x:c r="E2120" s="1"/>
      <x:c r="F2120" s="1"/>
      <x:c r="G2120" s="1"/>
      <x:c r="H2120" s="1"/>
      <x:c r="I2120" s="1"/>
      <x:c r="J2120" s="1"/>
      <x:c r="K2120" s="1"/>
      <x:c r="L2120" s="1"/>
      <x:c r="M2120" s="1"/>
      <x:c r="N2120" s="1"/>
      <x:c r="O2120" s="1"/>
      <x:c r="P2120" s="1"/>
      <x:c r="Q2120" s="1"/>
      <x:c r="R2120" s="1"/>
      <x:c r="S2120" s="1"/>
      <x:c r="T2120" s="1"/>
      <x:c r="U2120" s="1"/>
      <x:c r="V2120" s="1"/>
      <x:c r="W2120" s="1"/>
      <x:c r="X2120" s="1"/>
      <x:c r="Y2120" s="1"/>
      <x:c r="Z2120" s="1"/>
    </x:row>
    <x:row r="2121">
      <x:c r="A2121" s="1"/>
      <x:c r="B2121" s="1"/>
      <x:c r="C2121" s="1"/>
      <x:c r="D2121" s="1"/>
      <x:c r="E2121" s="1"/>
      <x:c r="F2121" s="1"/>
      <x:c r="G2121" s="1"/>
      <x:c r="H2121" s="1"/>
      <x:c r="I2121" s="1"/>
      <x:c r="J2121" s="1"/>
      <x:c r="K2121" s="1"/>
      <x:c r="L2121" s="1"/>
      <x:c r="M2121" s="1"/>
      <x:c r="N2121" s="1"/>
      <x:c r="O2121" s="1"/>
      <x:c r="P2121" s="1"/>
      <x:c r="Q2121" s="1"/>
      <x:c r="R2121" s="1"/>
      <x:c r="S2121" s="1"/>
      <x:c r="T2121" s="1"/>
      <x:c r="U2121" s="1"/>
      <x:c r="V2121" s="1"/>
      <x:c r="W2121" s="1"/>
      <x:c r="X2121" s="1"/>
      <x:c r="Y2121" s="1"/>
      <x:c r="Z2121" s="1"/>
    </x:row>
    <x:row r="2122">
      <x:c r="A2122" s="1"/>
      <x:c r="B2122" s="1"/>
      <x:c r="C2122" s="1"/>
      <x:c r="D2122" s="1"/>
      <x:c r="E2122" s="1"/>
      <x:c r="F2122" s="1"/>
      <x:c r="G2122" s="1"/>
      <x:c r="H2122" s="1"/>
      <x:c r="I2122" s="1"/>
      <x:c r="J2122" s="1"/>
      <x:c r="K2122" s="1"/>
      <x:c r="L2122" s="1"/>
      <x:c r="M2122" s="1"/>
      <x:c r="N2122" s="1"/>
      <x:c r="O2122" s="1"/>
      <x:c r="P2122" s="1"/>
      <x:c r="Q2122" s="1"/>
      <x:c r="R2122" s="1"/>
      <x:c r="S2122" s="1"/>
      <x:c r="T2122" s="1"/>
      <x:c r="U2122" s="1"/>
      <x:c r="V2122" s="1"/>
      <x:c r="W2122" s="1"/>
      <x:c r="X2122" s="1"/>
      <x:c r="Y2122" s="1"/>
      <x:c r="Z2122" s="1"/>
    </x:row>
    <x:row r="2123">
      <x:c r="A2123" s="1"/>
      <x:c r="B2123" s="1"/>
      <x:c r="C2123" s="1"/>
      <x:c r="D2123" s="1"/>
      <x:c r="E2123" s="1"/>
      <x:c r="F2123" s="1"/>
      <x:c r="G2123" s="1"/>
      <x:c r="H2123" s="1"/>
      <x:c r="I2123" s="1"/>
      <x:c r="J2123" s="1"/>
      <x:c r="K2123" s="1"/>
      <x:c r="L2123" s="1"/>
      <x:c r="M2123" s="1"/>
      <x:c r="N2123" s="1"/>
      <x:c r="O2123" s="1"/>
      <x:c r="P2123" s="1"/>
      <x:c r="Q2123" s="1"/>
      <x:c r="R2123" s="1"/>
      <x:c r="S2123" s="1"/>
      <x:c r="T2123" s="1"/>
      <x:c r="U2123" s="1"/>
      <x:c r="V2123" s="1"/>
      <x:c r="W2123" s="1"/>
      <x:c r="X2123" s="1"/>
      <x:c r="Y2123" s="1"/>
      <x:c r="Z2123" s="1"/>
    </x:row>
    <x:row r="2124">
      <x:c r="A2124" s="1"/>
      <x:c r="B2124" s="1"/>
      <x:c r="C2124" s="1"/>
      <x:c r="D2124" s="1"/>
      <x:c r="E2124" s="1"/>
      <x:c r="F2124" s="1"/>
      <x:c r="G2124" s="1"/>
      <x:c r="H2124" s="1"/>
      <x:c r="I2124" s="1"/>
      <x:c r="J2124" s="1"/>
      <x:c r="K2124" s="1"/>
      <x:c r="L2124" s="1"/>
      <x:c r="M2124" s="1"/>
      <x:c r="N2124" s="1"/>
      <x:c r="O2124" s="1"/>
      <x:c r="P2124" s="1"/>
      <x:c r="Q2124" s="1"/>
      <x:c r="R2124" s="1"/>
      <x:c r="S2124" s="1"/>
      <x:c r="T2124" s="1"/>
      <x:c r="U2124" s="1"/>
      <x:c r="V2124" s="1"/>
      <x:c r="W2124" s="1"/>
      <x:c r="X2124" s="1"/>
      <x:c r="Y2124" s="1"/>
      <x:c r="Z2124" s="1"/>
    </x:row>
    <x:row r="2125">
      <x:c r="A2125" s="1"/>
      <x:c r="B2125" s="1"/>
      <x:c r="C2125" s="1"/>
      <x:c r="D2125" s="1"/>
      <x:c r="E2125" s="1"/>
      <x:c r="F2125" s="1"/>
      <x:c r="G2125" s="1"/>
      <x:c r="H2125" s="1"/>
      <x:c r="I2125" s="1"/>
      <x:c r="J2125" s="1"/>
      <x:c r="K2125" s="1"/>
      <x:c r="L2125" s="1"/>
      <x:c r="M2125" s="1"/>
      <x:c r="N2125" s="1"/>
      <x:c r="O2125" s="1"/>
      <x:c r="P2125" s="1"/>
      <x:c r="Q2125" s="1"/>
      <x:c r="R2125" s="1"/>
      <x:c r="S2125" s="1"/>
      <x:c r="T2125" s="1"/>
      <x:c r="U2125" s="1"/>
      <x:c r="V2125" s="1"/>
      <x:c r="W2125" s="1"/>
      <x:c r="X2125" s="1"/>
      <x:c r="Y2125" s="1"/>
      <x:c r="Z2125" s="1"/>
    </x:row>
    <x:row r="2126">
      <x:c r="A2126" s="1"/>
      <x:c r="B2126" s="1"/>
      <x:c r="C2126" s="1"/>
      <x:c r="D2126" s="1"/>
      <x:c r="E2126" s="1"/>
      <x:c r="F2126" s="1"/>
      <x:c r="G2126" s="1"/>
      <x:c r="H2126" s="1"/>
      <x:c r="I2126" s="1"/>
      <x:c r="J2126" s="1"/>
      <x:c r="K2126" s="1"/>
      <x:c r="L2126" s="1"/>
      <x:c r="M2126" s="1"/>
      <x:c r="N2126" s="1"/>
      <x:c r="O2126" s="1"/>
      <x:c r="P2126" s="1"/>
      <x:c r="Q2126" s="1"/>
      <x:c r="R2126" s="1"/>
      <x:c r="S2126" s="1"/>
      <x:c r="T2126" s="1"/>
      <x:c r="U2126" s="1"/>
      <x:c r="V2126" s="1"/>
      <x:c r="W2126" s="1"/>
      <x:c r="X2126" s="1"/>
      <x:c r="Y2126" s="1"/>
      <x:c r="Z2126" s="1"/>
    </x:row>
    <x:row r="2127">
      <x:c r="A2127" s="1"/>
      <x:c r="B2127" s="1"/>
      <x:c r="C2127" s="1"/>
      <x:c r="D2127" s="1"/>
      <x:c r="E2127" s="1"/>
      <x:c r="F2127" s="1"/>
      <x:c r="G2127" s="1"/>
      <x:c r="H2127" s="1"/>
      <x:c r="I2127" s="1"/>
      <x:c r="J2127" s="1"/>
      <x:c r="K2127" s="1"/>
      <x:c r="L2127" s="1"/>
      <x:c r="M2127" s="1"/>
      <x:c r="N2127" s="1"/>
      <x:c r="O2127" s="1"/>
      <x:c r="P2127" s="1"/>
      <x:c r="Q2127" s="1"/>
      <x:c r="R2127" s="1"/>
      <x:c r="S2127" s="1"/>
      <x:c r="T2127" s="1"/>
      <x:c r="U2127" s="1"/>
      <x:c r="V2127" s="1"/>
      <x:c r="W2127" s="1"/>
      <x:c r="X2127" s="1"/>
      <x:c r="Y2127" s="1"/>
      <x:c r="Z2127" s="1"/>
    </x:row>
    <x:row r="2128">
      <x:c r="A2128" s="1"/>
      <x:c r="B2128" s="1"/>
      <x:c r="C2128" s="1"/>
      <x:c r="D2128" s="1"/>
      <x:c r="E2128" s="1"/>
      <x:c r="F2128" s="1"/>
      <x:c r="G2128" s="1"/>
      <x:c r="H2128" s="1"/>
      <x:c r="I2128" s="1"/>
      <x:c r="J2128" s="1"/>
      <x:c r="K2128" s="1"/>
      <x:c r="L2128" s="1"/>
      <x:c r="M2128" s="1"/>
      <x:c r="N2128" s="1"/>
      <x:c r="O2128" s="1"/>
      <x:c r="P2128" s="1"/>
      <x:c r="Q2128" s="1"/>
      <x:c r="R2128" s="1"/>
      <x:c r="S2128" s="1"/>
      <x:c r="T2128" s="1"/>
      <x:c r="U2128" s="1"/>
      <x:c r="V2128" s="1"/>
      <x:c r="W2128" s="1"/>
      <x:c r="X2128" s="1"/>
      <x:c r="Y2128" s="1"/>
      <x:c r="Z2128" s="1"/>
    </x:row>
    <x:row r="2129">
      <x:c r="A2129" s="1"/>
      <x:c r="B2129" s="1"/>
      <x:c r="C2129" s="1"/>
      <x:c r="D2129" s="1"/>
      <x:c r="E2129" s="1"/>
      <x:c r="F2129" s="1"/>
      <x:c r="G2129" s="1"/>
      <x:c r="H2129" s="1"/>
      <x:c r="I2129" s="1"/>
      <x:c r="J2129" s="1"/>
      <x:c r="K2129" s="1"/>
      <x:c r="L2129" s="1"/>
      <x:c r="M2129" s="1"/>
      <x:c r="N2129" s="1"/>
      <x:c r="O2129" s="1"/>
      <x:c r="P2129" s="1"/>
      <x:c r="Q2129" s="1"/>
      <x:c r="R2129" s="1"/>
      <x:c r="S2129" s="1"/>
      <x:c r="T2129" s="1"/>
      <x:c r="U2129" s="1"/>
      <x:c r="V2129" s="1"/>
      <x:c r="W2129" s="1"/>
      <x:c r="X2129" s="1"/>
      <x:c r="Y2129" s="1"/>
      <x:c r="Z2129" s="1"/>
    </x:row>
    <x:row r="2130">
      <x:c r="A2130" s="1"/>
      <x:c r="B2130" s="1"/>
      <x:c r="C2130" s="1"/>
      <x:c r="D2130" s="1"/>
      <x:c r="E2130" s="1"/>
      <x:c r="F2130" s="1"/>
      <x:c r="G2130" s="1"/>
      <x:c r="H2130" s="1"/>
      <x:c r="I2130" s="1"/>
      <x:c r="J2130" s="1"/>
      <x:c r="K2130" s="1"/>
      <x:c r="L2130" s="1"/>
      <x:c r="M2130" s="1"/>
      <x:c r="N2130" s="1"/>
      <x:c r="O2130" s="1"/>
      <x:c r="P2130" s="1"/>
      <x:c r="Q2130" s="1"/>
      <x:c r="R2130" s="1"/>
      <x:c r="S2130" s="1"/>
      <x:c r="T2130" s="1"/>
      <x:c r="U2130" s="1"/>
      <x:c r="V2130" s="1"/>
      <x:c r="W2130" s="1"/>
      <x:c r="X2130" s="1"/>
      <x:c r="Y2130" s="1"/>
      <x:c r="Z2130" s="1"/>
    </x:row>
    <x:row r="2131">
      <x:c r="A2131" s="1"/>
      <x:c r="B2131" s="1"/>
      <x:c r="C2131" s="1"/>
      <x:c r="D2131" s="1"/>
      <x:c r="E2131" s="1"/>
      <x:c r="F2131" s="1"/>
      <x:c r="G2131" s="1"/>
      <x:c r="H2131" s="1"/>
      <x:c r="I2131" s="1"/>
      <x:c r="J2131" s="1"/>
      <x:c r="K2131" s="1"/>
      <x:c r="L2131" s="1"/>
      <x:c r="M2131" s="1"/>
      <x:c r="N2131" s="1"/>
      <x:c r="O2131" s="1"/>
      <x:c r="P2131" s="1"/>
      <x:c r="Q2131" s="1"/>
      <x:c r="R2131" s="1"/>
      <x:c r="S2131" s="1"/>
      <x:c r="T2131" s="1"/>
      <x:c r="U2131" s="1"/>
      <x:c r="V2131" s="1"/>
      <x:c r="W2131" s="1"/>
      <x:c r="X2131" s="1"/>
      <x:c r="Y2131" s="1"/>
      <x:c r="Z2131" s="1"/>
    </x:row>
    <x:row r="2132">
      <x:c r="A2132" s="1"/>
      <x:c r="B2132" s="1"/>
      <x:c r="C2132" s="1"/>
      <x:c r="D2132" s="1"/>
      <x:c r="E2132" s="1"/>
      <x:c r="F2132" s="1"/>
      <x:c r="G2132" s="1"/>
      <x:c r="H2132" s="1"/>
      <x:c r="I2132" s="1"/>
      <x:c r="J2132" s="1"/>
      <x:c r="K2132" s="1"/>
      <x:c r="L2132" s="1"/>
      <x:c r="M2132" s="1"/>
      <x:c r="N2132" s="1"/>
      <x:c r="O2132" s="1"/>
      <x:c r="P2132" s="1"/>
      <x:c r="Q2132" s="1"/>
      <x:c r="R2132" s="1"/>
      <x:c r="S2132" s="1"/>
      <x:c r="T2132" s="1"/>
      <x:c r="U2132" s="1"/>
      <x:c r="V2132" s="1"/>
      <x:c r="W2132" s="1"/>
      <x:c r="X2132" s="1"/>
      <x:c r="Y2132" s="1"/>
      <x:c r="Z2132" s="1"/>
    </x:row>
    <x:row r="2133">
      <x:c r="A2133" s="1"/>
      <x:c r="B2133" s="1"/>
      <x:c r="C2133" s="1"/>
      <x:c r="D2133" s="1"/>
      <x:c r="E2133" s="1"/>
      <x:c r="F2133" s="1"/>
      <x:c r="G2133" s="1"/>
      <x:c r="H2133" s="1"/>
      <x:c r="I2133" s="1"/>
      <x:c r="J2133" s="1"/>
      <x:c r="K2133" s="1"/>
      <x:c r="L2133" s="1"/>
      <x:c r="M2133" s="1"/>
      <x:c r="N2133" s="1"/>
      <x:c r="O2133" s="1"/>
      <x:c r="P2133" s="1"/>
      <x:c r="Q2133" s="1"/>
      <x:c r="R2133" s="1"/>
      <x:c r="S2133" s="1"/>
      <x:c r="T2133" s="1"/>
      <x:c r="U2133" s="1"/>
      <x:c r="V2133" s="1"/>
      <x:c r="W2133" s="1"/>
      <x:c r="X2133" s="1"/>
      <x:c r="Y2133" s="1"/>
      <x:c r="Z2133" s="1"/>
    </x:row>
    <x:row r="2134">
      <x:c r="A2134" s="1"/>
      <x:c r="B2134" s="1"/>
      <x:c r="C2134" s="1"/>
      <x:c r="D2134" s="1"/>
      <x:c r="E2134" s="1"/>
      <x:c r="F2134" s="1"/>
      <x:c r="G2134" s="1"/>
      <x:c r="H2134" s="1"/>
      <x:c r="I2134" s="1"/>
      <x:c r="J2134" s="1"/>
      <x:c r="K2134" s="1"/>
      <x:c r="L2134" s="1"/>
      <x:c r="M2134" s="1"/>
      <x:c r="N2134" s="1"/>
      <x:c r="O2134" s="1"/>
      <x:c r="P2134" s="1"/>
      <x:c r="Q2134" s="1"/>
      <x:c r="R2134" s="1"/>
      <x:c r="S2134" s="1"/>
      <x:c r="T2134" s="1"/>
      <x:c r="U2134" s="1"/>
      <x:c r="V2134" s="1"/>
      <x:c r="W2134" s="1"/>
      <x:c r="X2134" s="1"/>
      <x:c r="Y2134" s="1"/>
      <x:c r="Z2134" s="1"/>
    </x:row>
    <x:row r="2135">
      <x:c r="A2135" s="1"/>
      <x:c r="B2135" s="1"/>
      <x:c r="C2135" s="1"/>
      <x:c r="D2135" s="1"/>
      <x:c r="E2135" s="1"/>
      <x:c r="F2135" s="1"/>
      <x:c r="G2135" s="1"/>
      <x:c r="H2135" s="1"/>
      <x:c r="I2135" s="1"/>
      <x:c r="J2135" s="1"/>
      <x:c r="K2135" s="1"/>
      <x:c r="L2135" s="1"/>
      <x:c r="M2135" s="1"/>
      <x:c r="N2135" s="1"/>
      <x:c r="O2135" s="1"/>
      <x:c r="P2135" s="1"/>
      <x:c r="Q2135" s="1"/>
      <x:c r="R2135" s="1"/>
      <x:c r="S2135" s="1"/>
      <x:c r="T2135" s="1"/>
      <x:c r="U2135" s="1"/>
      <x:c r="V2135" s="1"/>
      <x:c r="W2135" s="1"/>
      <x:c r="X2135" s="1"/>
      <x:c r="Y2135" s="1"/>
      <x:c r="Z2135" s="1"/>
    </x:row>
    <x:row r="2136">
      <x:c r="A2136" s="1"/>
      <x:c r="B2136" s="1"/>
      <x:c r="C2136" s="1"/>
      <x:c r="D2136" s="1"/>
      <x:c r="E2136" s="1"/>
      <x:c r="F2136" s="1"/>
      <x:c r="G2136" s="1"/>
      <x:c r="H2136" s="1"/>
      <x:c r="I2136" s="1"/>
      <x:c r="J2136" s="1"/>
      <x:c r="K2136" s="1"/>
      <x:c r="L2136" s="1"/>
      <x:c r="M2136" s="1"/>
      <x:c r="N2136" s="1"/>
      <x:c r="O2136" s="1"/>
      <x:c r="P2136" s="1"/>
      <x:c r="Q2136" s="1"/>
      <x:c r="R2136" s="1"/>
      <x:c r="S2136" s="1"/>
      <x:c r="T2136" s="1"/>
      <x:c r="U2136" s="1"/>
      <x:c r="V2136" s="1"/>
      <x:c r="W2136" s="1"/>
      <x:c r="X2136" s="1"/>
      <x:c r="Y2136" s="1"/>
      <x:c r="Z2136" s="1"/>
    </x:row>
    <x:row r="2137">
      <x:c r="A2137" s="1"/>
      <x:c r="B2137" s="1"/>
      <x:c r="C2137" s="1"/>
      <x:c r="D2137" s="1"/>
      <x:c r="E2137" s="1"/>
      <x:c r="F2137" s="1"/>
      <x:c r="G2137" s="1"/>
      <x:c r="H2137" s="1"/>
      <x:c r="I2137" s="1"/>
      <x:c r="J2137" s="1"/>
      <x:c r="K2137" s="1"/>
      <x:c r="L2137" s="1"/>
      <x:c r="M2137" s="1"/>
      <x:c r="N2137" s="1"/>
      <x:c r="O2137" s="1"/>
      <x:c r="P2137" s="1"/>
      <x:c r="Q2137" s="1"/>
      <x:c r="R2137" s="1"/>
      <x:c r="S2137" s="1"/>
      <x:c r="T2137" s="1"/>
      <x:c r="U2137" s="1"/>
      <x:c r="V2137" s="1"/>
      <x:c r="W2137" s="1"/>
      <x:c r="X2137" s="1"/>
      <x:c r="Y2137" s="1"/>
      <x:c r="Z2137" s="1"/>
    </x:row>
    <x:row r="2138">
      <x:c r="A2138" s="1"/>
      <x:c r="B2138" s="1"/>
      <x:c r="C2138" s="1"/>
      <x:c r="D2138" s="1"/>
      <x:c r="E2138" s="1"/>
      <x:c r="F2138" s="1"/>
      <x:c r="G2138" s="1"/>
      <x:c r="H2138" s="1"/>
      <x:c r="I2138" s="1"/>
      <x:c r="J2138" s="1"/>
      <x:c r="K2138" s="1"/>
      <x:c r="L2138" s="1"/>
      <x:c r="M2138" s="1"/>
      <x:c r="N2138" s="1"/>
      <x:c r="O2138" s="1"/>
      <x:c r="P2138" s="1"/>
      <x:c r="Q2138" s="1"/>
      <x:c r="R2138" s="1"/>
      <x:c r="S2138" s="1"/>
      <x:c r="T2138" s="1"/>
      <x:c r="U2138" s="1"/>
      <x:c r="V2138" s="1"/>
      <x:c r="W2138" s="1"/>
      <x:c r="X2138" s="1"/>
      <x:c r="Y2138" s="1"/>
      <x:c r="Z2138" s="1"/>
    </x:row>
    <x:row r="2139">
      <x:c r="A2139" s="1"/>
      <x:c r="B2139" s="1"/>
      <x:c r="C2139" s="1"/>
      <x:c r="D2139" s="1"/>
      <x:c r="E2139" s="1"/>
      <x:c r="F2139" s="1"/>
      <x:c r="G2139" s="1"/>
      <x:c r="H2139" s="1"/>
      <x:c r="I2139" s="1"/>
      <x:c r="J2139" s="1"/>
      <x:c r="K2139" s="1"/>
      <x:c r="L2139" s="1"/>
      <x:c r="M2139" s="1"/>
      <x:c r="N2139" s="1"/>
      <x:c r="O2139" s="1"/>
      <x:c r="P2139" s="1"/>
      <x:c r="Q2139" s="1"/>
      <x:c r="R2139" s="1"/>
      <x:c r="S2139" s="1"/>
      <x:c r="T2139" s="1"/>
      <x:c r="U2139" s="1"/>
      <x:c r="V2139" s="1"/>
      <x:c r="W2139" s="1"/>
      <x:c r="X2139" s="1"/>
      <x:c r="Y2139" s="1"/>
      <x:c r="Z2139" s="1"/>
    </x:row>
    <x:row r="2140">
      <x:c r="A2140" s="1"/>
      <x:c r="B2140" s="1"/>
      <x:c r="C2140" s="1"/>
      <x:c r="D2140" s="1"/>
      <x:c r="E2140" s="1"/>
      <x:c r="F2140" s="1"/>
      <x:c r="G2140" s="1"/>
      <x:c r="H2140" s="1"/>
      <x:c r="I2140" s="1"/>
      <x:c r="J2140" s="1"/>
      <x:c r="K2140" s="1"/>
      <x:c r="L2140" s="1"/>
      <x:c r="M2140" s="1"/>
      <x:c r="N2140" s="1"/>
      <x:c r="O2140" s="1"/>
      <x:c r="P2140" s="1"/>
      <x:c r="Q2140" s="1"/>
      <x:c r="R2140" s="1"/>
      <x:c r="S2140" s="1"/>
      <x:c r="T2140" s="1"/>
      <x:c r="U2140" s="1"/>
      <x:c r="V2140" s="1"/>
      <x:c r="W2140" s="1"/>
      <x:c r="X2140" s="1"/>
      <x:c r="Y2140" s="1"/>
      <x:c r="Z2140" s="1"/>
    </x:row>
    <x:row r="2141">
      <x:c r="A2141" s="1"/>
      <x:c r="B2141" s="1"/>
      <x:c r="C2141" s="1"/>
      <x:c r="D2141" s="1"/>
      <x:c r="E2141" s="1"/>
      <x:c r="F2141" s="1"/>
      <x:c r="G2141" s="1"/>
      <x:c r="H2141" s="1"/>
      <x:c r="I2141" s="1"/>
      <x:c r="J2141" s="1"/>
      <x:c r="K2141" s="1"/>
      <x:c r="L2141" s="1"/>
      <x:c r="M2141" s="1"/>
      <x:c r="N2141" s="1"/>
      <x:c r="O2141" s="1"/>
      <x:c r="P2141" s="1"/>
      <x:c r="Q2141" s="1"/>
      <x:c r="R2141" s="1"/>
      <x:c r="S2141" s="1"/>
      <x:c r="T2141" s="1"/>
      <x:c r="U2141" s="1"/>
      <x:c r="V2141" s="1"/>
      <x:c r="W2141" s="1"/>
      <x:c r="X2141" s="1"/>
      <x:c r="Y2141" s="1"/>
      <x:c r="Z2141" s="1"/>
    </x:row>
    <x:row r="2142">
      <x:c r="A2142" s="1"/>
      <x:c r="B2142" s="1"/>
      <x:c r="C2142" s="1"/>
      <x:c r="D2142" s="1"/>
      <x:c r="E2142" s="1"/>
      <x:c r="F2142" s="1"/>
      <x:c r="G2142" s="1"/>
      <x:c r="H2142" s="1"/>
      <x:c r="I2142" s="1"/>
      <x:c r="J2142" s="1"/>
      <x:c r="K2142" s="1"/>
      <x:c r="L2142" s="1"/>
      <x:c r="M2142" s="1"/>
      <x:c r="N2142" s="1"/>
      <x:c r="O2142" s="1"/>
      <x:c r="P2142" s="1"/>
      <x:c r="Q2142" s="1"/>
      <x:c r="R2142" s="1"/>
      <x:c r="S2142" s="1"/>
      <x:c r="T2142" s="1"/>
      <x:c r="U2142" s="1"/>
      <x:c r="V2142" s="1"/>
      <x:c r="W2142" s="1"/>
      <x:c r="X2142" s="1"/>
      <x:c r="Y2142" s="1"/>
      <x:c r="Z2142" s="1"/>
    </x:row>
    <x:row r="2143">
      <x:c r="A2143" s="1"/>
      <x:c r="B2143" s="1"/>
      <x:c r="C2143" s="1"/>
      <x:c r="D2143" s="1"/>
      <x:c r="E2143" s="1"/>
      <x:c r="F2143" s="1"/>
      <x:c r="G2143" s="1"/>
      <x:c r="H2143" s="1"/>
      <x:c r="I2143" s="1"/>
      <x:c r="J2143" s="1"/>
      <x:c r="K2143" s="1"/>
      <x:c r="L2143" s="1"/>
      <x:c r="M2143" s="1"/>
      <x:c r="N2143" s="1"/>
      <x:c r="O2143" s="1"/>
      <x:c r="P2143" s="1"/>
      <x:c r="Q2143" s="1"/>
      <x:c r="R2143" s="1"/>
      <x:c r="S2143" s="1"/>
      <x:c r="T2143" s="1"/>
      <x:c r="U2143" s="1"/>
      <x:c r="V2143" s="1"/>
      <x:c r="W2143" s="1"/>
      <x:c r="X2143" s="1"/>
      <x:c r="Y2143" s="1"/>
      <x:c r="Z2143" s="1"/>
    </x:row>
    <x:row r="2144">
      <x:c r="A2144" s="1"/>
      <x:c r="B2144" s="1"/>
      <x:c r="C2144" s="1"/>
      <x:c r="D2144" s="1"/>
      <x:c r="E2144" s="1"/>
      <x:c r="F2144" s="1"/>
      <x:c r="G2144" s="1"/>
      <x:c r="H2144" s="1"/>
      <x:c r="I2144" s="1"/>
      <x:c r="J2144" s="1"/>
      <x:c r="K2144" s="1"/>
      <x:c r="L2144" s="1"/>
      <x:c r="M2144" s="1"/>
      <x:c r="N2144" s="1"/>
      <x:c r="O2144" s="1"/>
      <x:c r="P2144" s="1"/>
      <x:c r="Q2144" s="1"/>
      <x:c r="R2144" s="1"/>
      <x:c r="S2144" s="1"/>
      <x:c r="T2144" s="1"/>
      <x:c r="U2144" s="1"/>
      <x:c r="V2144" s="1"/>
      <x:c r="W2144" s="1"/>
      <x:c r="X2144" s="1"/>
      <x:c r="Y2144" s="1"/>
      <x:c r="Z2144" s="1"/>
    </x:row>
    <x:row r="2145">
      <x:c r="A2145" s="1"/>
      <x:c r="B2145" s="1"/>
      <x:c r="C2145" s="1"/>
      <x:c r="D2145" s="1"/>
      <x:c r="E2145" s="1"/>
      <x:c r="F2145" s="1"/>
      <x:c r="G2145" s="1"/>
      <x:c r="H2145" s="1"/>
      <x:c r="I2145" s="1"/>
      <x:c r="J2145" s="1"/>
      <x:c r="K2145" s="1"/>
      <x:c r="L2145" s="1"/>
      <x:c r="M2145" s="1"/>
      <x:c r="N2145" s="1"/>
      <x:c r="O2145" s="1"/>
      <x:c r="P2145" s="1"/>
      <x:c r="Q2145" s="1"/>
      <x:c r="R2145" s="1"/>
      <x:c r="S2145" s="1"/>
      <x:c r="T2145" s="1"/>
      <x:c r="U2145" s="1"/>
      <x:c r="V2145" s="1"/>
      <x:c r="W2145" s="1"/>
      <x:c r="X2145" s="1"/>
      <x:c r="Y2145" s="1"/>
      <x:c r="Z2145" s="1"/>
    </x:row>
    <x:row r="2146">
      <x:c r="A2146" s="1"/>
      <x:c r="B2146" s="1"/>
      <x:c r="C2146" s="1"/>
      <x:c r="D2146" s="1"/>
      <x:c r="E2146" s="1"/>
      <x:c r="F2146" s="1"/>
      <x:c r="G2146" s="1"/>
      <x:c r="H2146" s="1"/>
      <x:c r="I2146" s="1"/>
      <x:c r="J2146" s="1"/>
      <x:c r="K2146" s="1"/>
      <x:c r="L2146" s="1"/>
      <x:c r="M2146" s="1"/>
      <x:c r="N2146" s="1"/>
      <x:c r="O2146" s="1"/>
      <x:c r="P2146" s="1"/>
      <x:c r="Q2146" s="1"/>
      <x:c r="R2146" s="1"/>
      <x:c r="S2146" s="1"/>
      <x:c r="T2146" s="1"/>
      <x:c r="U2146" s="1"/>
      <x:c r="V2146" s="1"/>
      <x:c r="W2146" s="1"/>
      <x:c r="X2146" s="1"/>
      <x:c r="Y2146" s="1"/>
      <x:c r="Z2146" s="1"/>
    </x:row>
    <x:row r="2147">
      <x:c r="A2147" s="1"/>
      <x:c r="B2147" s="1"/>
      <x:c r="C2147" s="1"/>
      <x:c r="D2147" s="1"/>
      <x:c r="E2147" s="1"/>
      <x:c r="F2147" s="1"/>
      <x:c r="G2147" s="1"/>
      <x:c r="H2147" s="1"/>
      <x:c r="I2147" s="1"/>
      <x:c r="J2147" s="1"/>
      <x:c r="K2147" s="1"/>
      <x:c r="L2147" s="1"/>
      <x:c r="M2147" s="1"/>
      <x:c r="N2147" s="1"/>
      <x:c r="O2147" s="1"/>
      <x:c r="P2147" s="1"/>
      <x:c r="Q2147" s="1"/>
      <x:c r="R2147" s="1"/>
      <x:c r="S2147" s="1"/>
      <x:c r="T2147" s="1"/>
      <x:c r="U2147" s="1"/>
      <x:c r="V2147" s="1"/>
      <x:c r="W2147" s="1"/>
      <x:c r="X2147" s="1"/>
      <x:c r="Y2147" s="1"/>
      <x:c r="Z2147" s="1"/>
    </x:row>
    <x:row r="2148">
      <x:c r="A2148" s="1"/>
      <x:c r="B2148" s="1"/>
      <x:c r="C2148" s="1"/>
      <x:c r="D2148" s="1"/>
      <x:c r="E2148" s="1"/>
      <x:c r="F2148" s="1"/>
      <x:c r="G2148" s="1"/>
      <x:c r="H2148" s="1"/>
      <x:c r="I2148" s="1"/>
      <x:c r="J2148" s="1"/>
      <x:c r="K2148" s="1"/>
      <x:c r="L2148" s="1"/>
      <x:c r="M2148" s="1"/>
      <x:c r="N2148" s="1"/>
      <x:c r="O2148" s="1"/>
      <x:c r="P2148" s="1"/>
      <x:c r="Q2148" s="1"/>
      <x:c r="R2148" s="1"/>
      <x:c r="S2148" s="1"/>
      <x:c r="T2148" s="1"/>
      <x:c r="U2148" s="1"/>
      <x:c r="V2148" s="1"/>
      <x:c r="W2148" s="1"/>
      <x:c r="X2148" s="1"/>
      <x:c r="Y2148" s="1"/>
      <x:c r="Z2148" s="1"/>
    </x:row>
    <x:row r="2149">
      <x:c r="A2149" s="1"/>
      <x:c r="B2149" s="1"/>
      <x:c r="C2149" s="1"/>
      <x:c r="D2149" s="1"/>
      <x:c r="E2149" s="1"/>
      <x:c r="F2149" s="1"/>
      <x:c r="G2149" s="1"/>
      <x:c r="H2149" s="1"/>
      <x:c r="I2149" s="1"/>
      <x:c r="J2149" s="1"/>
      <x:c r="K2149" s="1"/>
      <x:c r="L2149" s="1"/>
      <x:c r="M2149" s="1"/>
      <x:c r="N2149" s="1"/>
      <x:c r="O2149" s="1"/>
      <x:c r="P2149" s="1"/>
      <x:c r="Q2149" s="1"/>
      <x:c r="R2149" s="1"/>
      <x:c r="S2149" s="1"/>
      <x:c r="T2149" s="1"/>
      <x:c r="U2149" s="1"/>
      <x:c r="V2149" s="1"/>
      <x:c r="W2149" s="1"/>
      <x:c r="X2149" s="1"/>
      <x:c r="Y2149" s="1"/>
      <x:c r="Z2149" s="1"/>
    </x:row>
    <x:row r="2150">
      <x:c r="A2150" s="1"/>
      <x:c r="B2150" s="1"/>
      <x:c r="C2150" s="1"/>
      <x:c r="D2150" s="1"/>
      <x:c r="E2150" s="1"/>
      <x:c r="F2150" s="1"/>
      <x:c r="G2150" s="1"/>
      <x:c r="H2150" s="1"/>
      <x:c r="I2150" s="1"/>
      <x:c r="J2150" s="1"/>
      <x:c r="K2150" s="1"/>
      <x:c r="L2150" s="1"/>
      <x:c r="M2150" s="1"/>
      <x:c r="N2150" s="1"/>
      <x:c r="O2150" s="1"/>
      <x:c r="P2150" s="1"/>
      <x:c r="Q2150" s="1"/>
      <x:c r="R2150" s="1"/>
      <x:c r="S2150" s="1"/>
      <x:c r="T2150" s="1"/>
      <x:c r="U2150" s="1"/>
      <x:c r="V2150" s="1"/>
      <x:c r="W2150" s="1"/>
      <x:c r="X2150" s="1"/>
      <x:c r="Y2150" s="1"/>
      <x:c r="Z2150" s="1"/>
    </x:row>
    <x:row r="2151">
      <x:c r="A2151" s="1"/>
      <x:c r="B2151" s="1"/>
      <x:c r="C2151" s="1"/>
      <x:c r="D2151" s="1"/>
      <x:c r="E2151" s="1"/>
      <x:c r="F2151" s="1"/>
      <x:c r="G2151" s="1"/>
      <x:c r="H2151" s="1"/>
      <x:c r="I2151" s="1"/>
      <x:c r="J2151" s="1"/>
      <x:c r="K2151" s="1"/>
      <x:c r="L2151" s="1"/>
      <x:c r="M2151" s="1"/>
      <x:c r="N2151" s="1"/>
      <x:c r="O2151" s="1"/>
      <x:c r="P2151" s="1"/>
      <x:c r="Q2151" s="1"/>
      <x:c r="R2151" s="1"/>
      <x:c r="S2151" s="1"/>
      <x:c r="T2151" s="1"/>
      <x:c r="U2151" s="1"/>
      <x:c r="V2151" s="1"/>
      <x:c r="W2151" s="1"/>
      <x:c r="X2151" s="1"/>
      <x:c r="Y2151" s="1"/>
      <x:c r="Z2151" s="1"/>
    </x:row>
    <x:row r="2152">
      <x:c r="A2152" s="1"/>
      <x:c r="B2152" s="1"/>
      <x:c r="C2152" s="1"/>
      <x:c r="D2152" s="1"/>
      <x:c r="E2152" s="1"/>
      <x:c r="F2152" s="1"/>
      <x:c r="G2152" s="1"/>
      <x:c r="H2152" s="1"/>
      <x:c r="I2152" s="1"/>
      <x:c r="J2152" s="1"/>
      <x:c r="K2152" s="1"/>
      <x:c r="L2152" s="1"/>
      <x:c r="M2152" s="1"/>
      <x:c r="N2152" s="1"/>
      <x:c r="O2152" s="1"/>
      <x:c r="P2152" s="1"/>
      <x:c r="Q2152" s="1"/>
      <x:c r="R2152" s="1"/>
      <x:c r="S2152" s="1"/>
      <x:c r="T2152" s="1"/>
      <x:c r="U2152" s="1"/>
      <x:c r="V2152" s="1"/>
      <x:c r="W2152" s="1"/>
      <x:c r="X2152" s="1"/>
      <x:c r="Y2152" s="1"/>
      <x:c r="Z2152" s="1"/>
    </x:row>
    <x:row r="2153">
      <x:c r="A2153" s="1"/>
      <x:c r="B2153" s="1"/>
      <x:c r="C2153" s="1"/>
      <x:c r="D2153" s="1"/>
      <x:c r="E2153" s="1"/>
      <x:c r="F2153" s="1"/>
      <x:c r="G2153" s="1"/>
      <x:c r="H2153" s="1"/>
      <x:c r="I2153" s="1"/>
      <x:c r="J2153" s="1"/>
      <x:c r="K2153" s="1"/>
      <x:c r="L2153" s="1"/>
      <x:c r="M2153" s="1"/>
      <x:c r="N2153" s="1"/>
      <x:c r="O2153" s="1"/>
      <x:c r="P2153" s="1"/>
      <x:c r="Q2153" s="1"/>
      <x:c r="R2153" s="1"/>
      <x:c r="S2153" s="1"/>
      <x:c r="T2153" s="1"/>
      <x:c r="U2153" s="1"/>
      <x:c r="V2153" s="1"/>
      <x:c r="W2153" s="1"/>
      <x:c r="X2153" s="1"/>
      <x:c r="Y2153" s="1"/>
      <x:c r="Z2153" s="1"/>
    </x:row>
    <x:row r="2154">
      <x:c r="A2154" s="1"/>
      <x:c r="B2154" s="1"/>
      <x:c r="C2154" s="1"/>
      <x:c r="D2154" s="1"/>
      <x:c r="E2154" s="1"/>
      <x:c r="F2154" s="1"/>
      <x:c r="G2154" s="1"/>
      <x:c r="H2154" s="1"/>
      <x:c r="I2154" s="1"/>
      <x:c r="J2154" s="1"/>
      <x:c r="K2154" s="1"/>
      <x:c r="L2154" s="1"/>
      <x:c r="M2154" s="1"/>
      <x:c r="N2154" s="1"/>
      <x:c r="O2154" s="1"/>
      <x:c r="P2154" s="1"/>
      <x:c r="Q2154" s="1"/>
      <x:c r="R2154" s="1"/>
      <x:c r="S2154" s="1"/>
      <x:c r="T2154" s="1"/>
      <x:c r="U2154" s="1"/>
      <x:c r="V2154" s="1"/>
      <x:c r="W2154" s="1"/>
      <x:c r="X2154" s="1"/>
      <x:c r="Y2154" s="1"/>
      <x:c r="Z2154" s="1"/>
    </x:row>
    <x:row r="2155">
      <x:c r="A2155" s="1"/>
      <x:c r="B2155" s="1"/>
      <x:c r="C2155" s="1"/>
      <x:c r="D2155" s="1"/>
      <x:c r="E2155" s="1"/>
      <x:c r="F2155" s="1"/>
      <x:c r="G2155" s="1"/>
      <x:c r="H2155" s="1"/>
      <x:c r="I2155" s="1"/>
      <x:c r="J2155" s="1"/>
      <x:c r="K2155" s="1"/>
      <x:c r="L2155" s="1"/>
      <x:c r="M2155" s="1"/>
      <x:c r="N2155" s="1"/>
      <x:c r="O2155" s="1"/>
      <x:c r="P2155" s="1"/>
      <x:c r="Q2155" s="1"/>
      <x:c r="R2155" s="1"/>
      <x:c r="S2155" s="1"/>
      <x:c r="T2155" s="1"/>
      <x:c r="U2155" s="1"/>
      <x:c r="V2155" s="1"/>
      <x:c r="W2155" s="1"/>
      <x:c r="X2155" s="1"/>
      <x:c r="Y2155" s="1"/>
      <x:c r="Z2155" s="1"/>
    </x:row>
    <x:row r="2156">
      <x:c r="A2156" s="1"/>
      <x:c r="B2156" s="1"/>
      <x:c r="C2156" s="1"/>
      <x:c r="D2156" s="1"/>
      <x:c r="E2156" s="1"/>
      <x:c r="F2156" s="1"/>
      <x:c r="G2156" s="1"/>
      <x:c r="H2156" s="1"/>
      <x:c r="I2156" s="1"/>
      <x:c r="J2156" s="1"/>
      <x:c r="K2156" s="1"/>
      <x:c r="L2156" s="1"/>
      <x:c r="M2156" s="1"/>
      <x:c r="N2156" s="1"/>
      <x:c r="O2156" s="1"/>
      <x:c r="P2156" s="1"/>
      <x:c r="Q2156" s="1"/>
      <x:c r="R2156" s="1"/>
      <x:c r="S2156" s="1"/>
      <x:c r="T2156" s="1"/>
      <x:c r="U2156" s="1"/>
      <x:c r="V2156" s="1"/>
      <x:c r="W2156" s="1"/>
      <x:c r="X2156" s="1"/>
      <x:c r="Y2156" s="1"/>
      <x:c r="Z2156" s="1"/>
    </x:row>
    <x:row r="2157">
      <x:c r="A2157" s="1"/>
      <x:c r="B2157" s="1"/>
      <x:c r="C2157" s="1"/>
      <x:c r="D2157" s="1"/>
      <x:c r="E2157" s="1"/>
      <x:c r="F2157" s="1"/>
      <x:c r="G2157" s="1"/>
      <x:c r="H2157" s="1"/>
      <x:c r="I2157" s="1"/>
      <x:c r="J2157" s="1"/>
      <x:c r="K2157" s="1"/>
      <x:c r="L2157" s="1"/>
      <x:c r="M2157" s="1"/>
      <x:c r="N2157" s="1"/>
      <x:c r="O2157" s="1"/>
      <x:c r="P2157" s="1"/>
      <x:c r="Q2157" s="1"/>
      <x:c r="R2157" s="1"/>
      <x:c r="S2157" s="1"/>
      <x:c r="T2157" s="1"/>
      <x:c r="U2157" s="1"/>
      <x:c r="V2157" s="1"/>
      <x:c r="W2157" s="1"/>
      <x:c r="X2157" s="1"/>
      <x:c r="Y2157" s="1"/>
      <x:c r="Z2157" s="1"/>
    </x:row>
    <x:row r="2158">
      <x:c r="A2158" s="1"/>
      <x:c r="B2158" s="1"/>
      <x:c r="C2158" s="1"/>
      <x:c r="D2158" s="1"/>
      <x:c r="E2158" s="1"/>
      <x:c r="F2158" s="1"/>
      <x:c r="G2158" s="1"/>
      <x:c r="H2158" s="1"/>
      <x:c r="I2158" s="1"/>
      <x:c r="J2158" s="1"/>
      <x:c r="K2158" s="1"/>
      <x:c r="L2158" s="1"/>
      <x:c r="M2158" s="1"/>
      <x:c r="N2158" s="1"/>
      <x:c r="O2158" s="1"/>
      <x:c r="P2158" s="1"/>
      <x:c r="Q2158" s="1"/>
      <x:c r="R2158" s="1"/>
      <x:c r="S2158" s="1"/>
      <x:c r="T2158" s="1"/>
      <x:c r="U2158" s="1"/>
      <x:c r="V2158" s="1"/>
      <x:c r="W2158" s="1"/>
      <x:c r="X2158" s="1"/>
      <x:c r="Y2158" s="1"/>
      <x:c r="Z2158" s="1"/>
    </x:row>
    <x:row r="2159">
      <x:c r="A2159" s="1"/>
      <x:c r="B2159" s="1"/>
      <x:c r="C2159" s="1"/>
      <x:c r="D2159" s="1"/>
      <x:c r="E2159" s="1"/>
      <x:c r="F2159" s="1"/>
      <x:c r="G2159" s="1"/>
      <x:c r="H2159" s="1"/>
      <x:c r="I2159" s="1"/>
      <x:c r="J2159" s="1"/>
      <x:c r="K2159" s="1"/>
      <x:c r="L2159" s="1"/>
      <x:c r="M2159" s="1"/>
      <x:c r="N2159" s="1"/>
      <x:c r="O2159" s="1"/>
      <x:c r="P2159" s="1"/>
      <x:c r="Q2159" s="1"/>
      <x:c r="R2159" s="1"/>
      <x:c r="S2159" s="1"/>
      <x:c r="T2159" s="1"/>
      <x:c r="U2159" s="1"/>
      <x:c r="V2159" s="1"/>
      <x:c r="W2159" s="1"/>
      <x:c r="X2159" s="1"/>
      <x:c r="Y2159" s="1"/>
      <x:c r="Z2159" s="1"/>
    </x:row>
    <x:row r="2160">
      <x:c r="A2160" s="1"/>
      <x:c r="B2160" s="1"/>
      <x:c r="C2160" s="1"/>
      <x:c r="D2160" s="1"/>
      <x:c r="E2160" s="1"/>
      <x:c r="F2160" s="1"/>
      <x:c r="G2160" s="1"/>
      <x:c r="H2160" s="1"/>
      <x:c r="I2160" s="1"/>
      <x:c r="J2160" s="1"/>
      <x:c r="K2160" s="1"/>
      <x:c r="L2160" s="1"/>
      <x:c r="M2160" s="1"/>
      <x:c r="N2160" s="1"/>
      <x:c r="O2160" s="1"/>
      <x:c r="P2160" s="1"/>
      <x:c r="Q2160" s="1"/>
      <x:c r="R2160" s="1"/>
      <x:c r="S2160" s="1"/>
      <x:c r="T2160" s="1"/>
      <x:c r="U2160" s="1"/>
      <x:c r="V2160" s="1"/>
      <x:c r="W2160" s="1"/>
      <x:c r="X2160" s="1"/>
      <x:c r="Y2160" s="1"/>
      <x:c r="Z2160" s="1"/>
    </x:row>
    <x:row r="2161">
      <x:c r="A2161" s="1"/>
      <x:c r="B2161" s="1"/>
      <x:c r="C2161" s="1"/>
      <x:c r="D2161" s="1"/>
      <x:c r="E2161" s="1"/>
      <x:c r="F2161" s="1"/>
      <x:c r="G2161" s="1"/>
      <x:c r="H2161" s="1"/>
      <x:c r="I2161" s="1"/>
      <x:c r="J2161" s="1"/>
      <x:c r="K2161" s="1"/>
      <x:c r="L2161" s="1"/>
      <x:c r="M2161" s="1"/>
      <x:c r="N2161" s="1"/>
      <x:c r="O2161" s="1"/>
      <x:c r="P2161" s="1"/>
      <x:c r="Q2161" s="1"/>
      <x:c r="R2161" s="1"/>
      <x:c r="S2161" s="1"/>
      <x:c r="T2161" s="1"/>
      <x:c r="U2161" s="1"/>
      <x:c r="V2161" s="1"/>
      <x:c r="W2161" s="1"/>
      <x:c r="X2161" s="1"/>
      <x:c r="Y2161" s="1"/>
      <x:c r="Z2161" s="1"/>
    </x:row>
    <x:row r="2162">
      <x:c r="A2162" s="1"/>
      <x:c r="B2162" s="1"/>
      <x:c r="C2162" s="1"/>
      <x:c r="D2162" s="1"/>
      <x:c r="E2162" s="1"/>
      <x:c r="F2162" s="1"/>
      <x:c r="G2162" s="1"/>
      <x:c r="H2162" s="1"/>
      <x:c r="I2162" s="1"/>
      <x:c r="J2162" s="1"/>
      <x:c r="K2162" s="1"/>
      <x:c r="L2162" s="1"/>
      <x:c r="M2162" s="1"/>
      <x:c r="N2162" s="1"/>
      <x:c r="O2162" s="1"/>
      <x:c r="P2162" s="1"/>
      <x:c r="Q2162" s="1"/>
      <x:c r="R2162" s="1"/>
      <x:c r="S2162" s="1"/>
      <x:c r="T2162" s="1"/>
      <x:c r="U2162" s="1"/>
      <x:c r="V2162" s="1"/>
      <x:c r="W2162" s="1"/>
      <x:c r="X2162" s="1"/>
      <x:c r="Y2162" s="1"/>
      <x:c r="Z2162" s="1"/>
    </x:row>
    <x:row r="2163">
      <x:c r="A2163" s="1"/>
      <x:c r="B2163" s="1"/>
      <x:c r="C2163" s="1"/>
      <x:c r="D2163" s="1"/>
      <x:c r="E2163" s="1"/>
      <x:c r="F2163" s="1"/>
      <x:c r="G2163" s="1"/>
      <x:c r="H2163" s="1"/>
      <x:c r="I2163" s="1"/>
      <x:c r="J2163" s="1"/>
      <x:c r="K2163" s="1"/>
      <x:c r="L2163" s="1"/>
      <x:c r="M2163" s="1"/>
      <x:c r="N2163" s="1"/>
      <x:c r="O2163" s="1"/>
      <x:c r="P2163" s="1"/>
      <x:c r="Q2163" s="1"/>
      <x:c r="R2163" s="1"/>
      <x:c r="S2163" s="1"/>
      <x:c r="T2163" s="1"/>
      <x:c r="U2163" s="1"/>
      <x:c r="V2163" s="1"/>
      <x:c r="W2163" s="1"/>
      <x:c r="X2163" s="1"/>
      <x:c r="Y2163" s="1"/>
      <x:c r="Z2163" s="1"/>
    </x:row>
    <x:row r="2164">
      <x:c r="A2164" s="1"/>
      <x:c r="B2164" s="1"/>
      <x:c r="C2164" s="1"/>
      <x:c r="D2164" s="1"/>
      <x:c r="E2164" s="1"/>
      <x:c r="F2164" s="1"/>
      <x:c r="G2164" s="1"/>
      <x:c r="H2164" s="1"/>
      <x:c r="I2164" s="1"/>
      <x:c r="J2164" s="1"/>
      <x:c r="K2164" s="1"/>
      <x:c r="L2164" s="1"/>
      <x:c r="M2164" s="1"/>
      <x:c r="N2164" s="1"/>
      <x:c r="O2164" s="1"/>
      <x:c r="P2164" s="1"/>
      <x:c r="Q2164" s="1"/>
      <x:c r="R2164" s="1"/>
      <x:c r="S2164" s="1"/>
      <x:c r="T2164" s="1"/>
      <x:c r="U2164" s="1"/>
      <x:c r="V2164" s="1"/>
      <x:c r="W2164" s="1"/>
      <x:c r="X2164" s="1"/>
      <x:c r="Y2164" s="1"/>
      <x:c r="Z2164" s="1"/>
    </x:row>
    <x:row r="2165">
      <x:c r="A2165" s="1"/>
      <x:c r="B2165" s="1"/>
      <x:c r="C2165" s="1"/>
      <x:c r="D2165" s="1"/>
      <x:c r="E2165" s="1"/>
      <x:c r="F2165" s="1"/>
      <x:c r="G2165" s="1"/>
      <x:c r="H2165" s="1"/>
      <x:c r="I2165" s="1"/>
      <x:c r="J2165" s="1"/>
      <x:c r="K2165" s="1"/>
      <x:c r="L2165" s="1"/>
      <x:c r="M2165" s="1"/>
      <x:c r="N2165" s="1"/>
      <x:c r="O2165" s="1"/>
      <x:c r="P2165" s="1"/>
      <x:c r="Q2165" s="1"/>
      <x:c r="R2165" s="1"/>
      <x:c r="S2165" s="1"/>
      <x:c r="T2165" s="1"/>
      <x:c r="U2165" s="1"/>
      <x:c r="V2165" s="1"/>
      <x:c r="W2165" s="1"/>
      <x:c r="X2165" s="1"/>
      <x:c r="Y2165" s="1"/>
      <x:c r="Z2165" s="1"/>
    </x:row>
    <x:row r="2166">
      <x:c r="A2166" s="1"/>
      <x:c r="B2166" s="1"/>
      <x:c r="C2166" s="1"/>
      <x:c r="D2166" s="1"/>
      <x:c r="E2166" s="1"/>
      <x:c r="F2166" s="1"/>
      <x:c r="G2166" s="1"/>
      <x:c r="H2166" s="1"/>
      <x:c r="I2166" s="1"/>
      <x:c r="J2166" s="1"/>
      <x:c r="K2166" s="1"/>
      <x:c r="L2166" s="1"/>
      <x:c r="M2166" s="1"/>
      <x:c r="N2166" s="1"/>
      <x:c r="O2166" s="1"/>
      <x:c r="P2166" s="1"/>
      <x:c r="Q2166" s="1"/>
      <x:c r="R2166" s="1"/>
      <x:c r="S2166" s="1"/>
      <x:c r="T2166" s="1"/>
      <x:c r="U2166" s="1"/>
      <x:c r="V2166" s="1"/>
      <x:c r="W2166" s="1"/>
      <x:c r="X2166" s="1"/>
      <x:c r="Y2166" s="1"/>
      <x:c r="Z2166" s="1"/>
    </x:row>
    <x:row r="2167">
      <x:c r="A2167" s="1"/>
      <x:c r="B2167" s="1"/>
      <x:c r="C2167" s="1"/>
      <x:c r="D2167" s="1"/>
      <x:c r="E2167" s="1"/>
      <x:c r="F2167" s="1"/>
      <x:c r="G2167" s="1"/>
      <x:c r="H2167" s="1"/>
      <x:c r="I2167" s="1"/>
      <x:c r="J2167" s="1"/>
      <x:c r="K2167" s="1"/>
      <x:c r="L2167" s="1"/>
      <x:c r="M2167" s="1"/>
      <x:c r="N2167" s="1"/>
      <x:c r="O2167" s="1"/>
      <x:c r="P2167" s="1"/>
      <x:c r="Q2167" s="1"/>
      <x:c r="R2167" s="1"/>
      <x:c r="S2167" s="1"/>
      <x:c r="T2167" s="1"/>
      <x:c r="U2167" s="1"/>
      <x:c r="V2167" s="1"/>
      <x:c r="W2167" s="1"/>
      <x:c r="X2167" s="1"/>
      <x:c r="Y2167" s="1"/>
      <x:c r="Z2167" s="1"/>
    </x:row>
    <x:row r="2168">
      <x:c r="A2168" s="1"/>
      <x:c r="B2168" s="1"/>
      <x:c r="C2168" s="1"/>
      <x:c r="D2168" s="1"/>
      <x:c r="E2168" s="1"/>
      <x:c r="F2168" s="1"/>
      <x:c r="G2168" s="1"/>
      <x:c r="H2168" s="1"/>
      <x:c r="I2168" s="1"/>
      <x:c r="J2168" s="1"/>
      <x:c r="K2168" s="1"/>
      <x:c r="L2168" s="1"/>
      <x:c r="M2168" s="1"/>
      <x:c r="N2168" s="1"/>
      <x:c r="O2168" s="1"/>
      <x:c r="P2168" s="1"/>
      <x:c r="Q2168" s="1"/>
      <x:c r="R2168" s="1"/>
      <x:c r="S2168" s="1"/>
      <x:c r="T2168" s="1"/>
      <x:c r="U2168" s="1"/>
      <x:c r="V2168" s="1"/>
      <x:c r="W2168" s="1"/>
      <x:c r="X2168" s="1"/>
      <x:c r="Y2168" s="1"/>
      <x:c r="Z2168" s="1"/>
    </x:row>
    <x:row r="2169">
      <x:c r="A2169" s="1"/>
      <x:c r="B2169" s="1"/>
      <x:c r="C2169" s="1"/>
      <x:c r="D2169" s="1"/>
      <x:c r="E2169" s="1"/>
      <x:c r="F2169" s="1"/>
      <x:c r="G2169" s="1"/>
      <x:c r="H2169" s="1"/>
      <x:c r="I2169" s="1"/>
      <x:c r="J2169" s="1"/>
      <x:c r="K2169" s="1"/>
      <x:c r="L2169" s="1"/>
      <x:c r="M2169" s="1"/>
      <x:c r="N2169" s="1"/>
      <x:c r="O2169" s="1"/>
      <x:c r="P2169" s="1"/>
      <x:c r="Q2169" s="1"/>
      <x:c r="R2169" s="1"/>
      <x:c r="S2169" s="1"/>
      <x:c r="T2169" s="1"/>
      <x:c r="U2169" s="1"/>
      <x:c r="V2169" s="1"/>
      <x:c r="W2169" s="1"/>
      <x:c r="X2169" s="1"/>
      <x:c r="Y2169" s="1"/>
      <x:c r="Z2169" s="1"/>
    </x:row>
    <x:row r="2170">
      <x:c r="A2170" s="1"/>
      <x:c r="B2170" s="1"/>
      <x:c r="C2170" s="1"/>
      <x:c r="D2170" s="1"/>
      <x:c r="E2170" s="1"/>
      <x:c r="F2170" s="1"/>
      <x:c r="G2170" s="1"/>
      <x:c r="H2170" s="1"/>
      <x:c r="I2170" s="1"/>
      <x:c r="J2170" s="1"/>
      <x:c r="K2170" s="1"/>
      <x:c r="L2170" s="1"/>
      <x:c r="M2170" s="1"/>
      <x:c r="N2170" s="1"/>
      <x:c r="O2170" s="1"/>
      <x:c r="P2170" s="1"/>
      <x:c r="Q2170" s="1"/>
      <x:c r="R2170" s="1"/>
      <x:c r="S2170" s="1"/>
      <x:c r="T2170" s="1"/>
      <x:c r="U2170" s="1"/>
      <x:c r="V2170" s="1"/>
      <x:c r="W2170" s="1"/>
      <x:c r="X2170" s="1"/>
      <x:c r="Y2170" s="1"/>
      <x:c r="Z2170" s="1"/>
    </x:row>
    <x:row r="2171">
      <x:c r="A2171" s="1"/>
      <x:c r="B2171" s="1"/>
      <x:c r="C2171" s="1"/>
      <x:c r="D2171" s="1"/>
      <x:c r="E2171" s="1"/>
      <x:c r="F2171" s="1"/>
      <x:c r="G2171" s="1"/>
      <x:c r="H2171" s="1"/>
      <x:c r="I2171" s="1"/>
      <x:c r="J2171" s="1"/>
      <x:c r="K2171" s="1"/>
      <x:c r="L2171" s="1"/>
      <x:c r="M2171" s="1"/>
      <x:c r="N2171" s="1"/>
      <x:c r="O2171" s="1"/>
      <x:c r="P2171" s="1"/>
      <x:c r="Q2171" s="1"/>
      <x:c r="R2171" s="1"/>
      <x:c r="S2171" s="1"/>
      <x:c r="T2171" s="1"/>
      <x:c r="U2171" s="1"/>
      <x:c r="V2171" s="1"/>
      <x:c r="W2171" s="1"/>
      <x:c r="X2171" s="1"/>
      <x:c r="Y2171" s="1"/>
      <x:c r="Z2171" s="1"/>
    </x:row>
    <x:row r="2172">
      <x:c r="A2172" s="1"/>
      <x:c r="B2172" s="1"/>
      <x:c r="C2172" s="1"/>
      <x:c r="D2172" s="1"/>
      <x:c r="E2172" s="1"/>
      <x:c r="F2172" s="1"/>
      <x:c r="G2172" s="1"/>
      <x:c r="H2172" s="1"/>
      <x:c r="I2172" s="1"/>
      <x:c r="J2172" s="1"/>
      <x:c r="K2172" s="1"/>
      <x:c r="L2172" s="1"/>
      <x:c r="M2172" s="1"/>
      <x:c r="N2172" s="1"/>
      <x:c r="O2172" s="1"/>
      <x:c r="P2172" s="1"/>
      <x:c r="Q2172" s="1"/>
      <x:c r="R2172" s="1"/>
      <x:c r="S2172" s="1"/>
      <x:c r="T2172" s="1"/>
      <x:c r="U2172" s="1"/>
      <x:c r="V2172" s="1"/>
      <x:c r="W2172" s="1"/>
      <x:c r="X2172" s="1"/>
      <x:c r="Y2172" s="1"/>
      <x:c r="Z2172" s="1"/>
    </x:row>
    <x:row r="2173">
      <x:c r="A2173" s="1"/>
      <x:c r="B2173" s="1"/>
      <x:c r="C2173" s="1"/>
      <x:c r="D2173" s="1"/>
      <x:c r="E2173" s="1"/>
      <x:c r="F2173" s="1"/>
      <x:c r="G2173" s="1"/>
      <x:c r="H2173" s="1"/>
      <x:c r="I2173" s="1"/>
      <x:c r="J2173" s="1"/>
      <x:c r="K2173" s="1"/>
      <x:c r="L2173" s="1"/>
      <x:c r="M2173" s="1"/>
      <x:c r="N2173" s="1"/>
      <x:c r="O2173" s="1"/>
      <x:c r="P2173" s="1"/>
      <x:c r="Q2173" s="1"/>
      <x:c r="R2173" s="1"/>
      <x:c r="S2173" s="1"/>
      <x:c r="T2173" s="1"/>
      <x:c r="U2173" s="1"/>
      <x:c r="V2173" s="1"/>
      <x:c r="W2173" s="1"/>
      <x:c r="X2173" s="1"/>
      <x:c r="Y2173" s="1"/>
      <x:c r="Z2173" s="1"/>
    </x:row>
    <x:row r="2174">
      <x:c r="A2174" s="1"/>
      <x:c r="B2174" s="1"/>
      <x:c r="C2174" s="1"/>
      <x:c r="D2174" s="1"/>
      <x:c r="E2174" s="1"/>
      <x:c r="F2174" s="1"/>
      <x:c r="G2174" s="1"/>
      <x:c r="H2174" s="1"/>
      <x:c r="I2174" s="1"/>
      <x:c r="J2174" s="1"/>
      <x:c r="K2174" s="1"/>
      <x:c r="L2174" s="1"/>
      <x:c r="M2174" s="1"/>
      <x:c r="N2174" s="1"/>
      <x:c r="O2174" s="1"/>
      <x:c r="P2174" s="1"/>
      <x:c r="Q2174" s="1"/>
      <x:c r="R2174" s="1"/>
      <x:c r="S2174" s="1"/>
      <x:c r="T2174" s="1"/>
      <x:c r="U2174" s="1"/>
      <x:c r="V2174" s="1"/>
      <x:c r="W2174" s="1"/>
      <x:c r="X2174" s="1"/>
      <x:c r="Y2174" s="1"/>
      <x:c r="Z2174" s="1"/>
    </x:row>
    <x:row r="2175">
      <x:c r="A2175" s="1"/>
      <x:c r="B2175" s="1"/>
      <x:c r="C2175" s="1"/>
      <x:c r="D2175" s="1"/>
      <x:c r="E2175" s="1"/>
      <x:c r="F2175" s="1"/>
      <x:c r="G2175" s="1"/>
      <x:c r="H2175" s="1"/>
      <x:c r="I2175" s="1"/>
      <x:c r="J2175" s="1"/>
      <x:c r="K2175" s="1"/>
      <x:c r="L2175" s="1"/>
      <x:c r="M2175" s="1"/>
      <x:c r="N2175" s="1"/>
      <x:c r="O2175" s="1"/>
      <x:c r="P2175" s="1"/>
      <x:c r="Q2175" s="1"/>
      <x:c r="R2175" s="1"/>
      <x:c r="S2175" s="1"/>
      <x:c r="T2175" s="1"/>
      <x:c r="U2175" s="1"/>
      <x:c r="V2175" s="1"/>
      <x:c r="W2175" s="1"/>
      <x:c r="X2175" s="1"/>
      <x:c r="Y2175" s="1"/>
      <x:c r="Z2175" s="1"/>
    </x:row>
    <x:row r="2176">
      <x:c r="A2176" s="1"/>
      <x:c r="B2176" s="1"/>
      <x:c r="C2176" s="1"/>
      <x:c r="D2176" s="1"/>
      <x:c r="E2176" s="1"/>
      <x:c r="F2176" s="1"/>
      <x:c r="G2176" s="1"/>
      <x:c r="H2176" s="1"/>
      <x:c r="I2176" s="1"/>
      <x:c r="J2176" s="1"/>
      <x:c r="K2176" s="1"/>
      <x:c r="L2176" s="1"/>
      <x:c r="M2176" s="1"/>
      <x:c r="N2176" s="1"/>
      <x:c r="O2176" s="1"/>
      <x:c r="P2176" s="1"/>
      <x:c r="Q2176" s="1"/>
      <x:c r="R2176" s="1"/>
      <x:c r="S2176" s="1"/>
      <x:c r="T2176" s="1"/>
      <x:c r="U2176" s="1"/>
      <x:c r="V2176" s="1"/>
      <x:c r="W2176" s="1"/>
      <x:c r="X2176" s="1"/>
      <x:c r="Y2176" s="1"/>
      <x:c r="Z2176" s="1"/>
    </x:row>
    <x:row r="2177">
      <x:c r="A2177" s="1"/>
      <x:c r="B2177" s="1"/>
      <x:c r="C2177" s="1"/>
      <x:c r="D2177" s="1"/>
      <x:c r="E2177" s="1"/>
      <x:c r="F2177" s="1"/>
      <x:c r="G2177" s="1"/>
      <x:c r="H2177" s="1"/>
      <x:c r="I2177" s="1"/>
      <x:c r="J2177" s="1"/>
      <x:c r="K2177" s="1"/>
      <x:c r="L2177" s="1"/>
      <x:c r="M2177" s="1"/>
      <x:c r="N2177" s="1"/>
      <x:c r="O2177" s="1"/>
      <x:c r="P2177" s="1"/>
      <x:c r="Q2177" s="1"/>
      <x:c r="R2177" s="1"/>
      <x:c r="S2177" s="1"/>
      <x:c r="T2177" s="1"/>
      <x:c r="U2177" s="1"/>
      <x:c r="V2177" s="1"/>
      <x:c r="W2177" s="1"/>
      <x:c r="X2177" s="1"/>
      <x:c r="Y2177" s="1"/>
      <x:c r="Z2177" s="1"/>
    </x:row>
    <x:row r="2178">
      <x:c r="A2178" s="1"/>
      <x:c r="B2178" s="1"/>
      <x:c r="C2178" s="1"/>
      <x:c r="D2178" s="1"/>
      <x:c r="E2178" s="1"/>
      <x:c r="F2178" s="1"/>
      <x:c r="G2178" s="1"/>
      <x:c r="H2178" s="1"/>
      <x:c r="I2178" s="1"/>
      <x:c r="J2178" s="1"/>
      <x:c r="K2178" s="1"/>
      <x:c r="L2178" s="1"/>
      <x:c r="M2178" s="1"/>
      <x:c r="N2178" s="1"/>
      <x:c r="O2178" s="1"/>
      <x:c r="P2178" s="1"/>
      <x:c r="Q2178" s="1"/>
      <x:c r="R2178" s="1"/>
      <x:c r="S2178" s="1"/>
      <x:c r="T2178" s="1"/>
      <x:c r="U2178" s="1"/>
      <x:c r="V2178" s="1"/>
      <x:c r="W2178" s="1"/>
      <x:c r="X2178" s="1"/>
      <x:c r="Y2178" s="1"/>
      <x:c r="Z2178" s="1"/>
    </x:row>
    <x:row r="2179">
      <x:c r="A2179" s="1"/>
      <x:c r="B2179" s="1"/>
      <x:c r="C2179" s="1"/>
      <x:c r="D2179" s="1"/>
      <x:c r="E2179" s="1"/>
      <x:c r="F2179" s="1"/>
      <x:c r="G2179" s="1"/>
      <x:c r="H2179" s="1"/>
      <x:c r="I2179" s="1"/>
      <x:c r="J2179" s="1"/>
      <x:c r="K2179" s="1"/>
      <x:c r="L2179" s="1"/>
      <x:c r="M2179" s="1"/>
      <x:c r="N2179" s="1"/>
      <x:c r="O2179" s="1"/>
      <x:c r="P2179" s="1"/>
      <x:c r="Q2179" s="1"/>
      <x:c r="R2179" s="1"/>
      <x:c r="S2179" s="1"/>
      <x:c r="T2179" s="1"/>
      <x:c r="U2179" s="1"/>
      <x:c r="V2179" s="1"/>
      <x:c r="W2179" s="1"/>
      <x:c r="X2179" s="1"/>
      <x:c r="Y2179" s="1"/>
      <x:c r="Z2179" s="1"/>
    </x:row>
    <x:row r="2180">
      <x:c r="A2180" s="1"/>
      <x:c r="B2180" s="1"/>
      <x:c r="C2180" s="1"/>
      <x:c r="D2180" s="1"/>
      <x:c r="E2180" s="1"/>
      <x:c r="F2180" s="1"/>
      <x:c r="G2180" s="1"/>
      <x:c r="H2180" s="1"/>
      <x:c r="I2180" s="1"/>
      <x:c r="J2180" s="1"/>
      <x:c r="K2180" s="1"/>
      <x:c r="L2180" s="1"/>
      <x:c r="M2180" s="1"/>
      <x:c r="N2180" s="1"/>
      <x:c r="O2180" s="1"/>
      <x:c r="P2180" s="1"/>
      <x:c r="Q2180" s="1"/>
      <x:c r="R2180" s="1"/>
      <x:c r="S2180" s="1"/>
      <x:c r="T2180" s="1"/>
      <x:c r="U2180" s="1"/>
      <x:c r="V2180" s="1"/>
      <x:c r="W2180" s="1"/>
      <x:c r="X2180" s="1"/>
      <x:c r="Y2180" s="1"/>
      <x:c r="Z2180" s="1"/>
    </x:row>
    <x:row r="2181">
      <x:c r="A2181" s="1"/>
      <x:c r="B2181" s="1"/>
      <x:c r="C2181" s="1"/>
      <x:c r="D2181" s="1"/>
      <x:c r="E2181" s="1"/>
      <x:c r="F2181" s="1"/>
      <x:c r="G2181" s="1"/>
      <x:c r="H2181" s="1"/>
      <x:c r="I2181" s="1"/>
      <x:c r="J2181" s="1"/>
      <x:c r="K2181" s="1"/>
      <x:c r="L2181" s="1"/>
      <x:c r="M2181" s="1"/>
      <x:c r="N2181" s="1"/>
      <x:c r="O2181" s="1"/>
      <x:c r="P2181" s="1"/>
      <x:c r="Q2181" s="1"/>
      <x:c r="R2181" s="1"/>
      <x:c r="S2181" s="1"/>
      <x:c r="T2181" s="1"/>
      <x:c r="U2181" s="1"/>
      <x:c r="V2181" s="1"/>
      <x:c r="W2181" s="1"/>
      <x:c r="X2181" s="1"/>
      <x:c r="Y2181" s="1"/>
      <x:c r="Z2181" s="1"/>
    </x:row>
    <x:row r="2182">
      <x:c r="A2182" s="1"/>
      <x:c r="B2182" s="1"/>
      <x:c r="C2182" s="1"/>
      <x:c r="D2182" s="1"/>
      <x:c r="E2182" s="1"/>
      <x:c r="F2182" s="1"/>
      <x:c r="G2182" s="1"/>
      <x:c r="H2182" s="1"/>
      <x:c r="I2182" s="1"/>
      <x:c r="J2182" s="1"/>
      <x:c r="K2182" s="1"/>
      <x:c r="L2182" s="1"/>
      <x:c r="M2182" s="1"/>
      <x:c r="N2182" s="1"/>
      <x:c r="O2182" s="1"/>
      <x:c r="P2182" s="1"/>
      <x:c r="Q2182" s="1"/>
      <x:c r="R2182" s="1"/>
      <x:c r="S2182" s="1"/>
      <x:c r="T2182" s="1"/>
      <x:c r="U2182" s="1"/>
      <x:c r="V2182" s="1"/>
      <x:c r="W2182" s="1"/>
      <x:c r="X2182" s="1"/>
      <x:c r="Y2182" s="1"/>
      <x:c r="Z2182" s="1"/>
    </x:row>
    <x:row r="2183">
      <x:c r="A2183" s="1"/>
      <x:c r="B2183" s="1"/>
      <x:c r="C2183" s="1"/>
      <x:c r="D2183" s="1"/>
      <x:c r="E2183" s="1"/>
      <x:c r="F2183" s="1"/>
      <x:c r="G2183" s="1"/>
      <x:c r="H2183" s="1"/>
      <x:c r="I2183" s="1"/>
      <x:c r="J2183" s="1"/>
      <x:c r="K2183" s="1"/>
      <x:c r="L2183" s="1"/>
      <x:c r="M2183" s="1"/>
      <x:c r="N2183" s="1"/>
      <x:c r="O2183" s="1"/>
      <x:c r="P2183" s="1"/>
      <x:c r="Q2183" s="1"/>
      <x:c r="R2183" s="1"/>
      <x:c r="S2183" s="1"/>
      <x:c r="T2183" s="1"/>
      <x:c r="U2183" s="1"/>
      <x:c r="V2183" s="1"/>
      <x:c r="W2183" s="1"/>
      <x:c r="X2183" s="1"/>
      <x:c r="Y2183" s="1"/>
      <x:c r="Z2183" s="1"/>
    </x:row>
    <x:row r="2184">
      <x:c r="A2184" s="1"/>
      <x:c r="B2184" s="1"/>
      <x:c r="C2184" s="1"/>
      <x:c r="D2184" s="1"/>
      <x:c r="E2184" s="1"/>
      <x:c r="F2184" s="1"/>
      <x:c r="G2184" s="1"/>
      <x:c r="H2184" s="1"/>
      <x:c r="I2184" s="1"/>
      <x:c r="J2184" s="1"/>
      <x:c r="K2184" s="1"/>
      <x:c r="L2184" s="1"/>
      <x:c r="M2184" s="1"/>
      <x:c r="N2184" s="1"/>
      <x:c r="O2184" s="1"/>
      <x:c r="P2184" s="1"/>
      <x:c r="Q2184" s="1"/>
      <x:c r="R2184" s="1"/>
      <x:c r="S2184" s="1"/>
      <x:c r="T2184" s="1"/>
      <x:c r="U2184" s="1"/>
      <x:c r="V2184" s="1"/>
      <x:c r="W2184" s="1"/>
      <x:c r="X2184" s="1"/>
      <x:c r="Y2184" s="1"/>
      <x:c r="Z2184" s="1"/>
    </x:row>
    <x:row r="2185">
      <x:c r="A2185" s="1"/>
      <x:c r="B2185" s="1"/>
      <x:c r="C2185" s="1"/>
      <x:c r="D2185" s="1"/>
      <x:c r="E2185" s="1"/>
      <x:c r="F2185" s="1"/>
      <x:c r="G2185" s="1"/>
      <x:c r="H2185" s="1"/>
      <x:c r="I2185" s="1"/>
      <x:c r="J2185" s="1"/>
      <x:c r="K2185" s="1"/>
      <x:c r="L2185" s="1"/>
      <x:c r="M2185" s="1"/>
      <x:c r="N2185" s="1"/>
      <x:c r="O2185" s="1"/>
      <x:c r="P2185" s="1"/>
      <x:c r="Q2185" s="1"/>
      <x:c r="R2185" s="1"/>
      <x:c r="S2185" s="1"/>
      <x:c r="T2185" s="1"/>
      <x:c r="U2185" s="1"/>
      <x:c r="V2185" s="1"/>
      <x:c r="W2185" s="1"/>
      <x:c r="X2185" s="1"/>
      <x:c r="Y2185" s="1"/>
      <x:c r="Z2185" s="1"/>
    </x:row>
    <x:row r="2186">
      <x:c r="A2186" s="1"/>
      <x:c r="B2186" s="1"/>
      <x:c r="C2186" s="1"/>
      <x:c r="D2186" s="1"/>
      <x:c r="E2186" s="1"/>
      <x:c r="F2186" s="1"/>
      <x:c r="G2186" s="1"/>
      <x:c r="H2186" s="1"/>
      <x:c r="I2186" s="1"/>
      <x:c r="J2186" s="1"/>
      <x:c r="K2186" s="1"/>
      <x:c r="L2186" s="1"/>
      <x:c r="M2186" s="1"/>
      <x:c r="N2186" s="1"/>
      <x:c r="O2186" s="1"/>
      <x:c r="P2186" s="1"/>
      <x:c r="Q2186" s="1"/>
      <x:c r="R2186" s="1"/>
      <x:c r="S2186" s="1"/>
      <x:c r="T2186" s="1"/>
      <x:c r="U2186" s="1"/>
      <x:c r="V2186" s="1"/>
      <x:c r="W2186" s="1"/>
      <x:c r="X2186" s="1"/>
      <x:c r="Y2186" s="1"/>
      <x:c r="Z2186" s="1"/>
    </x:row>
    <x:row r="2187">
      <x:c r="A2187" s="1"/>
      <x:c r="B2187" s="1"/>
      <x:c r="C2187" s="1"/>
      <x:c r="D2187" s="1"/>
      <x:c r="E2187" s="1"/>
      <x:c r="F2187" s="1"/>
      <x:c r="G2187" s="1"/>
      <x:c r="H2187" s="1"/>
      <x:c r="I2187" s="1"/>
      <x:c r="J2187" s="1"/>
      <x:c r="K2187" s="1"/>
      <x:c r="L2187" s="1"/>
      <x:c r="M2187" s="1"/>
      <x:c r="N2187" s="1"/>
      <x:c r="O2187" s="1"/>
      <x:c r="P2187" s="1"/>
      <x:c r="Q2187" s="1"/>
      <x:c r="R2187" s="1"/>
      <x:c r="S2187" s="1"/>
      <x:c r="T2187" s="1"/>
      <x:c r="U2187" s="1"/>
      <x:c r="V2187" s="1"/>
      <x:c r="W2187" s="1"/>
      <x:c r="X2187" s="1"/>
      <x:c r="Y2187" s="1"/>
      <x:c r="Z2187" s="1"/>
    </x:row>
    <x:row r="2188">
      <x:c r="A2188" s="1"/>
      <x:c r="B2188" s="1"/>
      <x:c r="C2188" s="1"/>
      <x:c r="D2188" s="1"/>
      <x:c r="E2188" s="1"/>
      <x:c r="F2188" s="1"/>
      <x:c r="G2188" s="1"/>
      <x:c r="H2188" s="1"/>
      <x:c r="I2188" s="1"/>
      <x:c r="J2188" s="1"/>
      <x:c r="K2188" s="1"/>
      <x:c r="L2188" s="1"/>
      <x:c r="M2188" s="1"/>
      <x:c r="N2188" s="1"/>
      <x:c r="O2188" s="1"/>
      <x:c r="P2188" s="1"/>
      <x:c r="Q2188" s="1"/>
      <x:c r="R2188" s="1"/>
      <x:c r="S2188" s="1"/>
      <x:c r="T2188" s="1"/>
      <x:c r="U2188" s="1"/>
      <x:c r="V2188" s="1"/>
      <x:c r="W2188" s="1"/>
      <x:c r="X2188" s="1"/>
      <x:c r="Y2188" s="1"/>
      <x:c r="Z2188" s="1"/>
    </x:row>
    <x:row r="2189">
      <x:c r="A2189" s="1"/>
      <x:c r="B2189" s="1"/>
      <x:c r="C2189" s="1"/>
      <x:c r="D2189" s="1"/>
      <x:c r="E2189" s="1"/>
      <x:c r="F2189" s="1"/>
      <x:c r="G2189" s="1"/>
      <x:c r="H2189" s="1"/>
      <x:c r="I2189" s="1"/>
      <x:c r="J2189" s="1"/>
      <x:c r="K2189" s="1"/>
      <x:c r="L2189" s="1"/>
      <x:c r="M2189" s="1"/>
      <x:c r="N2189" s="1"/>
      <x:c r="O2189" s="1"/>
      <x:c r="P2189" s="1"/>
      <x:c r="Q2189" s="1"/>
      <x:c r="R2189" s="1"/>
      <x:c r="S2189" s="1"/>
      <x:c r="T2189" s="1"/>
      <x:c r="U2189" s="1"/>
      <x:c r="V2189" s="1"/>
      <x:c r="W2189" s="1"/>
      <x:c r="X2189" s="1"/>
      <x:c r="Y2189" s="1"/>
      <x:c r="Z2189" s="1"/>
    </x:row>
    <x:row r="2190">
      <x:c r="A2190" s="1"/>
      <x:c r="B2190" s="1"/>
      <x:c r="C2190" s="1"/>
      <x:c r="D2190" s="1"/>
      <x:c r="E2190" s="1"/>
      <x:c r="F2190" s="1"/>
      <x:c r="G2190" s="1"/>
      <x:c r="H2190" s="1"/>
      <x:c r="I2190" s="1"/>
      <x:c r="J2190" s="1"/>
      <x:c r="K2190" s="1"/>
      <x:c r="L2190" s="1"/>
      <x:c r="M2190" s="1"/>
      <x:c r="N2190" s="1"/>
      <x:c r="O2190" s="1"/>
      <x:c r="P2190" s="1"/>
      <x:c r="Q2190" s="1"/>
      <x:c r="R2190" s="1"/>
      <x:c r="S2190" s="1"/>
      <x:c r="T2190" s="1"/>
      <x:c r="U2190" s="1"/>
      <x:c r="V2190" s="1"/>
      <x:c r="W2190" s="1"/>
      <x:c r="X2190" s="1"/>
      <x:c r="Y2190" s="1"/>
      <x:c r="Z2190" s="1"/>
    </x:row>
    <x:row r="2191">
      <x:c r="A2191" s="1"/>
      <x:c r="B2191" s="1"/>
      <x:c r="C2191" s="1"/>
      <x:c r="D2191" s="1"/>
      <x:c r="E2191" s="1"/>
      <x:c r="F2191" s="1"/>
      <x:c r="G2191" s="1"/>
      <x:c r="H2191" s="1"/>
      <x:c r="I2191" s="1"/>
      <x:c r="J2191" s="1"/>
      <x:c r="K2191" s="1"/>
      <x:c r="L2191" s="1"/>
      <x:c r="M2191" s="1"/>
      <x:c r="N2191" s="1"/>
      <x:c r="O2191" s="1"/>
      <x:c r="P2191" s="1"/>
      <x:c r="Q2191" s="1"/>
      <x:c r="R2191" s="1"/>
      <x:c r="S2191" s="1"/>
      <x:c r="T2191" s="1"/>
      <x:c r="U2191" s="1"/>
      <x:c r="V2191" s="1"/>
      <x:c r="W2191" s="1"/>
      <x:c r="X2191" s="1"/>
      <x:c r="Y2191" s="1"/>
      <x:c r="Z2191" s="1"/>
    </x:row>
    <x:row r="2192">
      <x:c r="A2192" s="1"/>
      <x:c r="B2192" s="1"/>
      <x:c r="C2192" s="1"/>
      <x:c r="D2192" s="1"/>
      <x:c r="E2192" s="1"/>
      <x:c r="F2192" s="1"/>
      <x:c r="G2192" s="1"/>
      <x:c r="H2192" s="1"/>
      <x:c r="I2192" s="1"/>
      <x:c r="J2192" s="1"/>
      <x:c r="K2192" s="1"/>
      <x:c r="L2192" s="1"/>
      <x:c r="M2192" s="1"/>
      <x:c r="N2192" s="1"/>
      <x:c r="O2192" s="1"/>
      <x:c r="P2192" s="1"/>
      <x:c r="Q2192" s="1"/>
      <x:c r="R2192" s="1"/>
      <x:c r="S2192" s="1"/>
      <x:c r="T2192" s="1"/>
      <x:c r="U2192" s="1"/>
      <x:c r="V2192" s="1"/>
      <x:c r="W2192" s="1"/>
      <x:c r="X2192" s="1"/>
      <x:c r="Y2192" s="1"/>
      <x:c r="Z2192" s="1"/>
    </x:row>
    <x:row r="2193">
      <x:c r="A2193" s="1"/>
      <x:c r="B2193" s="1"/>
      <x:c r="C2193" s="1"/>
      <x:c r="D2193" s="1"/>
      <x:c r="E2193" s="1"/>
      <x:c r="F2193" s="1"/>
      <x:c r="G2193" s="1"/>
      <x:c r="H2193" s="1"/>
      <x:c r="I2193" s="1"/>
      <x:c r="J2193" s="1"/>
      <x:c r="K2193" s="1"/>
      <x:c r="L2193" s="1"/>
      <x:c r="M2193" s="1"/>
      <x:c r="N2193" s="1"/>
      <x:c r="O2193" s="1"/>
      <x:c r="P2193" s="1"/>
      <x:c r="Q2193" s="1"/>
      <x:c r="R2193" s="1"/>
      <x:c r="S2193" s="1"/>
      <x:c r="T2193" s="1"/>
      <x:c r="U2193" s="1"/>
      <x:c r="V2193" s="1"/>
      <x:c r="W2193" s="1"/>
      <x:c r="X2193" s="1"/>
      <x:c r="Y2193" s="1"/>
      <x:c r="Z2193" s="1"/>
    </x:row>
    <x:row r="2194">
      <x:c r="A2194" s="1"/>
      <x:c r="B2194" s="1"/>
      <x:c r="C2194" s="1"/>
      <x:c r="D2194" s="1"/>
      <x:c r="E2194" s="1"/>
      <x:c r="F2194" s="1"/>
      <x:c r="G2194" s="1"/>
      <x:c r="H2194" s="1"/>
      <x:c r="I2194" s="1"/>
      <x:c r="J2194" s="1"/>
      <x:c r="K2194" s="1"/>
      <x:c r="L2194" s="1"/>
      <x:c r="M2194" s="1"/>
      <x:c r="N2194" s="1"/>
      <x:c r="O2194" s="1"/>
      <x:c r="P2194" s="1"/>
      <x:c r="Q2194" s="1"/>
      <x:c r="R2194" s="1"/>
      <x:c r="S2194" s="1"/>
      <x:c r="T2194" s="1"/>
      <x:c r="U2194" s="1"/>
      <x:c r="V2194" s="1"/>
      <x:c r="W2194" s="1"/>
      <x:c r="X2194" s="1"/>
      <x:c r="Y2194" s="1"/>
      <x:c r="Z2194" s="1"/>
    </x:row>
    <x:row r="2195">
      <x:c r="A2195" s="1"/>
      <x:c r="B2195" s="1"/>
      <x:c r="C2195" s="1"/>
      <x:c r="D2195" s="1"/>
      <x:c r="E2195" s="1"/>
      <x:c r="F2195" s="1"/>
      <x:c r="G2195" s="1"/>
      <x:c r="H2195" s="1"/>
      <x:c r="I2195" s="1"/>
      <x:c r="J2195" s="1"/>
      <x:c r="K2195" s="1"/>
      <x:c r="L2195" s="1"/>
      <x:c r="M2195" s="1"/>
      <x:c r="N2195" s="1"/>
      <x:c r="O2195" s="1"/>
      <x:c r="P2195" s="1"/>
      <x:c r="Q2195" s="1"/>
      <x:c r="R2195" s="1"/>
      <x:c r="S2195" s="1"/>
      <x:c r="T2195" s="1"/>
      <x:c r="U2195" s="1"/>
      <x:c r="V2195" s="1"/>
      <x:c r="W2195" s="1"/>
      <x:c r="X2195" s="1"/>
      <x:c r="Y2195" s="1"/>
      <x:c r="Z2195" s="1"/>
    </x:row>
    <x:row r="2196">
      <x:c r="A2196" s="1"/>
      <x:c r="B2196" s="1"/>
      <x:c r="C2196" s="1"/>
      <x:c r="D2196" s="1"/>
      <x:c r="E2196" s="1"/>
      <x:c r="F2196" s="1"/>
      <x:c r="G2196" s="1"/>
      <x:c r="H2196" s="1"/>
      <x:c r="I2196" s="1"/>
      <x:c r="J2196" s="1"/>
      <x:c r="K2196" s="1"/>
      <x:c r="L2196" s="1"/>
      <x:c r="M2196" s="1"/>
      <x:c r="N2196" s="1"/>
      <x:c r="O2196" s="1"/>
      <x:c r="P2196" s="1"/>
      <x:c r="Q2196" s="1"/>
      <x:c r="R2196" s="1"/>
      <x:c r="S2196" s="1"/>
      <x:c r="T2196" s="1"/>
      <x:c r="U2196" s="1"/>
      <x:c r="V2196" s="1"/>
      <x:c r="W2196" s="1"/>
      <x:c r="X2196" s="1"/>
      <x:c r="Y2196" s="1"/>
      <x:c r="Z2196" s="1"/>
    </x:row>
    <x:row r="2197">
      <x:c r="A2197" s="1"/>
      <x:c r="B2197" s="1"/>
      <x:c r="C2197" s="1"/>
      <x:c r="D2197" s="1"/>
      <x:c r="E2197" s="1"/>
      <x:c r="F2197" s="1"/>
      <x:c r="G2197" s="1"/>
      <x:c r="H2197" s="1"/>
      <x:c r="I2197" s="1"/>
      <x:c r="J2197" s="1"/>
      <x:c r="K2197" s="1"/>
      <x:c r="L2197" s="1"/>
      <x:c r="M2197" s="1"/>
      <x:c r="N2197" s="1"/>
      <x:c r="O2197" s="1"/>
      <x:c r="P2197" s="1"/>
      <x:c r="Q2197" s="1"/>
      <x:c r="R2197" s="1"/>
      <x:c r="S2197" s="1"/>
      <x:c r="T2197" s="1"/>
      <x:c r="U2197" s="1"/>
      <x:c r="V2197" s="1"/>
      <x:c r="W2197" s="1"/>
      <x:c r="X2197" s="1"/>
      <x:c r="Y2197" s="1"/>
      <x:c r="Z2197" s="1"/>
    </x:row>
    <x:row r="2198">
      <x:c r="A2198" s="1"/>
      <x:c r="B2198" s="1"/>
      <x:c r="C2198" s="1"/>
      <x:c r="D2198" s="1"/>
      <x:c r="E2198" s="1"/>
      <x:c r="F2198" s="1"/>
      <x:c r="G2198" s="1"/>
      <x:c r="H2198" s="1"/>
      <x:c r="I2198" s="1"/>
      <x:c r="J2198" s="1"/>
      <x:c r="K2198" s="1"/>
      <x:c r="L2198" s="1"/>
      <x:c r="M2198" s="1"/>
      <x:c r="N2198" s="1"/>
      <x:c r="O2198" s="1"/>
      <x:c r="P2198" s="1"/>
      <x:c r="Q2198" s="1"/>
      <x:c r="R2198" s="1"/>
      <x:c r="S2198" s="1"/>
      <x:c r="T2198" s="1"/>
      <x:c r="U2198" s="1"/>
      <x:c r="V2198" s="1"/>
      <x:c r="W2198" s="1"/>
      <x:c r="X2198" s="1"/>
      <x:c r="Y2198" s="1"/>
      <x:c r="Z2198" s="1"/>
    </x:row>
    <x:row r="2199">
      <x:c r="A2199" s="1"/>
      <x:c r="B2199" s="1"/>
      <x:c r="C2199" s="1"/>
      <x:c r="D2199" s="1"/>
      <x:c r="E2199" s="1"/>
      <x:c r="F2199" s="1"/>
      <x:c r="G2199" s="1"/>
      <x:c r="H2199" s="1"/>
      <x:c r="I2199" s="1"/>
      <x:c r="J2199" s="1"/>
      <x:c r="K2199" s="1"/>
      <x:c r="L2199" s="1"/>
      <x:c r="M2199" s="1"/>
      <x:c r="N2199" s="1"/>
      <x:c r="O2199" s="1"/>
      <x:c r="P2199" s="1"/>
      <x:c r="Q2199" s="1"/>
      <x:c r="R2199" s="1"/>
      <x:c r="S2199" s="1"/>
      <x:c r="T2199" s="1"/>
      <x:c r="U2199" s="1"/>
      <x:c r="V2199" s="1"/>
      <x:c r="W2199" s="1"/>
      <x:c r="X2199" s="1"/>
      <x:c r="Y2199" s="1"/>
      <x:c r="Z2199" s="1"/>
    </x:row>
    <x:row r="2200">
      <x:c r="A2200" s="1"/>
      <x:c r="B2200" s="1"/>
      <x:c r="C2200" s="1"/>
      <x:c r="D2200" s="1"/>
      <x:c r="E2200" s="1"/>
      <x:c r="F2200" s="1"/>
      <x:c r="G2200" s="1"/>
      <x:c r="H2200" s="1"/>
      <x:c r="I2200" s="1"/>
      <x:c r="J2200" s="1"/>
      <x:c r="K2200" s="1"/>
      <x:c r="L2200" s="1"/>
      <x:c r="M2200" s="1"/>
      <x:c r="N2200" s="1"/>
      <x:c r="O2200" s="1"/>
      <x:c r="P2200" s="1"/>
      <x:c r="Q2200" s="1"/>
      <x:c r="R2200" s="1"/>
      <x:c r="S2200" s="1"/>
      <x:c r="T2200" s="1"/>
      <x:c r="U2200" s="1"/>
      <x:c r="V2200" s="1"/>
      <x:c r="W2200" s="1"/>
      <x:c r="X2200" s="1"/>
      <x:c r="Y2200" s="1"/>
      <x:c r="Z2200" s="1"/>
    </x:row>
  </x:sheetData>
  <x:mergeCells>
    <x:mergeCell ref="A4:C4"/>
    <x:mergeCell ref="A5:C6"/>
    <x:mergeCell ref="E4:G4"/>
    <x:mergeCell ref="E5:G6"/>
    <x:mergeCell ref="I4:K4"/>
    <x:mergeCell ref="I5:K6"/>
    <x:mergeCell ref="M4:N4"/>
    <x:mergeCell ref="M5:N6"/>
    <x:mergeCell ref="A8:C8"/>
    <x:mergeCell ref="A9:C10"/>
    <x:mergeCell ref="E8:G8"/>
    <x:mergeCell ref="E9:G10"/>
    <x:mergeCell ref="I8:K8"/>
    <x:mergeCell ref="I9:K10"/>
    <x:mergeCell ref="M8:N8"/>
    <x:mergeCell ref="M9:N10"/>
  </x:mergeCells>
  <x:conditionalFormatting sqref="D15:D22">
    <x:cfRule type="dataBar" priority="1">
      <x:dataBar>
        <x:cfvo type="min"/>
        <x:cfvo type="max"/>
        <x:color rgb="FF548235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D27:D31">
    <x:cfRule type="dataBar" priority="2">
      <x:dataBar>
        <x:cfvo type="min"/>
        <x:cfvo type="max"/>
        <x:color rgb="FFED7D31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e9c91524fa64493a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548235"/>
            </x14:dataBar>
          </x14:cfRule>
          <xm:sqref>D15:D22</xm:sqref>
        </x14:conditionalFormatting>
        <x14:conditionalFormatting>
          <x14:cfRule type="dataBar" priority="2" id="{169BE573-5479-287D-BE93-74B15E11EBFA}">
            <x14:dataBar gradient="1">
              <x14:cfvo type="min"/>
              <x14:cfvo type="max"/>
              <x14:fillColor rgb="FFED7D31"/>
            </x14:dataBar>
          </x14:cfRule>
          <xm:sqref>D27:D31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20" hidden="0" customWidth="1"/>
    <x:col min="3" max="3" width="18" hidden="0" customWidth="1"/>
    <x:col min="4" max="4" width="18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>
      <x:c r="A1" s="18" t="str">
        <x:v>Eatery performance analysis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7" t="str">
        <x:v>Monthly and menu summaries calculated from the transaction table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3" t="str">
        <x:v>Month</x:v>
      </x:c>
      <x:c r="B4" s="14" t="str">
        <x:v>Revenue (₦)</x:v>
      </x:c>
      <x:c r="C4" s="14" t="str">
        <x:v>Total Cost (₦)</x:v>
      </x:c>
      <x:c r="D4" s="14" t="str">
        <x:v>Gross Profit (₦)</x:v>
      </x:c>
      <x:c r="E4" s="14" t="str">
        <x:v>Gross Margin</x:v>
      </x:c>
      <x:c r="F4" s="14" t="str">
        <x:v>Orders</x:v>
      </x:c>
      <x:c r="G4" s="14" t="str">
        <x:v>Quantity</x:v>
      </x:c>
      <x:c r="H4" s="15" t="str">
        <x:v>Avg. Rating</x:v>
      </x:c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49" t="n">
        <x:v>46023</x:v>
      </x:c>
      <x:c r="B5" s="27" t="n">
        <x:f>SUMIFS('Sales Data'!$J$2:$J$1801,'Sales Data'!$B$2:$B$1801,"&gt;="&amp;A5,'Sales Data'!$B$2:$B$1801,"&lt;"&amp;EDATE(A5,1))</x:f>
        <x:v>1354100</x:v>
      </x:c>
      <x:c r="C5" s="27" t="n">
        <x:f>SUMIFS('Sales Data'!$L$2:$L$1801,'Sales Data'!$B$2:$B$1801,"&gt;="&amp;A5,'Sales Data'!$B$2:$B$1801,"&lt;"&amp;EDATE(A5,1))</x:f>
        <x:v>681830</x:v>
      </x:c>
      <x:c r="D5" s="27" t="n">
        <x:f>B5-C5</x:f>
        <x:v>672270</x:v>
      </x:c>
      <x:c r="E5" s="53" t="n">
        <x:f>IF(B5=0,"n.a.",D5/B5)</x:f>
        <x:v>0.4964699800605568</x:v>
      </x:c>
      <x:c r="F5" s="23" t="n">
        <x:f>COUNTIFS('Sales Data'!$B$2:$B$1801,"&gt;="&amp;A5,'Sales Data'!$B$2:$B$1801,"&lt;"&amp;EDATE(A5,1))</x:f>
        <x:v>235</x:v>
      </x:c>
      <x:c r="G5" s="23" t="n">
        <x:f>SUMIFS('Sales Data'!$G$2:$G$1801,'Sales Data'!$B$2:$B$1801,"&gt;="&amp;A5,'Sales Data'!$B$2:$B$1801,"&lt;"&amp;EDATE(A5,1))</x:f>
        <x:v>598</x:v>
      </x:c>
      <x:c r="H5" s="54" t="n">
        <x:f>IF(COUNTIFS('Sales Data'!$B$2:$B$1801,"&gt;="&amp;A5,'Sales Data'!$B$2:$B$1801,"&lt;"&amp;EDATE(A5,1),'Sales Data'!$R$2:$R$1801,"&gt;0")=0,"n.a.",SUMIFS('Sales Data'!$R$2:$R$1801,'Sales Data'!$B$2:$B$1801,"&gt;="&amp;A5,'Sales Data'!$B$2:$B$1801,"&lt;"&amp;EDATE(A5,1))/COUNTIFS('Sales Data'!$B$2:$B$1801,"&gt;="&amp;A5,'Sales Data'!$B$2:$B$1801,"&lt;"&amp;EDATE(A5,1),'Sales Data'!$R$2:$R$1801,"&gt;0"))</x:f>
        <x:v>4.319634703196347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49" t="n">
        <x:v>46054</x:v>
      </x:c>
      <x:c r="B6" s="27" t="n">
        <x:f>SUMIFS('Sales Data'!$J$2:$J$1801,'Sales Data'!$B$2:$B$1801,"&gt;="&amp;A6,'Sales Data'!$B$2:$B$1801,"&lt;"&amp;EDATE(A6,1))</x:f>
        <x:v>1268395</x:v>
      </x:c>
      <x:c r="C6" s="27" t="n">
        <x:f>SUMIFS('Sales Data'!$L$2:$L$1801,'Sales Data'!$B$2:$B$1801,"&gt;="&amp;A6,'Sales Data'!$B$2:$B$1801,"&lt;"&amp;EDATE(A6,1))</x:f>
        <x:v>639580</x:v>
      </x:c>
      <x:c r="D6" s="27" t="n">
        <x:f>B6-C6</x:f>
        <x:v>628815</x:v>
      </x:c>
      <x:c r="E6" s="53" t="n">
        <x:f>IF(B6=0,"n.a.",D6/B6)</x:f>
        <x:v>0.49575644810961883</x:v>
      </x:c>
      <x:c r="F6" s="23" t="n">
        <x:f>COUNTIFS('Sales Data'!$B$2:$B$1801,"&gt;="&amp;A6,'Sales Data'!$B$2:$B$1801,"&lt;"&amp;EDATE(A6,1))</x:f>
        <x:v>218</x:v>
      </x:c>
      <x:c r="G6" s="23" t="n">
        <x:f>SUMIFS('Sales Data'!$G$2:$G$1801,'Sales Data'!$B$2:$B$1801,"&gt;="&amp;A6,'Sales Data'!$B$2:$B$1801,"&lt;"&amp;EDATE(A6,1))</x:f>
        <x:v>550</x:v>
      </x:c>
      <x:c r="H6" s="54" t="n">
        <x:f>IF(COUNTIFS('Sales Data'!$B$2:$B$1801,"&gt;="&amp;A6,'Sales Data'!$B$2:$B$1801,"&lt;"&amp;EDATE(A6,1),'Sales Data'!$R$2:$R$1801,"&gt;0")=0,"n.a.",SUMIFS('Sales Data'!$R$2:$R$1801,'Sales Data'!$B$2:$B$1801,"&gt;="&amp;A6,'Sales Data'!$B$2:$B$1801,"&lt;"&amp;EDATE(A6,1))/COUNTIFS('Sales Data'!$B$2:$B$1801,"&gt;="&amp;A6,'Sales Data'!$B$2:$B$1801,"&lt;"&amp;EDATE(A6,1),'Sales Data'!$R$2:$R$1801,"&gt;0"))</x:f>
        <x:v>4.289099526066351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49" t="n">
        <x:v>46082</x:v>
      </x:c>
      <x:c r="B7" s="27" t="n">
        <x:f>SUMIFS('Sales Data'!$J$2:$J$1801,'Sales Data'!$B$2:$B$1801,"&gt;="&amp;A7,'Sales Data'!$B$2:$B$1801,"&lt;"&amp;EDATE(A7,1))</x:f>
        <x:v>1412820</x:v>
      </x:c>
      <x:c r="C7" s="27" t="n">
        <x:f>SUMIFS('Sales Data'!$L$2:$L$1801,'Sales Data'!$B$2:$B$1801,"&gt;="&amp;A7,'Sales Data'!$B$2:$B$1801,"&lt;"&amp;EDATE(A7,1))</x:f>
        <x:v>714390</x:v>
      </x:c>
      <x:c r="D7" s="27" t="n">
        <x:f>B7-C7</x:f>
        <x:v>698430</x:v>
      </x:c>
      <x:c r="E7" s="53" t="n">
        <x:f>IF(B7=0,"n.a.",D7/B7)</x:f>
        <x:v>0.4943517220877394</x:v>
      </x:c>
      <x:c r="F7" s="23" t="n">
        <x:f>COUNTIFS('Sales Data'!$B$2:$B$1801,"&gt;="&amp;A7,'Sales Data'!$B$2:$B$1801,"&lt;"&amp;EDATE(A7,1))</x:f>
        <x:v>244</x:v>
      </x:c>
      <x:c r="G7" s="23" t="n">
        <x:f>SUMIFS('Sales Data'!$G$2:$G$1801,'Sales Data'!$B$2:$B$1801,"&gt;="&amp;A7,'Sales Data'!$B$2:$B$1801,"&lt;"&amp;EDATE(A7,1))</x:f>
        <x:v>603</x:v>
      </x:c>
      <x:c r="H7" s="54" t="n">
        <x:f>IF(COUNTIFS('Sales Data'!$B$2:$B$1801,"&gt;="&amp;A7,'Sales Data'!$B$2:$B$1801,"&lt;"&amp;EDATE(A7,1),'Sales Data'!$R$2:$R$1801,"&gt;0")=0,"n.a.",SUMIFS('Sales Data'!$R$2:$R$1801,'Sales Data'!$B$2:$B$1801,"&gt;="&amp;A7,'Sales Data'!$B$2:$B$1801,"&lt;"&amp;EDATE(A7,1))/COUNTIFS('Sales Data'!$B$2:$B$1801,"&gt;="&amp;A7,'Sales Data'!$B$2:$B$1801,"&lt;"&amp;EDATE(A7,1),'Sales Data'!$R$2:$R$1801,"&gt;0"))</x:f>
        <x:v>4.242553191489361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49" t="n">
        <x:v>46113</x:v>
      </x:c>
      <x:c r="B8" s="27" t="n">
        <x:f>SUMIFS('Sales Data'!$J$2:$J$1801,'Sales Data'!$B$2:$B$1801,"&gt;="&amp;A8,'Sales Data'!$B$2:$B$1801,"&lt;"&amp;EDATE(A8,1))</x:f>
        <x:v>1358850</x:v>
      </x:c>
      <x:c r="C8" s="27" t="n">
        <x:f>SUMIFS('Sales Data'!$L$2:$L$1801,'Sales Data'!$B$2:$B$1801,"&gt;="&amp;A8,'Sales Data'!$B$2:$B$1801,"&lt;"&amp;EDATE(A8,1))</x:f>
        <x:v>681570</x:v>
      </x:c>
      <x:c r="D8" s="27" t="n">
        <x:f>B8-C8</x:f>
        <x:v>677280</x:v>
      </x:c>
      <x:c r="E8" s="53" t="n">
        <x:f>IF(B8=0,"n.a.",D8/B8)</x:f>
        <x:v>0.498421459322221</x:v>
      </x:c>
      <x:c r="F8" s="23" t="n">
        <x:f>COUNTIFS('Sales Data'!$B$2:$B$1801,"&gt;="&amp;A8,'Sales Data'!$B$2:$B$1801,"&lt;"&amp;EDATE(A8,1))</x:f>
        <x:v>247</x:v>
      </x:c>
      <x:c r="G8" s="23" t="n">
        <x:f>SUMIFS('Sales Data'!$G$2:$G$1801,'Sales Data'!$B$2:$B$1801,"&gt;="&amp;A8,'Sales Data'!$B$2:$B$1801,"&lt;"&amp;EDATE(A8,1))</x:f>
        <x:v>622</x:v>
      </x:c>
      <x:c r="H8" s="54" t="n">
        <x:f>IF(COUNTIFS('Sales Data'!$B$2:$B$1801,"&gt;="&amp;A8,'Sales Data'!$B$2:$B$1801,"&lt;"&amp;EDATE(A8,1),'Sales Data'!$R$2:$R$1801,"&gt;0")=0,"n.a.",SUMIFS('Sales Data'!$R$2:$R$1801,'Sales Data'!$B$2:$B$1801,"&gt;="&amp;A8,'Sales Data'!$B$2:$B$1801,"&lt;"&amp;EDATE(A8,1))/COUNTIFS('Sales Data'!$B$2:$B$1801,"&gt;="&amp;A8,'Sales Data'!$B$2:$B$1801,"&lt;"&amp;EDATE(A8,1),'Sales Data'!$R$2:$R$1801,"&gt;0"))</x:f>
        <x:v>4.227848101265823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49" t="n">
        <x:v>46143</x:v>
      </x:c>
      <x:c r="B9" s="27" t="n">
        <x:f>SUMIFS('Sales Data'!$J$2:$J$1801,'Sales Data'!$B$2:$B$1801,"&gt;="&amp;A9,'Sales Data'!$B$2:$B$1801,"&lt;"&amp;EDATE(A9,1))</x:f>
        <x:v>1246680</x:v>
      </x:c>
      <x:c r="C9" s="27" t="n">
        <x:f>SUMIFS('Sales Data'!$L$2:$L$1801,'Sales Data'!$B$2:$B$1801,"&gt;="&amp;A9,'Sales Data'!$B$2:$B$1801,"&lt;"&amp;EDATE(A9,1))</x:f>
        <x:v>631220</x:v>
      </x:c>
      <x:c r="D9" s="27" t="n">
        <x:f>B9-C9</x:f>
        <x:v>615460</x:v>
      </x:c>
      <x:c r="E9" s="53" t="n">
        <x:f>IF(B9=0,"n.a.",D9/B9)</x:f>
        <x:v>0.49367921198703757</x:v>
      </x:c>
      <x:c r="F9" s="23" t="n">
        <x:f>COUNTIFS('Sales Data'!$B$2:$B$1801,"&gt;="&amp;A9,'Sales Data'!$B$2:$B$1801,"&lt;"&amp;EDATE(A9,1))</x:f>
        <x:v>221</x:v>
      </x:c>
      <x:c r="G9" s="23" t="n">
        <x:f>SUMIFS('Sales Data'!$G$2:$G$1801,'Sales Data'!$B$2:$B$1801,"&gt;="&amp;A9,'Sales Data'!$B$2:$B$1801,"&lt;"&amp;EDATE(A9,1))</x:f>
        <x:v>561</x:v>
      </x:c>
      <x:c r="H9" s="54" t="n">
        <x:f>IF(COUNTIFS('Sales Data'!$B$2:$B$1801,"&gt;="&amp;A9,'Sales Data'!$B$2:$B$1801,"&lt;"&amp;EDATE(A9,1),'Sales Data'!$R$2:$R$1801,"&gt;0")=0,"n.a.",SUMIFS('Sales Data'!$R$2:$R$1801,'Sales Data'!$B$2:$B$1801,"&gt;="&amp;A9,'Sales Data'!$B$2:$B$1801,"&lt;"&amp;EDATE(A9,1))/COUNTIFS('Sales Data'!$B$2:$B$1801,"&gt;="&amp;A9,'Sales Data'!$B$2:$B$1801,"&lt;"&amp;EDATE(A9,1),'Sales Data'!$R$2:$R$1801,"&gt;0"))</x:f>
        <x:v>4.231481481481482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49" t="n">
        <x:v>46174</x:v>
      </x:c>
      <x:c r="B10" s="27" t="n">
        <x:f>SUMIFS('Sales Data'!$J$2:$J$1801,'Sales Data'!$B$2:$B$1801,"&gt;="&amp;A10,'Sales Data'!$B$2:$B$1801,"&lt;"&amp;EDATE(A10,1))</x:f>
        <x:v>1183360</x:v>
      </x:c>
      <x:c r="C10" s="27" t="n">
        <x:f>SUMIFS('Sales Data'!$L$2:$L$1801,'Sales Data'!$B$2:$B$1801,"&gt;="&amp;A10,'Sales Data'!$B$2:$B$1801,"&lt;"&amp;EDATE(A10,1))</x:f>
        <x:v>597900</x:v>
      </x:c>
      <x:c r="D10" s="27" t="n">
        <x:f>B10-C10</x:f>
        <x:v>585460</x:v>
      </x:c>
      <x:c r="E10" s="53" t="n">
        <x:f>IF(B10=0,"n.a.",D10/B10)</x:f>
        <x:v>0.49474378042184963</x:v>
      </x:c>
      <x:c r="F10" s="23" t="n">
        <x:f>COUNTIFS('Sales Data'!$B$2:$B$1801,"&gt;="&amp;A10,'Sales Data'!$B$2:$B$1801,"&lt;"&amp;EDATE(A10,1))</x:f>
        <x:v>215</x:v>
      </x:c>
      <x:c r="G10" s="23" t="n">
        <x:f>SUMIFS('Sales Data'!$G$2:$G$1801,'Sales Data'!$B$2:$B$1801,"&gt;="&amp;A10,'Sales Data'!$B$2:$B$1801,"&lt;"&amp;EDATE(A10,1))</x:f>
        <x:v>541</x:v>
      </x:c>
      <x:c r="H10" s="54" t="n">
        <x:f>IF(COUNTIFS('Sales Data'!$B$2:$B$1801,"&gt;="&amp;A10,'Sales Data'!$B$2:$B$1801,"&lt;"&amp;EDATE(A10,1),'Sales Data'!$R$2:$R$1801,"&gt;0")=0,"n.a.",SUMIFS('Sales Data'!$R$2:$R$1801,'Sales Data'!$B$2:$B$1801,"&gt;="&amp;A10,'Sales Data'!$B$2:$B$1801,"&lt;"&amp;EDATE(A10,1))/COUNTIFS('Sales Data'!$B$2:$B$1801,"&gt;="&amp;A10,'Sales Data'!$B$2:$B$1801,"&lt;"&amp;EDATE(A10,1),'Sales Data'!$R$2:$R$1801,"&gt;0"))</x:f>
        <x:v>4.297169811320755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49" t="n">
        <x:v>46204</x:v>
      </x:c>
      <x:c r="B11" s="27" t="n">
        <x:f>SUMIFS('Sales Data'!$J$2:$J$1801,'Sales Data'!$B$2:$B$1801,"&gt;="&amp;A11,'Sales Data'!$B$2:$B$1801,"&lt;"&amp;EDATE(A11,1))</x:f>
        <x:v>1179885</x:v>
      </x:c>
      <x:c r="C11" s="27" t="n">
        <x:f>SUMIFS('Sales Data'!$L$2:$L$1801,'Sales Data'!$B$2:$B$1801,"&gt;="&amp;A11,'Sales Data'!$B$2:$B$1801,"&lt;"&amp;EDATE(A11,1))</x:f>
        <x:v>599890</x:v>
      </x:c>
      <x:c r="D11" s="27" t="n">
        <x:f>B11-C11</x:f>
        <x:v>579995</x:v>
      </x:c>
      <x:c r="E11" s="53" t="n">
        <x:f>IF(B11=0,"n.a.",D11/B11)</x:f>
        <x:v>0.4915690935981049</x:v>
      </x:c>
      <x:c r="F11" s="23" t="n">
        <x:f>COUNTIFS('Sales Data'!$B$2:$B$1801,"&gt;="&amp;A11,'Sales Data'!$B$2:$B$1801,"&lt;"&amp;EDATE(A11,1))</x:f>
        <x:v>207</x:v>
      </x:c>
      <x:c r="G11" s="23" t="n">
        <x:f>SUMIFS('Sales Data'!$G$2:$G$1801,'Sales Data'!$B$2:$B$1801,"&gt;="&amp;A11,'Sales Data'!$B$2:$B$1801,"&lt;"&amp;EDATE(A11,1))</x:f>
        <x:v>513</x:v>
      </x:c>
      <x:c r="H11" s="54" t="n">
        <x:f>IF(COUNTIFS('Sales Data'!$B$2:$B$1801,"&gt;="&amp;A11,'Sales Data'!$B$2:$B$1801,"&lt;"&amp;EDATE(A11,1),'Sales Data'!$R$2:$R$1801,"&gt;0")=0,"n.a.",SUMIFS('Sales Data'!$R$2:$R$1801,'Sales Data'!$B$2:$B$1801,"&gt;="&amp;A11,'Sales Data'!$B$2:$B$1801,"&lt;"&amp;EDATE(A11,1))/COUNTIFS('Sales Data'!$B$2:$B$1801,"&gt;="&amp;A11,'Sales Data'!$B$2:$B$1801,"&lt;"&amp;EDATE(A11,1),'Sales Data'!$R$2:$R$1801,"&gt;0"))</x:f>
        <x:v>4.267676767676767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49" t="n">
        <x:v>46235</x:v>
      </x:c>
      <x:c r="B12" s="27" t="n">
        <x:f>SUMIFS('Sales Data'!$J$2:$J$1801,'Sales Data'!$B$2:$B$1801,"&gt;="&amp;A12,'Sales Data'!$B$2:$B$1801,"&lt;"&amp;EDATE(A12,1))</x:f>
        <x:v>1200875</x:v>
      </x:c>
      <x:c r="C12" s="27" t="n">
        <x:f>SUMIFS('Sales Data'!$L$2:$L$1801,'Sales Data'!$B$2:$B$1801,"&gt;="&amp;A12,'Sales Data'!$B$2:$B$1801,"&lt;"&amp;EDATE(A12,1))</x:f>
        <x:v>603560</x:v>
      </x:c>
      <x:c r="D12" s="27" t="n">
        <x:f>B12-C12</x:f>
        <x:v>597315</x:v>
      </x:c>
      <x:c r="E12" s="53" t="n">
        <x:f>IF(B12=0,"n.a.",D12/B12)</x:f>
        <x:v>0.49739981263661914</x:v>
      </x:c>
      <x:c r="F12" s="23" t="n">
        <x:f>COUNTIFS('Sales Data'!$B$2:$B$1801,"&gt;="&amp;A12,'Sales Data'!$B$2:$B$1801,"&lt;"&amp;EDATE(A12,1))</x:f>
        <x:v>213</x:v>
      </x:c>
      <x:c r="G12" s="23" t="n">
        <x:f>SUMIFS('Sales Data'!$G$2:$G$1801,'Sales Data'!$B$2:$B$1801,"&gt;="&amp;A12,'Sales Data'!$B$2:$B$1801,"&lt;"&amp;EDATE(A12,1))</x:f>
        <x:v>561</x:v>
      </x:c>
      <x:c r="H12" s="54" t="n">
        <x:f>IF(COUNTIFS('Sales Data'!$B$2:$B$1801,"&gt;="&amp;A12,'Sales Data'!$B$2:$B$1801,"&lt;"&amp;EDATE(A12,1),'Sales Data'!$R$2:$R$1801,"&gt;0")=0,"n.a.",SUMIFS('Sales Data'!$R$2:$R$1801,'Sales Data'!$B$2:$B$1801,"&gt;="&amp;A12,'Sales Data'!$B$2:$B$1801,"&lt;"&amp;EDATE(A12,1))/COUNTIFS('Sales Data'!$B$2:$B$1801,"&gt;="&amp;A12,'Sales Data'!$B$2:$B$1801,"&lt;"&amp;EDATE(A12,1),'Sales Data'!$R$2:$R$1801,"&gt;0"))</x:f>
        <x:v>4.287128712871287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3" t="str">
        <x:v>Dish</x:v>
      </x:c>
      <x:c r="B15" s="14" t="str">
        <x:v>Category</x:v>
      </x:c>
      <x:c r="C15" s="14" t="str">
        <x:v>Revenue (₦)</x:v>
      </x:c>
      <x:c r="D15" s="14" t="str">
        <x:v>Gross Profit (₦)</x:v>
      </x:c>
      <x:c r="E15" s="14" t="str">
        <x:v>Quantity</x:v>
      </x:c>
      <x:c r="F15" s="14" t="str">
        <x:v>Revenue Share</x:v>
      </x:c>
      <x:c r="G15" s="15" t="str">
        <x:v>Margin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 t="str">
        <x:v>White Rice &amp; Stew</x:v>
      </x:c>
      <x:c r="B16" s="1" t="str">
        <x:v>Rice Meals</x:v>
      </x:c>
      <x:c r="C16" s="27" t="n">
        <x:f>SUMIFS('Sales Data'!$J$2:$J$1801,'Sales Data'!$E$2:$E$1801,A16)</x:f>
        <x:v>1284210</x:v>
      </x:c>
      <x:c r="D16" s="27" t="n">
        <x:f>SUMIFS('Sales Data'!$M$2:$M$1801,'Sales Data'!$E$2:$E$1801,A16)</x:f>
        <x:v>695450</x:v>
      </x:c>
      <x:c r="E16" s="23" t="n">
        <x:f>SUMIFS('Sales Data'!$G$2:$G$1801,'Sales Data'!$E$2:$E$1801,A16)</x:f>
        <x:v>718</x:v>
      </x:c>
      <x:c r="F16" s="53" t="n">
        <x:f>IF(SUM($C$16:$C$27)=0,"n.a.",C16/SUM($C$16:$C$27))</x:f>
        <x:v>0.1258416858852529</x:v>
      </x:c>
      <x:c r="G16" s="53" t="n">
        <x:f>IF(C16=0,"n.a.",D16/C16)</x:f>
        <x:v>0.5415391563685067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 t="str">
        <x:v>Jollof Rice &amp; Chicken</x:v>
      </x:c>
      <x:c r="B17" s="1" t="str">
        <x:v>Rice Meals</x:v>
      </x:c>
      <x:c r="C17" s="27" t="n">
        <x:f>SUMIFS('Sales Data'!$J$2:$J$1801,'Sales Data'!$E$2:$E$1801,A17)</x:f>
        <x:v>2048760</x:v>
      </x:c>
      <x:c r="D17" s="27" t="n">
        <x:f>SUMIFS('Sales Data'!$M$2:$M$1801,'Sales Data'!$E$2:$E$1801,A17)</x:f>
        <x:v>980110</x:v>
      </x:c>
      <x:c r="E17" s="23" t="n">
        <x:f>SUMIFS('Sales Data'!$G$2:$G$1801,'Sales Data'!$E$2:$E$1801,A17)</x:f>
        <x:v>737</x:v>
      </x:c>
      <x:c r="F17" s="53" t="n">
        <x:f>IF(SUM($C$16:$C$27)=0,"n.a.",C17/SUM($C$16:$C$27))</x:f>
        <x:v>0.20076110011156334</x:v>
      </x:c>
      <x:c r="G17" s="53" t="n">
        <x:f>IF(C17=0,"n.a.",D17/C17)</x:f>
        <x:v>0.4783918077276011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 t="str">
        <x:v>Fried Rice &amp; Chicken</x:v>
      </x:c>
      <x:c r="B18" s="1" t="str">
        <x:v>Rice Meals</x:v>
      </x:c>
      <x:c r="C18" s="27" t="n">
        <x:f>SUMIFS('Sales Data'!$J$2:$J$1801,'Sales Data'!$E$2:$E$1801,A18)</x:f>
        <x:v>1983750</x:v>
      </x:c>
      <x:c r="D18" s="27" t="n">
        <x:f>SUMIFS('Sales Data'!$M$2:$M$1801,'Sales Data'!$E$2:$E$1801,A18)</x:f>
        <x:v>931470</x:v>
      </x:c>
      <x:c r="E18" s="23" t="n">
        <x:f>SUMIFS('Sales Data'!$G$2:$G$1801,'Sales Data'!$E$2:$E$1801,A18)</x:f>
        <x:v>666</x:v>
      </x:c>
      <x:c r="F18" s="53" t="n">
        <x:f>IF(SUM($C$16:$C$27)=0,"n.a.",C18/SUM($C$16:$C$27))</x:f>
        <x:v>0.19439067159955964</x:v>
      </x:c>
      <x:c r="G18" s="53" t="n">
        <x:f>IF(C18=0,"n.a.",D18/C18)</x:f>
        <x:v>0.4695500945179584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 t="str">
        <x:v>Beans &amp; Plantain</x:v>
      </x:c>
      <x:c r="B19" s="1" t="str">
        <x:v>Traditional Meals</x:v>
      </x:c>
      <x:c r="C19" s="27" t="n">
        <x:f>SUMIFS('Sales Data'!$J$2:$J$1801,'Sales Data'!$E$2:$E$1801,A19)</x:f>
        <x:v>867700</x:v>
      </x:c>
      <x:c r="D19" s="27" t="n">
        <x:f>SUMIFS('Sales Data'!$M$2:$M$1801,'Sales Data'!$E$2:$E$1801,A19)</x:f>
        <x:v>449140</x:v>
      </x:c>
      <x:c r="E19" s="23" t="n">
        <x:f>SUMIFS('Sales Data'!$G$2:$G$1801,'Sales Data'!$E$2:$E$1801,A19)</x:f>
        <x:v>436</x:v>
      </x:c>
      <x:c r="F19" s="53" t="n">
        <x:f>IF(SUM($C$16:$C$27)=0,"n.a.",C19/SUM($C$16:$C$27))</x:f>
        <x:v>0.08502723919190315</x:v>
      </x:c>
      <x:c r="G19" s="53" t="n">
        <x:f>IF(C19=0,"n.a.",D19/C19)</x:f>
        <x:v>0.5176212976835312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 t="str">
        <x:v>Yam Porridge</x:v>
      </x:c>
      <x:c r="B20" s="1" t="str">
        <x:v>Traditional Meals</x:v>
      </x:c>
      <x:c r="C20" s="27" t="n">
        <x:f>SUMIFS('Sales Data'!$J$2:$J$1801,'Sales Data'!$E$2:$E$1801,A20)</x:f>
        <x:v>798820</x:v>
      </x:c>
      <x:c r="D20" s="27" t="n">
        <x:f>SUMIFS('Sales Data'!$M$2:$M$1801,'Sales Data'!$E$2:$E$1801,A20)</x:f>
        <x:v>415570</x:v>
      </x:c>
      <x:c r="E20" s="23" t="n">
        <x:f>SUMIFS('Sales Data'!$G$2:$G$1801,'Sales Data'!$E$2:$E$1801,A20)</x:f>
        <x:v>365</x:v>
      </x:c>
      <x:c r="F20" s="53" t="n">
        <x:f>IF(SUM($C$16:$C$27)=0,"n.a.",C20/SUM($C$16:$C$27))</x:f>
        <x:v>0.07827758350959557</x:v>
      </x:c>
      <x:c r="G20" s="53" t="n">
        <x:f>IF(C20=0,"n.a.",D20/C20)</x:f>
        <x:v>0.5202298390125435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 t="str">
        <x:v>Eba &amp; Egusi Soup</x:v>
      </x:c>
      <x:c r="B21" s="1" t="str">
        <x:v>Swallow</x:v>
      </x:c>
      <x:c r="C21" s="27" t="n">
        <x:f>SUMIFS('Sales Data'!$J$2:$J$1801,'Sales Data'!$E$2:$E$1801,A21)</x:f>
        <x:v>1227980</x:v>
      </x:c>
      <x:c r="D21" s="27" t="n">
        <x:f>SUMIFS('Sales Data'!$M$2:$M$1801,'Sales Data'!$E$2:$E$1801,A21)</x:f>
        <x:v>600980</x:v>
      </x:c>
      <x:c r="E21" s="23" t="n">
        <x:f>SUMIFS('Sales Data'!$G$2:$G$1801,'Sales Data'!$E$2:$E$1801,A21)</x:f>
        <x:v>475</x:v>
      </x:c>
      <x:c r="F21" s="53" t="n">
        <x:f>IF(SUM($C$16:$C$27)=0,"n.a.",C21/SUM($C$16:$C$27))</x:f>
        <x:v>0.1203316228914063</x:v>
      </x:c>
      <x:c r="G21" s="53" t="n">
        <x:f>IF(C21=0,"n.a.",D21/C21)</x:f>
        <x:v>0.4894053649082233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 t="str">
        <x:v>Amala &amp; Ewedu</x:v>
      </x:c>
      <x:c r="B22" s="1" t="str">
        <x:v>Swallow</x:v>
      </x:c>
      <x:c r="C22" s="27" t="n">
        <x:f>SUMIFS('Sales Data'!$J$2:$J$1801,'Sales Data'!$E$2:$E$1801,A22)</x:f>
        <x:v>718250</x:v>
      </x:c>
      <x:c r="D22" s="27" t="n">
        <x:f>SUMIFS('Sales Data'!$M$2:$M$1801,'Sales Data'!$E$2:$E$1801,A22)</x:f>
        <x:v>355750</x:v>
      </x:c>
      <x:c r="E22" s="23" t="n">
        <x:f>SUMIFS('Sales Data'!$G$2:$G$1801,'Sales Data'!$E$2:$E$1801,A22)</x:f>
        <x:v>290</x:v>
      </x:c>
      <x:c r="F22" s="53" t="n">
        <x:f>IF(SUM($C$16:$C$27)=0,"n.a.",C22/SUM($C$16:$C$27))</x:f>
        <x:v>0.07038240699502644</x:v>
      </x:c>
      <x:c r="G22" s="53" t="n">
        <x:f>IF(C22=0,"n.a.",D22/C22)</x:f>
        <x:v>0.49530107901148623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 t="str">
        <x:v>Pounded Yam &amp; Vegetable Soup</x:v>
      </x:c>
      <x:c r="B23" s="1" t="str">
        <x:v>Swallow</x:v>
      </x:c>
      <x:c r="C23" s="27" t="n">
        <x:f>SUMIFS('Sales Data'!$J$2:$J$1801,'Sales Data'!$E$2:$E$1801,A23)</x:f>
        <x:v>902400</x:v>
      </x:c>
      <x:c r="D23" s="27" t="n">
        <x:f>SUMIFS('Sales Data'!$M$2:$M$1801,'Sales Data'!$E$2:$E$1801,A23)</x:f>
        <x:v>416760</x:v>
      </x:c>
      <x:c r="E23" s="23" t="n">
        <x:f>SUMIFS('Sales Data'!$G$2:$G$1801,'Sales Data'!$E$2:$E$1801,A23)</x:f>
        <x:v>284</x:v>
      </x:c>
      <x:c r="F23" s="53" t="n">
        <x:f>IF(SUM($C$16:$C$27)=0,"n.a.",C23/SUM($C$16:$C$27))</x:f>
        <x:v>0.08842754482744429</x:v>
      </x:c>
      <x:c r="G23" s="53" t="n">
        <x:f>IF(C23=0,"n.a.",D23/C23)</x:f>
        <x:v>0.4618351063829787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 t="str">
        <x:v>Moi Moi</x:v>
      </x:c>
      <x:c r="B24" s="1" t="str">
        <x:v>Sides</x:v>
      </x:c>
      <x:c r="C24" s="27" t="n">
        <x:f>SUMIFS('Sales Data'!$J$2:$J$1801,'Sales Data'!$E$2:$E$1801,A24)</x:f>
        <x:v>134955</x:v>
      </x:c>
      <x:c r="D24" s="27" t="n">
        <x:f>SUMIFS('Sales Data'!$M$2:$M$1801,'Sales Data'!$E$2:$E$1801,A24)</x:f>
        <x:v>77575</x:v>
      </x:c>
      <x:c r="E24" s="23" t="n">
        <x:f>SUMIFS('Sales Data'!$G$2:$G$1801,'Sales Data'!$E$2:$E$1801,A24)</x:f>
        <x:v>151</x:v>
      </x:c>
      <x:c r="F24" s="53" t="n">
        <x:f>IF(SUM($C$16:$C$27)=0,"n.a.",C24/SUM($C$16:$C$27))</x:f>
        <x:v>0.013224445159782518</x:v>
      </x:c>
      <x:c r="G24" s="53" t="n">
        <x:f>IF(C24=0,"n.a.",D24/C24)</x:f>
        <x:v>0.5748212367085325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 t="str">
        <x:v>Soft Drink</x:v>
      </x:c>
      <x:c r="B25" s="1" t="str">
        <x:v>Beverages</x:v>
      </x:c>
      <x:c r="C25" s="27" t="n">
        <x:f>SUMIFS('Sales Data'!$J$2:$J$1801,'Sales Data'!$E$2:$E$1801,A25)</x:f>
        <x:v>113880</x:v>
      </x:c>
      <x:c r="D25" s="27" t="n">
        <x:f>SUMIFS('Sales Data'!$M$2:$M$1801,'Sales Data'!$E$2:$E$1801,A25)</x:f>
        <x:v>60400</x:v>
      </x:c>
      <x:c r="E25" s="23" t="n">
        <x:f>SUMIFS('Sales Data'!$G$2:$G$1801,'Sales Data'!$E$2:$E$1801,A25)</x:f>
        <x:v>191</x:v>
      </x:c>
      <x:c r="F25" s="53" t="n">
        <x:f>IF(SUM($C$16:$C$27)=0,"n.a.",C25/SUM($C$16:$C$27))</x:f>
        <x:v>0.011159273941654871</x:v>
      </x:c>
      <x:c r="G25" s="53" t="n">
        <x:f>IF(C25=0,"n.a.",D25/C25)</x:f>
        <x:v>0.5303828591499824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 t="str">
        <x:v>Bottled Water</x:v>
      </x:c>
      <x:c r="B26" s="1" t="str">
        <x:v>Beverages</x:v>
      </x:c>
      <x:c r="C26" s="27" t="n">
        <x:f>SUMIFS('Sales Data'!$J$2:$J$1801,'Sales Data'!$E$2:$E$1801,A26)</x:f>
        <x:v>30600</x:v>
      </x:c>
      <x:c r="D26" s="27" t="n">
        <x:f>SUMIFS('Sales Data'!$M$2:$M$1801,'Sales Data'!$E$2:$E$1801,A26)</x:f>
        <x:v>18360</x:v>
      </x:c>
      <x:c r="E26" s="23" t="n">
        <x:f>SUMIFS('Sales Data'!$G$2:$G$1801,'Sales Data'!$E$2:$E$1801,A26)</x:f>
        <x:v>102</x:v>
      </x:c>
      <x:c r="F26" s="53" t="n">
        <x:f>IF(SUM($C$16:$C$27)=0,"n.a.",C26/SUM($C$16:$C$27))</x:f>
        <x:v>0.002998540416356156</x:v>
      </x:c>
      <x:c r="G26" s="53" t="n">
        <x:f>IF(C26=0,"n.a.",D26/C26)</x:f>
        <x:v>0.6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 t="str">
        <x:v>Fried Plantain</x:v>
      </x:c>
      <x:c r="B27" s="1" t="str">
        <x:v>Sides</x:v>
      </x:c>
      <x:c r="C27" s="27" t="n">
        <x:f>SUMIFS('Sales Data'!$J$2:$J$1801,'Sales Data'!$E$2:$E$1801,A27)</x:f>
        <x:v>93660</x:v>
      </x:c>
      <x:c r="D27" s="27" t="n">
        <x:f>SUMIFS('Sales Data'!$M$2:$M$1801,'Sales Data'!$E$2:$E$1801,A27)</x:f>
        <x:v>53460</x:v>
      </x:c>
      <x:c r="E27" s="23" t="n">
        <x:f>SUMIFS('Sales Data'!$G$2:$G$1801,'Sales Data'!$E$2:$E$1801,A27)</x:f>
        <x:v>134</x:v>
      </x:c>
      <x:c r="F27" s="53" t="n">
        <x:f>IF(SUM($C$16:$C$27)=0,"n.a.",C27/SUM($C$16:$C$27))</x:f>
        <x:v>0.009177885470454823</x:v>
      </x:c>
      <x:c r="G27" s="53" t="n">
        <x:f>IF(C27=0,"n.a.",D27/C27)</x:f>
        <x:v>0.5707879564381807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  <x:row r="2001">
      <x:c r="A2001" s="1"/>
      <x:c r="B2001" s="1"/>
      <x:c r="C2001" s="1"/>
      <x:c r="D2001" s="1"/>
      <x:c r="E2001" s="1"/>
      <x:c r="F2001" s="1"/>
      <x:c r="G2001" s="1"/>
      <x:c r="H2001" s="1"/>
      <x:c r="I2001" s="1"/>
      <x:c r="J2001" s="1"/>
      <x:c r="K2001" s="1"/>
      <x:c r="L2001" s="1"/>
      <x:c r="M2001" s="1"/>
      <x:c r="N2001" s="1"/>
      <x:c r="O2001" s="1"/>
      <x:c r="P2001" s="1"/>
      <x:c r="Q2001" s="1"/>
      <x:c r="R2001" s="1"/>
      <x:c r="S2001" s="1"/>
      <x:c r="T2001" s="1"/>
      <x:c r="U2001" s="1"/>
      <x:c r="V2001" s="1"/>
      <x:c r="W2001" s="1"/>
      <x:c r="X2001" s="1"/>
      <x:c r="Y2001" s="1"/>
      <x:c r="Z2001" s="1"/>
    </x:row>
    <x:row r="2002">
      <x:c r="A2002" s="1"/>
      <x:c r="B2002" s="1"/>
      <x:c r="C2002" s="1"/>
      <x:c r="D2002" s="1"/>
      <x:c r="E2002" s="1"/>
      <x:c r="F2002" s="1"/>
      <x:c r="G2002" s="1"/>
      <x:c r="H2002" s="1"/>
      <x:c r="I2002" s="1"/>
      <x:c r="J2002" s="1"/>
      <x:c r="K2002" s="1"/>
      <x:c r="L2002" s="1"/>
      <x:c r="M2002" s="1"/>
      <x:c r="N2002" s="1"/>
      <x:c r="O2002" s="1"/>
      <x:c r="P2002" s="1"/>
      <x:c r="Q2002" s="1"/>
      <x:c r="R2002" s="1"/>
      <x:c r="S2002" s="1"/>
      <x:c r="T2002" s="1"/>
      <x:c r="U2002" s="1"/>
      <x:c r="V2002" s="1"/>
      <x:c r="W2002" s="1"/>
      <x:c r="X2002" s="1"/>
      <x:c r="Y2002" s="1"/>
      <x:c r="Z2002" s="1"/>
    </x:row>
    <x:row r="2003">
      <x:c r="A2003" s="1"/>
      <x:c r="B2003" s="1"/>
      <x:c r="C2003" s="1"/>
      <x:c r="D2003" s="1"/>
      <x:c r="E2003" s="1"/>
      <x:c r="F2003" s="1"/>
      <x:c r="G2003" s="1"/>
      <x:c r="H2003" s="1"/>
      <x:c r="I2003" s="1"/>
      <x:c r="J2003" s="1"/>
      <x:c r="K2003" s="1"/>
      <x:c r="L2003" s="1"/>
      <x:c r="M2003" s="1"/>
      <x:c r="N2003" s="1"/>
      <x:c r="O2003" s="1"/>
      <x:c r="P2003" s="1"/>
      <x:c r="Q2003" s="1"/>
      <x:c r="R2003" s="1"/>
      <x:c r="S2003" s="1"/>
      <x:c r="T2003" s="1"/>
      <x:c r="U2003" s="1"/>
      <x:c r="V2003" s="1"/>
      <x:c r="W2003" s="1"/>
      <x:c r="X2003" s="1"/>
      <x:c r="Y2003" s="1"/>
      <x:c r="Z2003" s="1"/>
    </x:row>
    <x:row r="2004">
      <x:c r="A2004" s="1"/>
      <x:c r="B2004" s="1"/>
      <x:c r="C2004" s="1"/>
      <x:c r="D2004" s="1"/>
      <x:c r="E2004" s="1"/>
      <x:c r="F2004" s="1"/>
      <x:c r="G2004" s="1"/>
      <x:c r="H2004" s="1"/>
      <x:c r="I2004" s="1"/>
      <x:c r="J2004" s="1"/>
      <x:c r="K2004" s="1"/>
      <x:c r="L2004" s="1"/>
      <x:c r="M2004" s="1"/>
      <x:c r="N2004" s="1"/>
      <x:c r="O2004" s="1"/>
      <x:c r="P2004" s="1"/>
      <x:c r="Q2004" s="1"/>
      <x:c r="R2004" s="1"/>
      <x:c r="S2004" s="1"/>
      <x:c r="T2004" s="1"/>
      <x:c r="U2004" s="1"/>
      <x:c r="V2004" s="1"/>
      <x:c r="W2004" s="1"/>
      <x:c r="X2004" s="1"/>
      <x:c r="Y2004" s="1"/>
      <x:c r="Z2004" s="1"/>
    </x:row>
    <x:row r="2005">
      <x:c r="A2005" s="1"/>
      <x:c r="B2005" s="1"/>
      <x:c r="C2005" s="1"/>
      <x:c r="D2005" s="1"/>
      <x:c r="E2005" s="1"/>
      <x:c r="F2005" s="1"/>
      <x:c r="G2005" s="1"/>
      <x:c r="H2005" s="1"/>
      <x:c r="I2005" s="1"/>
      <x:c r="J2005" s="1"/>
      <x:c r="K2005" s="1"/>
      <x:c r="L2005" s="1"/>
      <x:c r="M2005" s="1"/>
      <x:c r="N2005" s="1"/>
      <x:c r="O2005" s="1"/>
      <x:c r="P2005" s="1"/>
      <x:c r="Q2005" s="1"/>
      <x:c r="R2005" s="1"/>
      <x:c r="S2005" s="1"/>
      <x:c r="T2005" s="1"/>
      <x:c r="U2005" s="1"/>
      <x:c r="V2005" s="1"/>
      <x:c r="W2005" s="1"/>
      <x:c r="X2005" s="1"/>
      <x:c r="Y2005" s="1"/>
      <x:c r="Z2005" s="1"/>
    </x:row>
    <x:row r="2006">
      <x:c r="A2006" s="1"/>
      <x:c r="B2006" s="1"/>
      <x:c r="C2006" s="1"/>
      <x:c r="D2006" s="1"/>
      <x:c r="E2006" s="1"/>
      <x:c r="F2006" s="1"/>
      <x:c r="G2006" s="1"/>
      <x:c r="H2006" s="1"/>
      <x:c r="I2006" s="1"/>
      <x:c r="J2006" s="1"/>
      <x:c r="K2006" s="1"/>
      <x:c r="L2006" s="1"/>
      <x:c r="M2006" s="1"/>
      <x:c r="N2006" s="1"/>
      <x:c r="O2006" s="1"/>
      <x:c r="P2006" s="1"/>
      <x:c r="Q2006" s="1"/>
      <x:c r="R2006" s="1"/>
      <x:c r="S2006" s="1"/>
      <x:c r="T2006" s="1"/>
      <x:c r="U2006" s="1"/>
      <x:c r="V2006" s="1"/>
      <x:c r="W2006" s="1"/>
      <x:c r="X2006" s="1"/>
      <x:c r="Y2006" s="1"/>
      <x:c r="Z2006" s="1"/>
    </x:row>
    <x:row r="2007">
      <x:c r="A2007" s="1"/>
      <x:c r="B2007" s="1"/>
      <x:c r="C2007" s="1"/>
      <x:c r="D2007" s="1"/>
      <x:c r="E2007" s="1"/>
      <x:c r="F2007" s="1"/>
      <x:c r="G2007" s="1"/>
      <x:c r="H2007" s="1"/>
      <x:c r="I2007" s="1"/>
      <x:c r="J2007" s="1"/>
      <x:c r="K2007" s="1"/>
      <x:c r="L2007" s="1"/>
      <x:c r="M2007" s="1"/>
      <x:c r="N2007" s="1"/>
      <x:c r="O2007" s="1"/>
      <x:c r="P2007" s="1"/>
      <x:c r="Q2007" s="1"/>
      <x:c r="R2007" s="1"/>
      <x:c r="S2007" s="1"/>
      <x:c r="T2007" s="1"/>
      <x:c r="U2007" s="1"/>
      <x:c r="V2007" s="1"/>
      <x:c r="W2007" s="1"/>
      <x:c r="X2007" s="1"/>
      <x:c r="Y2007" s="1"/>
      <x:c r="Z2007" s="1"/>
    </x:row>
    <x:row r="2008">
      <x:c r="A2008" s="1"/>
      <x:c r="B2008" s="1"/>
      <x:c r="C2008" s="1"/>
      <x:c r="D2008" s="1"/>
      <x:c r="E2008" s="1"/>
      <x:c r="F2008" s="1"/>
      <x:c r="G2008" s="1"/>
      <x:c r="H2008" s="1"/>
      <x:c r="I2008" s="1"/>
      <x:c r="J2008" s="1"/>
      <x:c r="K2008" s="1"/>
      <x:c r="L2008" s="1"/>
      <x:c r="M2008" s="1"/>
      <x:c r="N2008" s="1"/>
      <x:c r="O2008" s="1"/>
      <x:c r="P2008" s="1"/>
      <x:c r="Q2008" s="1"/>
      <x:c r="R2008" s="1"/>
      <x:c r="S2008" s="1"/>
      <x:c r="T2008" s="1"/>
      <x:c r="U2008" s="1"/>
      <x:c r="V2008" s="1"/>
      <x:c r="W2008" s="1"/>
      <x:c r="X2008" s="1"/>
      <x:c r="Y2008" s="1"/>
      <x:c r="Z2008" s="1"/>
    </x:row>
    <x:row r="2009">
      <x:c r="A2009" s="1"/>
      <x:c r="B2009" s="1"/>
      <x:c r="C2009" s="1"/>
      <x:c r="D2009" s="1"/>
      <x:c r="E2009" s="1"/>
      <x:c r="F2009" s="1"/>
      <x:c r="G2009" s="1"/>
      <x:c r="H2009" s="1"/>
      <x:c r="I2009" s="1"/>
      <x:c r="J2009" s="1"/>
      <x:c r="K2009" s="1"/>
      <x:c r="L2009" s="1"/>
      <x:c r="M2009" s="1"/>
      <x:c r="N2009" s="1"/>
      <x:c r="O2009" s="1"/>
      <x:c r="P2009" s="1"/>
      <x:c r="Q2009" s="1"/>
      <x:c r="R2009" s="1"/>
      <x:c r="S2009" s="1"/>
      <x:c r="T2009" s="1"/>
      <x:c r="U2009" s="1"/>
      <x:c r="V2009" s="1"/>
      <x:c r="W2009" s="1"/>
      <x:c r="X2009" s="1"/>
      <x:c r="Y2009" s="1"/>
      <x:c r="Z2009" s="1"/>
    </x:row>
    <x:row r="2010">
      <x:c r="A2010" s="1"/>
      <x:c r="B2010" s="1"/>
      <x:c r="C2010" s="1"/>
      <x:c r="D2010" s="1"/>
      <x:c r="E2010" s="1"/>
      <x:c r="F2010" s="1"/>
      <x:c r="G2010" s="1"/>
      <x:c r="H2010" s="1"/>
      <x:c r="I2010" s="1"/>
      <x:c r="J2010" s="1"/>
      <x:c r="K2010" s="1"/>
      <x:c r="L2010" s="1"/>
      <x:c r="M2010" s="1"/>
      <x:c r="N2010" s="1"/>
      <x:c r="O2010" s="1"/>
      <x:c r="P2010" s="1"/>
      <x:c r="Q2010" s="1"/>
      <x:c r="R2010" s="1"/>
      <x:c r="S2010" s="1"/>
      <x:c r="T2010" s="1"/>
      <x:c r="U2010" s="1"/>
      <x:c r="V2010" s="1"/>
      <x:c r="W2010" s="1"/>
      <x:c r="X2010" s="1"/>
      <x:c r="Y2010" s="1"/>
      <x:c r="Z2010" s="1"/>
    </x:row>
    <x:row r="2011">
      <x:c r="A2011" s="1"/>
      <x:c r="B2011" s="1"/>
      <x:c r="C2011" s="1"/>
      <x:c r="D2011" s="1"/>
      <x:c r="E2011" s="1"/>
      <x:c r="F2011" s="1"/>
      <x:c r="G2011" s="1"/>
      <x:c r="H2011" s="1"/>
      <x:c r="I2011" s="1"/>
      <x:c r="J2011" s="1"/>
      <x:c r="K2011" s="1"/>
      <x:c r="L2011" s="1"/>
      <x:c r="M2011" s="1"/>
      <x:c r="N2011" s="1"/>
      <x:c r="O2011" s="1"/>
      <x:c r="P2011" s="1"/>
      <x:c r="Q2011" s="1"/>
      <x:c r="R2011" s="1"/>
      <x:c r="S2011" s="1"/>
      <x:c r="T2011" s="1"/>
      <x:c r="U2011" s="1"/>
      <x:c r="V2011" s="1"/>
      <x:c r="W2011" s="1"/>
      <x:c r="X2011" s="1"/>
      <x:c r="Y2011" s="1"/>
      <x:c r="Z2011" s="1"/>
    </x:row>
    <x:row r="2012">
      <x:c r="A2012" s="1"/>
      <x:c r="B2012" s="1"/>
      <x:c r="C2012" s="1"/>
      <x:c r="D2012" s="1"/>
      <x:c r="E2012" s="1"/>
      <x:c r="F2012" s="1"/>
      <x:c r="G2012" s="1"/>
      <x:c r="H2012" s="1"/>
      <x:c r="I2012" s="1"/>
      <x:c r="J2012" s="1"/>
      <x:c r="K2012" s="1"/>
      <x:c r="L2012" s="1"/>
      <x:c r="M2012" s="1"/>
      <x:c r="N2012" s="1"/>
      <x:c r="O2012" s="1"/>
      <x:c r="P2012" s="1"/>
      <x:c r="Q2012" s="1"/>
      <x:c r="R2012" s="1"/>
      <x:c r="S2012" s="1"/>
      <x:c r="T2012" s="1"/>
      <x:c r="U2012" s="1"/>
      <x:c r="V2012" s="1"/>
      <x:c r="W2012" s="1"/>
      <x:c r="X2012" s="1"/>
      <x:c r="Y2012" s="1"/>
      <x:c r="Z2012" s="1"/>
    </x:row>
    <x:row r="2013">
      <x:c r="A2013" s="1"/>
      <x:c r="B2013" s="1"/>
      <x:c r="C2013" s="1"/>
      <x:c r="D2013" s="1"/>
      <x:c r="E2013" s="1"/>
      <x:c r="F2013" s="1"/>
      <x:c r="G2013" s="1"/>
      <x:c r="H2013" s="1"/>
      <x:c r="I2013" s="1"/>
      <x:c r="J2013" s="1"/>
      <x:c r="K2013" s="1"/>
      <x:c r="L2013" s="1"/>
      <x:c r="M2013" s="1"/>
      <x:c r="N2013" s="1"/>
      <x:c r="O2013" s="1"/>
      <x:c r="P2013" s="1"/>
      <x:c r="Q2013" s="1"/>
      <x:c r="R2013" s="1"/>
      <x:c r="S2013" s="1"/>
      <x:c r="T2013" s="1"/>
      <x:c r="U2013" s="1"/>
      <x:c r="V2013" s="1"/>
      <x:c r="W2013" s="1"/>
      <x:c r="X2013" s="1"/>
      <x:c r="Y2013" s="1"/>
      <x:c r="Z2013" s="1"/>
    </x:row>
    <x:row r="2014">
      <x:c r="A2014" s="1"/>
      <x:c r="B2014" s="1"/>
      <x:c r="C2014" s="1"/>
      <x:c r="D2014" s="1"/>
      <x:c r="E2014" s="1"/>
      <x:c r="F2014" s="1"/>
      <x:c r="G2014" s="1"/>
      <x:c r="H2014" s="1"/>
      <x:c r="I2014" s="1"/>
      <x:c r="J2014" s="1"/>
      <x:c r="K2014" s="1"/>
      <x:c r="L2014" s="1"/>
      <x:c r="M2014" s="1"/>
      <x:c r="N2014" s="1"/>
      <x:c r="O2014" s="1"/>
      <x:c r="P2014" s="1"/>
      <x:c r="Q2014" s="1"/>
      <x:c r="R2014" s="1"/>
      <x:c r="S2014" s="1"/>
      <x:c r="T2014" s="1"/>
      <x:c r="U2014" s="1"/>
      <x:c r="V2014" s="1"/>
      <x:c r="W2014" s="1"/>
      <x:c r="X2014" s="1"/>
      <x:c r="Y2014" s="1"/>
      <x:c r="Z2014" s="1"/>
    </x:row>
    <x:row r="2015">
      <x:c r="A2015" s="1"/>
      <x:c r="B2015" s="1"/>
      <x:c r="C2015" s="1"/>
      <x:c r="D2015" s="1"/>
      <x:c r="E2015" s="1"/>
      <x:c r="F2015" s="1"/>
      <x:c r="G2015" s="1"/>
      <x:c r="H2015" s="1"/>
      <x:c r="I2015" s="1"/>
      <x:c r="J2015" s="1"/>
      <x:c r="K2015" s="1"/>
      <x:c r="L2015" s="1"/>
      <x:c r="M2015" s="1"/>
      <x:c r="N2015" s="1"/>
      <x:c r="O2015" s="1"/>
      <x:c r="P2015" s="1"/>
      <x:c r="Q2015" s="1"/>
      <x:c r="R2015" s="1"/>
      <x:c r="S2015" s="1"/>
      <x:c r="T2015" s="1"/>
      <x:c r="U2015" s="1"/>
      <x:c r="V2015" s="1"/>
      <x:c r="W2015" s="1"/>
      <x:c r="X2015" s="1"/>
      <x:c r="Y2015" s="1"/>
      <x:c r="Z2015" s="1"/>
    </x:row>
    <x:row r="2016">
      <x:c r="A2016" s="1"/>
      <x:c r="B2016" s="1"/>
      <x:c r="C2016" s="1"/>
      <x:c r="D2016" s="1"/>
      <x:c r="E2016" s="1"/>
      <x:c r="F2016" s="1"/>
      <x:c r="G2016" s="1"/>
      <x:c r="H2016" s="1"/>
      <x:c r="I2016" s="1"/>
      <x:c r="J2016" s="1"/>
      <x:c r="K2016" s="1"/>
      <x:c r="L2016" s="1"/>
      <x:c r="M2016" s="1"/>
      <x:c r="N2016" s="1"/>
      <x:c r="O2016" s="1"/>
      <x:c r="P2016" s="1"/>
      <x:c r="Q2016" s="1"/>
      <x:c r="R2016" s="1"/>
      <x:c r="S2016" s="1"/>
      <x:c r="T2016" s="1"/>
      <x:c r="U2016" s="1"/>
      <x:c r="V2016" s="1"/>
      <x:c r="W2016" s="1"/>
      <x:c r="X2016" s="1"/>
      <x:c r="Y2016" s="1"/>
      <x:c r="Z2016" s="1"/>
    </x:row>
    <x:row r="2017">
      <x:c r="A2017" s="1"/>
      <x:c r="B2017" s="1"/>
      <x:c r="C2017" s="1"/>
      <x:c r="D2017" s="1"/>
      <x:c r="E2017" s="1"/>
      <x:c r="F2017" s="1"/>
      <x:c r="G2017" s="1"/>
      <x:c r="H2017" s="1"/>
      <x:c r="I2017" s="1"/>
      <x:c r="J2017" s="1"/>
      <x:c r="K2017" s="1"/>
      <x:c r="L2017" s="1"/>
      <x:c r="M2017" s="1"/>
      <x:c r="N2017" s="1"/>
      <x:c r="O2017" s="1"/>
      <x:c r="P2017" s="1"/>
      <x:c r="Q2017" s="1"/>
      <x:c r="R2017" s="1"/>
      <x:c r="S2017" s="1"/>
      <x:c r="T2017" s="1"/>
      <x:c r="U2017" s="1"/>
      <x:c r="V2017" s="1"/>
      <x:c r="W2017" s="1"/>
      <x:c r="X2017" s="1"/>
      <x:c r="Y2017" s="1"/>
      <x:c r="Z2017" s="1"/>
    </x:row>
    <x:row r="2018">
      <x:c r="A2018" s="1"/>
      <x:c r="B2018" s="1"/>
      <x:c r="C2018" s="1"/>
      <x:c r="D2018" s="1"/>
      <x:c r="E2018" s="1"/>
      <x:c r="F2018" s="1"/>
      <x:c r="G2018" s="1"/>
      <x:c r="H2018" s="1"/>
      <x:c r="I2018" s="1"/>
      <x:c r="J2018" s="1"/>
      <x:c r="K2018" s="1"/>
      <x:c r="L2018" s="1"/>
      <x:c r="M2018" s="1"/>
      <x:c r="N2018" s="1"/>
      <x:c r="O2018" s="1"/>
      <x:c r="P2018" s="1"/>
      <x:c r="Q2018" s="1"/>
      <x:c r="R2018" s="1"/>
      <x:c r="S2018" s="1"/>
      <x:c r="T2018" s="1"/>
      <x:c r="U2018" s="1"/>
      <x:c r="V2018" s="1"/>
      <x:c r="W2018" s="1"/>
      <x:c r="X2018" s="1"/>
      <x:c r="Y2018" s="1"/>
      <x:c r="Z2018" s="1"/>
    </x:row>
    <x:row r="2019">
      <x:c r="A2019" s="1"/>
      <x:c r="B2019" s="1"/>
      <x:c r="C2019" s="1"/>
      <x:c r="D2019" s="1"/>
      <x:c r="E2019" s="1"/>
      <x:c r="F2019" s="1"/>
      <x:c r="G2019" s="1"/>
      <x:c r="H2019" s="1"/>
      <x:c r="I2019" s="1"/>
      <x:c r="J2019" s="1"/>
      <x:c r="K2019" s="1"/>
      <x:c r="L2019" s="1"/>
      <x:c r="M2019" s="1"/>
      <x:c r="N2019" s="1"/>
      <x:c r="O2019" s="1"/>
      <x:c r="P2019" s="1"/>
      <x:c r="Q2019" s="1"/>
      <x:c r="R2019" s="1"/>
      <x:c r="S2019" s="1"/>
      <x:c r="T2019" s="1"/>
      <x:c r="U2019" s="1"/>
      <x:c r="V2019" s="1"/>
      <x:c r="W2019" s="1"/>
      <x:c r="X2019" s="1"/>
      <x:c r="Y2019" s="1"/>
      <x:c r="Z2019" s="1"/>
    </x:row>
    <x:row r="2020">
      <x:c r="A2020" s="1"/>
      <x:c r="B2020" s="1"/>
      <x:c r="C2020" s="1"/>
      <x:c r="D2020" s="1"/>
      <x:c r="E2020" s="1"/>
      <x:c r="F2020" s="1"/>
      <x:c r="G2020" s="1"/>
      <x:c r="H2020" s="1"/>
      <x:c r="I2020" s="1"/>
      <x:c r="J2020" s="1"/>
      <x:c r="K2020" s="1"/>
      <x:c r="L2020" s="1"/>
      <x:c r="M2020" s="1"/>
      <x:c r="N2020" s="1"/>
      <x:c r="O2020" s="1"/>
      <x:c r="P2020" s="1"/>
      <x:c r="Q2020" s="1"/>
      <x:c r="R2020" s="1"/>
      <x:c r="S2020" s="1"/>
      <x:c r="T2020" s="1"/>
      <x:c r="U2020" s="1"/>
      <x:c r="V2020" s="1"/>
      <x:c r="W2020" s="1"/>
      <x:c r="X2020" s="1"/>
      <x:c r="Y2020" s="1"/>
      <x:c r="Z2020" s="1"/>
    </x:row>
    <x:row r="2021">
      <x:c r="A2021" s="1"/>
      <x:c r="B2021" s="1"/>
      <x:c r="C2021" s="1"/>
      <x:c r="D2021" s="1"/>
      <x:c r="E2021" s="1"/>
      <x:c r="F2021" s="1"/>
      <x:c r="G2021" s="1"/>
      <x:c r="H2021" s="1"/>
      <x:c r="I2021" s="1"/>
      <x:c r="J2021" s="1"/>
      <x:c r="K2021" s="1"/>
      <x:c r="L2021" s="1"/>
      <x:c r="M2021" s="1"/>
      <x:c r="N2021" s="1"/>
      <x:c r="O2021" s="1"/>
      <x:c r="P2021" s="1"/>
      <x:c r="Q2021" s="1"/>
      <x:c r="R2021" s="1"/>
      <x:c r="S2021" s="1"/>
      <x:c r="T2021" s="1"/>
      <x:c r="U2021" s="1"/>
      <x:c r="V2021" s="1"/>
      <x:c r="W2021" s="1"/>
      <x:c r="X2021" s="1"/>
      <x:c r="Y2021" s="1"/>
      <x:c r="Z2021" s="1"/>
    </x:row>
    <x:row r="2022">
      <x:c r="A2022" s="1"/>
      <x:c r="B2022" s="1"/>
      <x:c r="C2022" s="1"/>
      <x:c r="D2022" s="1"/>
      <x:c r="E2022" s="1"/>
      <x:c r="F2022" s="1"/>
      <x:c r="G2022" s="1"/>
      <x:c r="H2022" s="1"/>
      <x:c r="I2022" s="1"/>
      <x:c r="J2022" s="1"/>
      <x:c r="K2022" s="1"/>
      <x:c r="L2022" s="1"/>
      <x:c r="M2022" s="1"/>
      <x:c r="N2022" s="1"/>
      <x:c r="O2022" s="1"/>
      <x:c r="P2022" s="1"/>
      <x:c r="Q2022" s="1"/>
      <x:c r="R2022" s="1"/>
      <x:c r="S2022" s="1"/>
      <x:c r="T2022" s="1"/>
      <x:c r="U2022" s="1"/>
      <x:c r="V2022" s="1"/>
      <x:c r="W2022" s="1"/>
      <x:c r="X2022" s="1"/>
      <x:c r="Y2022" s="1"/>
      <x:c r="Z2022" s="1"/>
    </x:row>
    <x:row r="2023">
      <x:c r="A2023" s="1"/>
      <x:c r="B2023" s="1"/>
      <x:c r="C2023" s="1"/>
      <x:c r="D2023" s="1"/>
      <x:c r="E2023" s="1"/>
      <x:c r="F2023" s="1"/>
      <x:c r="G2023" s="1"/>
      <x:c r="H2023" s="1"/>
      <x:c r="I2023" s="1"/>
      <x:c r="J2023" s="1"/>
      <x:c r="K2023" s="1"/>
      <x:c r="L2023" s="1"/>
      <x:c r="M2023" s="1"/>
      <x:c r="N2023" s="1"/>
      <x:c r="O2023" s="1"/>
      <x:c r="P2023" s="1"/>
      <x:c r="Q2023" s="1"/>
      <x:c r="R2023" s="1"/>
      <x:c r="S2023" s="1"/>
      <x:c r="T2023" s="1"/>
      <x:c r="U2023" s="1"/>
      <x:c r="V2023" s="1"/>
      <x:c r="W2023" s="1"/>
      <x:c r="X2023" s="1"/>
      <x:c r="Y2023" s="1"/>
      <x:c r="Z2023" s="1"/>
    </x:row>
    <x:row r="2024">
      <x:c r="A2024" s="1"/>
      <x:c r="B2024" s="1"/>
      <x:c r="C2024" s="1"/>
      <x:c r="D2024" s="1"/>
      <x:c r="E2024" s="1"/>
      <x:c r="F2024" s="1"/>
      <x:c r="G2024" s="1"/>
      <x:c r="H2024" s="1"/>
      <x:c r="I2024" s="1"/>
      <x:c r="J2024" s="1"/>
      <x:c r="K2024" s="1"/>
      <x:c r="L2024" s="1"/>
      <x:c r="M2024" s="1"/>
      <x:c r="N2024" s="1"/>
      <x:c r="O2024" s="1"/>
      <x:c r="P2024" s="1"/>
      <x:c r="Q2024" s="1"/>
      <x:c r="R2024" s="1"/>
      <x:c r="S2024" s="1"/>
      <x:c r="T2024" s="1"/>
      <x:c r="U2024" s="1"/>
      <x:c r="V2024" s="1"/>
      <x:c r="W2024" s="1"/>
      <x:c r="X2024" s="1"/>
      <x:c r="Y2024" s="1"/>
      <x:c r="Z2024" s="1"/>
    </x:row>
    <x:row r="2025">
      <x:c r="A2025" s="1"/>
      <x:c r="B2025" s="1"/>
      <x:c r="C2025" s="1"/>
      <x:c r="D2025" s="1"/>
      <x:c r="E2025" s="1"/>
      <x:c r="F2025" s="1"/>
      <x:c r="G2025" s="1"/>
      <x:c r="H2025" s="1"/>
      <x:c r="I2025" s="1"/>
      <x:c r="J2025" s="1"/>
      <x:c r="K2025" s="1"/>
      <x:c r="L2025" s="1"/>
      <x:c r="M2025" s="1"/>
      <x:c r="N2025" s="1"/>
      <x:c r="O2025" s="1"/>
      <x:c r="P2025" s="1"/>
      <x:c r="Q2025" s="1"/>
      <x:c r="R2025" s="1"/>
      <x:c r="S2025" s="1"/>
      <x:c r="T2025" s="1"/>
      <x:c r="U2025" s="1"/>
      <x:c r="V2025" s="1"/>
      <x:c r="W2025" s="1"/>
      <x:c r="X2025" s="1"/>
      <x:c r="Y2025" s="1"/>
      <x:c r="Z2025" s="1"/>
    </x:row>
    <x:row r="2026">
      <x:c r="A2026" s="1"/>
      <x:c r="B2026" s="1"/>
      <x:c r="C2026" s="1"/>
      <x:c r="D2026" s="1"/>
      <x:c r="E2026" s="1"/>
      <x:c r="F2026" s="1"/>
      <x:c r="G2026" s="1"/>
      <x:c r="H2026" s="1"/>
      <x:c r="I2026" s="1"/>
      <x:c r="J2026" s="1"/>
      <x:c r="K2026" s="1"/>
      <x:c r="L2026" s="1"/>
      <x:c r="M2026" s="1"/>
      <x:c r="N2026" s="1"/>
      <x:c r="O2026" s="1"/>
      <x:c r="P2026" s="1"/>
      <x:c r="Q2026" s="1"/>
      <x:c r="R2026" s="1"/>
      <x:c r="S2026" s="1"/>
      <x:c r="T2026" s="1"/>
      <x:c r="U2026" s="1"/>
      <x:c r="V2026" s="1"/>
      <x:c r="W2026" s="1"/>
      <x:c r="X2026" s="1"/>
      <x:c r="Y2026" s="1"/>
      <x:c r="Z2026" s="1"/>
    </x:row>
    <x:row r="2027">
      <x:c r="A2027" s="1"/>
      <x:c r="B2027" s="1"/>
      <x:c r="C2027" s="1"/>
      <x:c r="D2027" s="1"/>
      <x:c r="E2027" s="1"/>
      <x:c r="F2027" s="1"/>
      <x:c r="G2027" s="1"/>
      <x:c r="H2027" s="1"/>
      <x:c r="I2027" s="1"/>
      <x:c r="J2027" s="1"/>
      <x:c r="K2027" s="1"/>
      <x:c r="L2027" s="1"/>
      <x:c r="M2027" s="1"/>
      <x:c r="N2027" s="1"/>
      <x:c r="O2027" s="1"/>
      <x:c r="P2027" s="1"/>
      <x:c r="Q2027" s="1"/>
      <x:c r="R2027" s="1"/>
      <x:c r="S2027" s="1"/>
      <x:c r="T2027" s="1"/>
      <x:c r="U2027" s="1"/>
      <x:c r="V2027" s="1"/>
      <x:c r="W2027" s="1"/>
      <x:c r="X2027" s="1"/>
      <x:c r="Y2027" s="1"/>
      <x:c r="Z2027" s="1"/>
    </x:row>
    <x:row r="2028">
      <x:c r="A2028" s="1"/>
      <x:c r="B2028" s="1"/>
      <x:c r="C2028" s="1"/>
      <x:c r="D2028" s="1"/>
      <x:c r="E2028" s="1"/>
      <x:c r="F2028" s="1"/>
      <x:c r="G2028" s="1"/>
      <x:c r="H2028" s="1"/>
      <x:c r="I2028" s="1"/>
      <x:c r="J2028" s="1"/>
      <x:c r="K2028" s="1"/>
      <x:c r="L2028" s="1"/>
      <x:c r="M2028" s="1"/>
      <x:c r="N2028" s="1"/>
      <x:c r="O2028" s="1"/>
      <x:c r="P2028" s="1"/>
      <x:c r="Q2028" s="1"/>
      <x:c r="R2028" s="1"/>
      <x:c r="S2028" s="1"/>
      <x:c r="T2028" s="1"/>
      <x:c r="U2028" s="1"/>
      <x:c r="V2028" s="1"/>
      <x:c r="W2028" s="1"/>
      <x:c r="X2028" s="1"/>
      <x:c r="Y2028" s="1"/>
      <x:c r="Z2028" s="1"/>
    </x:row>
    <x:row r="2029">
      <x:c r="A2029" s="1"/>
      <x:c r="B2029" s="1"/>
      <x:c r="C2029" s="1"/>
      <x:c r="D2029" s="1"/>
      <x:c r="E2029" s="1"/>
      <x:c r="F2029" s="1"/>
      <x:c r="G2029" s="1"/>
      <x:c r="H2029" s="1"/>
      <x:c r="I2029" s="1"/>
      <x:c r="J2029" s="1"/>
      <x:c r="K2029" s="1"/>
      <x:c r="L2029" s="1"/>
      <x:c r="M2029" s="1"/>
      <x:c r="N2029" s="1"/>
      <x:c r="O2029" s="1"/>
      <x:c r="P2029" s="1"/>
      <x:c r="Q2029" s="1"/>
      <x:c r="R2029" s="1"/>
      <x:c r="S2029" s="1"/>
      <x:c r="T2029" s="1"/>
      <x:c r="U2029" s="1"/>
      <x:c r="V2029" s="1"/>
      <x:c r="W2029" s="1"/>
      <x:c r="X2029" s="1"/>
      <x:c r="Y2029" s="1"/>
      <x:c r="Z2029" s="1"/>
    </x:row>
    <x:row r="2030">
      <x:c r="A2030" s="1"/>
      <x:c r="B2030" s="1"/>
      <x:c r="C2030" s="1"/>
      <x:c r="D2030" s="1"/>
      <x:c r="E2030" s="1"/>
      <x:c r="F2030" s="1"/>
      <x:c r="G2030" s="1"/>
      <x:c r="H2030" s="1"/>
      <x:c r="I2030" s="1"/>
      <x:c r="J2030" s="1"/>
      <x:c r="K2030" s="1"/>
      <x:c r="L2030" s="1"/>
      <x:c r="M2030" s="1"/>
      <x:c r="N2030" s="1"/>
      <x:c r="O2030" s="1"/>
      <x:c r="P2030" s="1"/>
      <x:c r="Q2030" s="1"/>
      <x:c r="R2030" s="1"/>
      <x:c r="S2030" s="1"/>
      <x:c r="T2030" s="1"/>
      <x:c r="U2030" s="1"/>
      <x:c r="V2030" s="1"/>
      <x:c r="W2030" s="1"/>
      <x:c r="X2030" s="1"/>
      <x:c r="Y2030" s="1"/>
      <x:c r="Z2030" s="1"/>
    </x:row>
    <x:row r="2031">
      <x:c r="A2031" s="1"/>
      <x:c r="B2031" s="1"/>
      <x:c r="C2031" s="1"/>
      <x:c r="D2031" s="1"/>
      <x:c r="E2031" s="1"/>
      <x:c r="F2031" s="1"/>
      <x:c r="G2031" s="1"/>
      <x:c r="H2031" s="1"/>
      <x:c r="I2031" s="1"/>
      <x:c r="J2031" s="1"/>
      <x:c r="K2031" s="1"/>
      <x:c r="L2031" s="1"/>
      <x:c r="M2031" s="1"/>
      <x:c r="N2031" s="1"/>
      <x:c r="O2031" s="1"/>
      <x:c r="P2031" s="1"/>
      <x:c r="Q2031" s="1"/>
      <x:c r="R2031" s="1"/>
      <x:c r="S2031" s="1"/>
      <x:c r="T2031" s="1"/>
      <x:c r="U2031" s="1"/>
      <x:c r="V2031" s="1"/>
      <x:c r="W2031" s="1"/>
      <x:c r="X2031" s="1"/>
      <x:c r="Y2031" s="1"/>
      <x:c r="Z2031" s="1"/>
    </x:row>
    <x:row r="2032">
      <x:c r="A2032" s="1"/>
      <x:c r="B2032" s="1"/>
      <x:c r="C2032" s="1"/>
      <x:c r="D2032" s="1"/>
      <x:c r="E2032" s="1"/>
      <x:c r="F2032" s="1"/>
      <x:c r="G2032" s="1"/>
      <x:c r="H2032" s="1"/>
      <x:c r="I2032" s="1"/>
      <x:c r="J2032" s="1"/>
      <x:c r="K2032" s="1"/>
      <x:c r="L2032" s="1"/>
      <x:c r="M2032" s="1"/>
      <x:c r="N2032" s="1"/>
      <x:c r="O2032" s="1"/>
      <x:c r="P2032" s="1"/>
      <x:c r="Q2032" s="1"/>
      <x:c r="R2032" s="1"/>
      <x:c r="S2032" s="1"/>
      <x:c r="T2032" s="1"/>
      <x:c r="U2032" s="1"/>
      <x:c r="V2032" s="1"/>
      <x:c r="W2032" s="1"/>
      <x:c r="X2032" s="1"/>
      <x:c r="Y2032" s="1"/>
      <x:c r="Z2032" s="1"/>
    </x:row>
    <x:row r="2033">
      <x:c r="A2033" s="1"/>
      <x:c r="B2033" s="1"/>
      <x:c r="C2033" s="1"/>
      <x:c r="D2033" s="1"/>
      <x:c r="E2033" s="1"/>
      <x:c r="F2033" s="1"/>
      <x:c r="G2033" s="1"/>
      <x:c r="H2033" s="1"/>
      <x:c r="I2033" s="1"/>
      <x:c r="J2033" s="1"/>
      <x:c r="K2033" s="1"/>
      <x:c r="L2033" s="1"/>
      <x:c r="M2033" s="1"/>
      <x:c r="N2033" s="1"/>
      <x:c r="O2033" s="1"/>
      <x:c r="P2033" s="1"/>
      <x:c r="Q2033" s="1"/>
      <x:c r="R2033" s="1"/>
      <x:c r="S2033" s="1"/>
      <x:c r="T2033" s="1"/>
      <x:c r="U2033" s="1"/>
      <x:c r="V2033" s="1"/>
      <x:c r="W2033" s="1"/>
      <x:c r="X2033" s="1"/>
      <x:c r="Y2033" s="1"/>
      <x:c r="Z2033" s="1"/>
    </x:row>
    <x:row r="2034">
      <x:c r="A2034" s="1"/>
      <x:c r="B2034" s="1"/>
      <x:c r="C2034" s="1"/>
      <x:c r="D2034" s="1"/>
      <x:c r="E2034" s="1"/>
      <x:c r="F2034" s="1"/>
      <x:c r="G2034" s="1"/>
      <x:c r="H2034" s="1"/>
      <x:c r="I2034" s="1"/>
      <x:c r="J2034" s="1"/>
      <x:c r="K2034" s="1"/>
      <x:c r="L2034" s="1"/>
      <x:c r="M2034" s="1"/>
      <x:c r="N2034" s="1"/>
      <x:c r="O2034" s="1"/>
      <x:c r="P2034" s="1"/>
      <x:c r="Q2034" s="1"/>
      <x:c r="R2034" s="1"/>
      <x:c r="S2034" s="1"/>
      <x:c r="T2034" s="1"/>
      <x:c r="U2034" s="1"/>
      <x:c r="V2034" s="1"/>
      <x:c r="W2034" s="1"/>
      <x:c r="X2034" s="1"/>
      <x:c r="Y2034" s="1"/>
      <x:c r="Z2034" s="1"/>
    </x:row>
    <x:row r="2035">
      <x:c r="A2035" s="1"/>
      <x:c r="B2035" s="1"/>
      <x:c r="C2035" s="1"/>
      <x:c r="D2035" s="1"/>
      <x:c r="E2035" s="1"/>
      <x:c r="F2035" s="1"/>
      <x:c r="G2035" s="1"/>
      <x:c r="H2035" s="1"/>
      <x:c r="I2035" s="1"/>
      <x:c r="J2035" s="1"/>
      <x:c r="K2035" s="1"/>
      <x:c r="L2035" s="1"/>
      <x:c r="M2035" s="1"/>
      <x:c r="N2035" s="1"/>
      <x:c r="O2035" s="1"/>
      <x:c r="P2035" s="1"/>
      <x:c r="Q2035" s="1"/>
      <x:c r="R2035" s="1"/>
      <x:c r="S2035" s="1"/>
      <x:c r="T2035" s="1"/>
      <x:c r="U2035" s="1"/>
      <x:c r="V2035" s="1"/>
      <x:c r="W2035" s="1"/>
      <x:c r="X2035" s="1"/>
      <x:c r="Y2035" s="1"/>
      <x:c r="Z2035" s="1"/>
    </x:row>
    <x:row r="2036">
      <x:c r="A2036" s="1"/>
      <x:c r="B2036" s="1"/>
      <x:c r="C2036" s="1"/>
      <x:c r="D2036" s="1"/>
      <x:c r="E2036" s="1"/>
      <x:c r="F2036" s="1"/>
      <x:c r="G2036" s="1"/>
      <x:c r="H2036" s="1"/>
      <x:c r="I2036" s="1"/>
      <x:c r="J2036" s="1"/>
      <x:c r="K2036" s="1"/>
      <x:c r="L2036" s="1"/>
      <x:c r="M2036" s="1"/>
      <x:c r="N2036" s="1"/>
      <x:c r="O2036" s="1"/>
      <x:c r="P2036" s="1"/>
      <x:c r="Q2036" s="1"/>
      <x:c r="R2036" s="1"/>
      <x:c r="S2036" s="1"/>
      <x:c r="T2036" s="1"/>
      <x:c r="U2036" s="1"/>
      <x:c r="V2036" s="1"/>
      <x:c r="W2036" s="1"/>
      <x:c r="X2036" s="1"/>
      <x:c r="Y2036" s="1"/>
      <x:c r="Z2036" s="1"/>
    </x:row>
    <x:row r="2037">
      <x:c r="A2037" s="1"/>
      <x:c r="B2037" s="1"/>
      <x:c r="C2037" s="1"/>
      <x:c r="D2037" s="1"/>
      <x:c r="E2037" s="1"/>
      <x:c r="F2037" s="1"/>
      <x:c r="G2037" s="1"/>
      <x:c r="H2037" s="1"/>
      <x:c r="I2037" s="1"/>
      <x:c r="J2037" s="1"/>
      <x:c r="K2037" s="1"/>
      <x:c r="L2037" s="1"/>
      <x:c r="M2037" s="1"/>
      <x:c r="N2037" s="1"/>
      <x:c r="O2037" s="1"/>
      <x:c r="P2037" s="1"/>
      <x:c r="Q2037" s="1"/>
      <x:c r="R2037" s="1"/>
      <x:c r="S2037" s="1"/>
      <x:c r="T2037" s="1"/>
      <x:c r="U2037" s="1"/>
      <x:c r="V2037" s="1"/>
      <x:c r="W2037" s="1"/>
      <x:c r="X2037" s="1"/>
      <x:c r="Y2037" s="1"/>
      <x:c r="Z2037" s="1"/>
    </x:row>
    <x:row r="2038">
      <x:c r="A2038" s="1"/>
      <x:c r="B2038" s="1"/>
      <x:c r="C2038" s="1"/>
      <x:c r="D2038" s="1"/>
      <x:c r="E2038" s="1"/>
      <x:c r="F2038" s="1"/>
      <x:c r="G2038" s="1"/>
      <x:c r="H2038" s="1"/>
      <x:c r="I2038" s="1"/>
      <x:c r="J2038" s="1"/>
      <x:c r="K2038" s="1"/>
      <x:c r="L2038" s="1"/>
      <x:c r="M2038" s="1"/>
      <x:c r="N2038" s="1"/>
      <x:c r="O2038" s="1"/>
      <x:c r="P2038" s="1"/>
      <x:c r="Q2038" s="1"/>
      <x:c r="R2038" s="1"/>
      <x:c r="S2038" s="1"/>
      <x:c r="T2038" s="1"/>
      <x:c r="U2038" s="1"/>
      <x:c r="V2038" s="1"/>
      <x:c r="W2038" s="1"/>
      <x:c r="X2038" s="1"/>
      <x:c r="Y2038" s="1"/>
      <x:c r="Z2038" s="1"/>
    </x:row>
    <x:row r="2039">
      <x:c r="A2039" s="1"/>
      <x:c r="B2039" s="1"/>
      <x:c r="C2039" s="1"/>
      <x:c r="D2039" s="1"/>
      <x:c r="E2039" s="1"/>
      <x:c r="F2039" s="1"/>
      <x:c r="G2039" s="1"/>
      <x:c r="H2039" s="1"/>
      <x:c r="I2039" s="1"/>
      <x:c r="J2039" s="1"/>
      <x:c r="K2039" s="1"/>
      <x:c r="L2039" s="1"/>
      <x:c r="M2039" s="1"/>
      <x:c r="N2039" s="1"/>
      <x:c r="O2039" s="1"/>
      <x:c r="P2039" s="1"/>
      <x:c r="Q2039" s="1"/>
      <x:c r="R2039" s="1"/>
      <x:c r="S2039" s="1"/>
      <x:c r="T2039" s="1"/>
      <x:c r="U2039" s="1"/>
      <x:c r="V2039" s="1"/>
      <x:c r="W2039" s="1"/>
      <x:c r="X2039" s="1"/>
      <x:c r="Y2039" s="1"/>
      <x:c r="Z2039" s="1"/>
    </x:row>
    <x:row r="2040">
      <x:c r="A2040" s="1"/>
      <x:c r="B2040" s="1"/>
      <x:c r="C2040" s="1"/>
      <x:c r="D2040" s="1"/>
      <x:c r="E2040" s="1"/>
      <x:c r="F2040" s="1"/>
      <x:c r="G2040" s="1"/>
      <x:c r="H2040" s="1"/>
      <x:c r="I2040" s="1"/>
      <x:c r="J2040" s="1"/>
      <x:c r="K2040" s="1"/>
      <x:c r="L2040" s="1"/>
      <x:c r="M2040" s="1"/>
      <x:c r="N2040" s="1"/>
      <x:c r="O2040" s="1"/>
      <x:c r="P2040" s="1"/>
      <x:c r="Q2040" s="1"/>
      <x:c r="R2040" s="1"/>
      <x:c r="S2040" s="1"/>
      <x:c r="T2040" s="1"/>
      <x:c r="U2040" s="1"/>
      <x:c r="V2040" s="1"/>
      <x:c r="W2040" s="1"/>
      <x:c r="X2040" s="1"/>
      <x:c r="Y2040" s="1"/>
      <x:c r="Z2040" s="1"/>
    </x:row>
    <x:row r="2041">
      <x:c r="A2041" s="1"/>
      <x:c r="B2041" s="1"/>
      <x:c r="C2041" s="1"/>
      <x:c r="D2041" s="1"/>
      <x:c r="E2041" s="1"/>
      <x:c r="F2041" s="1"/>
      <x:c r="G2041" s="1"/>
      <x:c r="H2041" s="1"/>
      <x:c r="I2041" s="1"/>
      <x:c r="J2041" s="1"/>
      <x:c r="K2041" s="1"/>
      <x:c r="L2041" s="1"/>
      <x:c r="M2041" s="1"/>
      <x:c r="N2041" s="1"/>
      <x:c r="O2041" s="1"/>
      <x:c r="P2041" s="1"/>
      <x:c r="Q2041" s="1"/>
      <x:c r="R2041" s="1"/>
      <x:c r="S2041" s="1"/>
      <x:c r="T2041" s="1"/>
      <x:c r="U2041" s="1"/>
      <x:c r="V2041" s="1"/>
      <x:c r="W2041" s="1"/>
      <x:c r="X2041" s="1"/>
      <x:c r="Y2041" s="1"/>
      <x:c r="Z2041" s="1"/>
    </x:row>
    <x:row r="2042">
      <x:c r="A2042" s="1"/>
      <x:c r="B2042" s="1"/>
      <x:c r="C2042" s="1"/>
      <x:c r="D2042" s="1"/>
      <x:c r="E2042" s="1"/>
      <x:c r="F2042" s="1"/>
      <x:c r="G2042" s="1"/>
      <x:c r="H2042" s="1"/>
      <x:c r="I2042" s="1"/>
      <x:c r="J2042" s="1"/>
      <x:c r="K2042" s="1"/>
      <x:c r="L2042" s="1"/>
      <x:c r="M2042" s="1"/>
      <x:c r="N2042" s="1"/>
      <x:c r="O2042" s="1"/>
      <x:c r="P2042" s="1"/>
      <x:c r="Q2042" s="1"/>
      <x:c r="R2042" s="1"/>
      <x:c r="S2042" s="1"/>
      <x:c r="T2042" s="1"/>
      <x:c r="U2042" s="1"/>
      <x:c r="V2042" s="1"/>
      <x:c r="W2042" s="1"/>
      <x:c r="X2042" s="1"/>
      <x:c r="Y2042" s="1"/>
      <x:c r="Z2042" s="1"/>
    </x:row>
    <x:row r="2043">
      <x:c r="A2043" s="1"/>
      <x:c r="B2043" s="1"/>
      <x:c r="C2043" s="1"/>
      <x:c r="D2043" s="1"/>
      <x:c r="E2043" s="1"/>
      <x:c r="F2043" s="1"/>
      <x:c r="G2043" s="1"/>
      <x:c r="H2043" s="1"/>
      <x:c r="I2043" s="1"/>
      <x:c r="J2043" s="1"/>
      <x:c r="K2043" s="1"/>
      <x:c r="L2043" s="1"/>
      <x:c r="M2043" s="1"/>
      <x:c r="N2043" s="1"/>
      <x:c r="O2043" s="1"/>
      <x:c r="P2043" s="1"/>
      <x:c r="Q2043" s="1"/>
      <x:c r="R2043" s="1"/>
      <x:c r="S2043" s="1"/>
      <x:c r="T2043" s="1"/>
      <x:c r="U2043" s="1"/>
      <x:c r="V2043" s="1"/>
      <x:c r="W2043" s="1"/>
      <x:c r="X2043" s="1"/>
      <x:c r="Y2043" s="1"/>
      <x:c r="Z2043" s="1"/>
    </x:row>
    <x:row r="2044">
      <x:c r="A2044" s="1"/>
      <x:c r="B2044" s="1"/>
      <x:c r="C2044" s="1"/>
      <x:c r="D2044" s="1"/>
      <x:c r="E2044" s="1"/>
      <x:c r="F2044" s="1"/>
      <x:c r="G2044" s="1"/>
      <x:c r="H2044" s="1"/>
      <x:c r="I2044" s="1"/>
      <x:c r="J2044" s="1"/>
      <x:c r="K2044" s="1"/>
      <x:c r="L2044" s="1"/>
      <x:c r="M2044" s="1"/>
      <x:c r="N2044" s="1"/>
      <x:c r="O2044" s="1"/>
      <x:c r="P2044" s="1"/>
      <x:c r="Q2044" s="1"/>
      <x:c r="R2044" s="1"/>
      <x:c r="S2044" s="1"/>
      <x:c r="T2044" s="1"/>
      <x:c r="U2044" s="1"/>
      <x:c r="V2044" s="1"/>
      <x:c r="W2044" s="1"/>
      <x:c r="X2044" s="1"/>
      <x:c r="Y2044" s="1"/>
      <x:c r="Z2044" s="1"/>
    </x:row>
    <x:row r="2045">
      <x:c r="A2045" s="1"/>
      <x:c r="B2045" s="1"/>
      <x:c r="C2045" s="1"/>
      <x:c r="D2045" s="1"/>
      <x:c r="E2045" s="1"/>
      <x:c r="F2045" s="1"/>
      <x:c r="G2045" s="1"/>
      <x:c r="H2045" s="1"/>
      <x:c r="I2045" s="1"/>
      <x:c r="J2045" s="1"/>
      <x:c r="K2045" s="1"/>
      <x:c r="L2045" s="1"/>
      <x:c r="M2045" s="1"/>
      <x:c r="N2045" s="1"/>
      <x:c r="O2045" s="1"/>
      <x:c r="P2045" s="1"/>
      <x:c r="Q2045" s="1"/>
      <x:c r="R2045" s="1"/>
      <x:c r="S2045" s="1"/>
      <x:c r="T2045" s="1"/>
      <x:c r="U2045" s="1"/>
      <x:c r="V2045" s="1"/>
      <x:c r="W2045" s="1"/>
      <x:c r="X2045" s="1"/>
      <x:c r="Y2045" s="1"/>
      <x:c r="Z2045" s="1"/>
    </x:row>
    <x:row r="2046">
      <x:c r="A2046" s="1"/>
      <x:c r="B2046" s="1"/>
      <x:c r="C2046" s="1"/>
      <x:c r="D2046" s="1"/>
      <x:c r="E2046" s="1"/>
      <x:c r="F2046" s="1"/>
      <x:c r="G2046" s="1"/>
      <x:c r="H2046" s="1"/>
      <x:c r="I2046" s="1"/>
      <x:c r="J2046" s="1"/>
      <x:c r="K2046" s="1"/>
      <x:c r="L2046" s="1"/>
      <x:c r="M2046" s="1"/>
      <x:c r="N2046" s="1"/>
      <x:c r="O2046" s="1"/>
      <x:c r="P2046" s="1"/>
      <x:c r="Q2046" s="1"/>
      <x:c r="R2046" s="1"/>
      <x:c r="S2046" s="1"/>
      <x:c r="T2046" s="1"/>
      <x:c r="U2046" s="1"/>
      <x:c r="V2046" s="1"/>
      <x:c r="W2046" s="1"/>
      <x:c r="X2046" s="1"/>
      <x:c r="Y2046" s="1"/>
      <x:c r="Z2046" s="1"/>
    </x:row>
    <x:row r="2047">
      <x:c r="A2047" s="1"/>
      <x:c r="B2047" s="1"/>
      <x:c r="C2047" s="1"/>
      <x:c r="D2047" s="1"/>
      <x:c r="E2047" s="1"/>
      <x:c r="F2047" s="1"/>
      <x:c r="G2047" s="1"/>
      <x:c r="H2047" s="1"/>
      <x:c r="I2047" s="1"/>
      <x:c r="J2047" s="1"/>
      <x:c r="K2047" s="1"/>
      <x:c r="L2047" s="1"/>
      <x:c r="M2047" s="1"/>
      <x:c r="N2047" s="1"/>
      <x:c r="O2047" s="1"/>
      <x:c r="P2047" s="1"/>
      <x:c r="Q2047" s="1"/>
      <x:c r="R2047" s="1"/>
      <x:c r="S2047" s="1"/>
      <x:c r="T2047" s="1"/>
      <x:c r="U2047" s="1"/>
      <x:c r="V2047" s="1"/>
      <x:c r="W2047" s="1"/>
      <x:c r="X2047" s="1"/>
      <x:c r="Y2047" s="1"/>
      <x:c r="Z2047" s="1"/>
    </x:row>
    <x:row r="2048">
      <x:c r="A2048" s="1"/>
      <x:c r="B2048" s="1"/>
      <x:c r="C2048" s="1"/>
      <x:c r="D2048" s="1"/>
      <x:c r="E2048" s="1"/>
      <x:c r="F2048" s="1"/>
      <x:c r="G2048" s="1"/>
      <x:c r="H2048" s="1"/>
      <x:c r="I2048" s="1"/>
      <x:c r="J2048" s="1"/>
      <x:c r="K2048" s="1"/>
      <x:c r="L2048" s="1"/>
      <x:c r="M2048" s="1"/>
      <x:c r="N2048" s="1"/>
      <x:c r="O2048" s="1"/>
      <x:c r="P2048" s="1"/>
      <x:c r="Q2048" s="1"/>
      <x:c r="R2048" s="1"/>
      <x:c r="S2048" s="1"/>
      <x:c r="T2048" s="1"/>
      <x:c r="U2048" s="1"/>
      <x:c r="V2048" s="1"/>
      <x:c r="W2048" s="1"/>
      <x:c r="X2048" s="1"/>
      <x:c r="Y2048" s="1"/>
      <x:c r="Z2048" s="1"/>
    </x:row>
    <x:row r="2049">
      <x:c r="A2049" s="1"/>
      <x:c r="B2049" s="1"/>
      <x:c r="C2049" s="1"/>
      <x:c r="D2049" s="1"/>
      <x:c r="E2049" s="1"/>
      <x:c r="F2049" s="1"/>
      <x:c r="G2049" s="1"/>
      <x:c r="H2049" s="1"/>
      <x:c r="I2049" s="1"/>
      <x:c r="J2049" s="1"/>
      <x:c r="K2049" s="1"/>
      <x:c r="L2049" s="1"/>
      <x:c r="M2049" s="1"/>
      <x:c r="N2049" s="1"/>
      <x:c r="O2049" s="1"/>
      <x:c r="P2049" s="1"/>
      <x:c r="Q2049" s="1"/>
      <x:c r="R2049" s="1"/>
      <x:c r="S2049" s="1"/>
      <x:c r="T2049" s="1"/>
      <x:c r="U2049" s="1"/>
      <x:c r="V2049" s="1"/>
      <x:c r="W2049" s="1"/>
      <x:c r="X2049" s="1"/>
      <x:c r="Y2049" s="1"/>
      <x:c r="Z2049" s="1"/>
    </x:row>
    <x:row r="2050">
      <x:c r="A2050" s="1"/>
      <x:c r="B2050" s="1"/>
      <x:c r="C2050" s="1"/>
      <x:c r="D2050" s="1"/>
      <x:c r="E2050" s="1"/>
      <x:c r="F2050" s="1"/>
      <x:c r="G2050" s="1"/>
      <x:c r="H2050" s="1"/>
      <x:c r="I2050" s="1"/>
      <x:c r="J2050" s="1"/>
      <x:c r="K2050" s="1"/>
      <x:c r="L2050" s="1"/>
      <x:c r="M2050" s="1"/>
      <x:c r="N2050" s="1"/>
      <x:c r="O2050" s="1"/>
      <x:c r="P2050" s="1"/>
      <x:c r="Q2050" s="1"/>
      <x:c r="R2050" s="1"/>
      <x:c r="S2050" s="1"/>
      <x:c r="T2050" s="1"/>
      <x:c r="U2050" s="1"/>
      <x:c r="V2050" s="1"/>
      <x:c r="W2050" s="1"/>
      <x:c r="X2050" s="1"/>
      <x:c r="Y2050" s="1"/>
      <x:c r="Z2050" s="1"/>
    </x:row>
    <x:row r="2051">
      <x:c r="A2051" s="1"/>
      <x:c r="B2051" s="1"/>
      <x:c r="C2051" s="1"/>
      <x:c r="D2051" s="1"/>
      <x:c r="E2051" s="1"/>
      <x:c r="F2051" s="1"/>
      <x:c r="G2051" s="1"/>
      <x:c r="H2051" s="1"/>
      <x:c r="I2051" s="1"/>
      <x:c r="J2051" s="1"/>
      <x:c r="K2051" s="1"/>
      <x:c r="L2051" s="1"/>
      <x:c r="M2051" s="1"/>
      <x:c r="N2051" s="1"/>
      <x:c r="O2051" s="1"/>
      <x:c r="P2051" s="1"/>
      <x:c r="Q2051" s="1"/>
      <x:c r="R2051" s="1"/>
      <x:c r="S2051" s="1"/>
      <x:c r="T2051" s="1"/>
      <x:c r="U2051" s="1"/>
      <x:c r="V2051" s="1"/>
      <x:c r="W2051" s="1"/>
      <x:c r="X2051" s="1"/>
      <x:c r="Y2051" s="1"/>
      <x:c r="Z2051" s="1"/>
    </x:row>
    <x:row r="2052">
      <x:c r="A2052" s="1"/>
      <x:c r="B2052" s="1"/>
      <x:c r="C2052" s="1"/>
      <x:c r="D2052" s="1"/>
      <x:c r="E2052" s="1"/>
      <x:c r="F2052" s="1"/>
      <x:c r="G2052" s="1"/>
      <x:c r="H2052" s="1"/>
      <x:c r="I2052" s="1"/>
      <x:c r="J2052" s="1"/>
      <x:c r="K2052" s="1"/>
      <x:c r="L2052" s="1"/>
      <x:c r="M2052" s="1"/>
      <x:c r="N2052" s="1"/>
      <x:c r="O2052" s="1"/>
      <x:c r="P2052" s="1"/>
      <x:c r="Q2052" s="1"/>
      <x:c r="R2052" s="1"/>
      <x:c r="S2052" s="1"/>
      <x:c r="T2052" s="1"/>
      <x:c r="U2052" s="1"/>
      <x:c r="V2052" s="1"/>
      <x:c r="W2052" s="1"/>
      <x:c r="X2052" s="1"/>
      <x:c r="Y2052" s="1"/>
      <x:c r="Z2052" s="1"/>
    </x:row>
    <x:row r="2053">
      <x:c r="A2053" s="1"/>
      <x:c r="B2053" s="1"/>
      <x:c r="C2053" s="1"/>
      <x:c r="D2053" s="1"/>
      <x:c r="E2053" s="1"/>
      <x:c r="F2053" s="1"/>
      <x:c r="G2053" s="1"/>
      <x:c r="H2053" s="1"/>
      <x:c r="I2053" s="1"/>
      <x:c r="J2053" s="1"/>
      <x:c r="K2053" s="1"/>
      <x:c r="L2053" s="1"/>
      <x:c r="M2053" s="1"/>
      <x:c r="N2053" s="1"/>
      <x:c r="O2053" s="1"/>
      <x:c r="P2053" s="1"/>
      <x:c r="Q2053" s="1"/>
      <x:c r="R2053" s="1"/>
      <x:c r="S2053" s="1"/>
      <x:c r="T2053" s="1"/>
      <x:c r="U2053" s="1"/>
      <x:c r="V2053" s="1"/>
      <x:c r="W2053" s="1"/>
      <x:c r="X2053" s="1"/>
      <x:c r="Y2053" s="1"/>
      <x:c r="Z2053" s="1"/>
    </x:row>
    <x:row r="2054">
      <x:c r="A2054" s="1"/>
      <x:c r="B2054" s="1"/>
      <x:c r="C2054" s="1"/>
      <x:c r="D2054" s="1"/>
      <x:c r="E2054" s="1"/>
      <x:c r="F2054" s="1"/>
      <x:c r="G2054" s="1"/>
      <x:c r="H2054" s="1"/>
      <x:c r="I2054" s="1"/>
      <x:c r="J2054" s="1"/>
      <x:c r="K2054" s="1"/>
      <x:c r="L2054" s="1"/>
      <x:c r="M2054" s="1"/>
      <x:c r="N2054" s="1"/>
      <x:c r="O2054" s="1"/>
      <x:c r="P2054" s="1"/>
      <x:c r="Q2054" s="1"/>
      <x:c r="R2054" s="1"/>
      <x:c r="S2054" s="1"/>
      <x:c r="T2054" s="1"/>
      <x:c r="U2054" s="1"/>
      <x:c r="V2054" s="1"/>
      <x:c r="W2054" s="1"/>
      <x:c r="X2054" s="1"/>
      <x:c r="Y2054" s="1"/>
      <x:c r="Z2054" s="1"/>
    </x:row>
    <x:row r="2055">
      <x:c r="A2055" s="1"/>
      <x:c r="B2055" s="1"/>
      <x:c r="C2055" s="1"/>
      <x:c r="D2055" s="1"/>
      <x:c r="E2055" s="1"/>
      <x:c r="F2055" s="1"/>
      <x:c r="G2055" s="1"/>
      <x:c r="H2055" s="1"/>
      <x:c r="I2055" s="1"/>
      <x:c r="J2055" s="1"/>
      <x:c r="K2055" s="1"/>
      <x:c r="L2055" s="1"/>
      <x:c r="M2055" s="1"/>
      <x:c r="N2055" s="1"/>
      <x:c r="O2055" s="1"/>
      <x:c r="P2055" s="1"/>
      <x:c r="Q2055" s="1"/>
      <x:c r="R2055" s="1"/>
      <x:c r="S2055" s="1"/>
      <x:c r="T2055" s="1"/>
      <x:c r="U2055" s="1"/>
      <x:c r="V2055" s="1"/>
      <x:c r="W2055" s="1"/>
      <x:c r="X2055" s="1"/>
      <x:c r="Y2055" s="1"/>
      <x:c r="Z2055" s="1"/>
    </x:row>
    <x:row r="2056">
      <x:c r="A2056" s="1"/>
      <x:c r="B2056" s="1"/>
      <x:c r="C2056" s="1"/>
      <x:c r="D2056" s="1"/>
      <x:c r="E2056" s="1"/>
      <x:c r="F2056" s="1"/>
      <x:c r="G2056" s="1"/>
      <x:c r="H2056" s="1"/>
      <x:c r="I2056" s="1"/>
      <x:c r="J2056" s="1"/>
      <x:c r="K2056" s="1"/>
      <x:c r="L2056" s="1"/>
      <x:c r="M2056" s="1"/>
      <x:c r="N2056" s="1"/>
      <x:c r="O2056" s="1"/>
      <x:c r="P2056" s="1"/>
      <x:c r="Q2056" s="1"/>
      <x:c r="R2056" s="1"/>
      <x:c r="S2056" s="1"/>
      <x:c r="T2056" s="1"/>
      <x:c r="U2056" s="1"/>
      <x:c r="V2056" s="1"/>
      <x:c r="W2056" s="1"/>
      <x:c r="X2056" s="1"/>
      <x:c r="Y2056" s="1"/>
      <x:c r="Z2056" s="1"/>
    </x:row>
    <x:row r="2057">
      <x:c r="A2057" s="1"/>
      <x:c r="B2057" s="1"/>
      <x:c r="C2057" s="1"/>
      <x:c r="D2057" s="1"/>
      <x:c r="E2057" s="1"/>
      <x:c r="F2057" s="1"/>
      <x:c r="G2057" s="1"/>
      <x:c r="H2057" s="1"/>
      <x:c r="I2057" s="1"/>
      <x:c r="J2057" s="1"/>
      <x:c r="K2057" s="1"/>
      <x:c r="L2057" s="1"/>
      <x:c r="M2057" s="1"/>
      <x:c r="N2057" s="1"/>
      <x:c r="O2057" s="1"/>
      <x:c r="P2057" s="1"/>
      <x:c r="Q2057" s="1"/>
      <x:c r="R2057" s="1"/>
      <x:c r="S2057" s="1"/>
      <x:c r="T2057" s="1"/>
      <x:c r="U2057" s="1"/>
      <x:c r="V2057" s="1"/>
      <x:c r="W2057" s="1"/>
      <x:c r="X2057" s="1"/>
      <x:c r="Y2057" s="1"/>
      <x:c r="Z2057" s="1"/>
    </x:row>
    <x:row r="2058">
      <x:c r="A2058" s="1"/>
      <x:c r="B2058" s="1"/>
      <x:c r="C2058" s="1"/>
      <x:c r="D2058" s="1"/>
      <x:c r="E2058" s="1"/>
      <x:c r="F2058" s="1"/>
      <x:c r="G2058" s="1"/>
      <x:c r="H2058" s="1"/>
      <x:c r="I2058" s="1"/>
      <x:c r="J2058" s="1"/>
      <x:c r="K2058" s="1"/>
      <x:c r="L2058" s="1"/>
      <x:c r="M2058" s="1"/>
      <x:c r="N2058" s="1"/>
      <x:c r="O2058" s="1"/>
      <x:c r="P2058" s="1"/>
      <x:c r="Q2058" s="1"/>
      <x:c r="R2058" s="1"/>
      <x:c r="S2058" s="1"/>
      <x:c r="T2058" s="1"/>
      <x:c r="U2058" s="1"/>
      <x:c r="V2058" s="1"/>
      <x:c r="W2058" s="1"/>
      <x:c r="X2058" s="1"/>
      <x:c r="Y2058" s="1"/>
      <x:c r="Z2058" s="1"/>
    </x:row>
    <x:row r="2059">
      <x:c r="A2059" s="1"/>
      <x:c r="B2059" s="1"/>
      <x:c r="C2059" s="1"/>
      <x:c r="D2059" s="1"/>
      <x:c r="E2059" s="1"/>
      <x:c r="F2059" s="1"/>
      <x:c r="G2059" s="1"/>
      <x:c r="H2059" s="1"/>
      <x:c r="I2059" s="1"/>
      <x:c r="J2059" s="1"/>
      <x:c r="K2059" s="1"/>
      <x:c r="L2059" s="1"/>
      <x:c r="M2059" s="1"/>
      <x:c r="N2059" s="1"/>
      <x:c r="O2059" s="1"/>
      <x:c r="P2059" s="1"/>
      <x:c r="Q2059" s="1"/>
      <x:c r="R2059" s="1"/>
      <x:c r="S2059" s="1"/>
      <x:c r="T2059" s="1"/>
      <x:c r="U2059" s="1"/>
      <x:c r="V2059" s="1"/>
      <x:c r="W2059" s="1"/>
      <x:c r="X2059" s="1"/>
      <x:c r="Y2059" s="1"/>
      <x:c r="Z2059" s="1"/>
    </x:row>
    <x:row r="2060">
      <x:c r="A2060" s="1"/>
      <x:c r="B2060" s="1"/>
      <x:c r="C2060" s="1"/>
      <x:c r="D2060" s="1"/>
      <x:c r="E2060" s="1"/>
      <x:c r="F2060" s="1"/>
      <x:c r="G2060" s="1"/>
      <x:c r="H2060" s="1"/>
      <x:c r="I2060" s="1"/>
      <x:c r="J2060" s="1"/>
      <x:c r="K2060" s="1"/>
      <x:c r="L2060" s="1"/>
      <x:c r="M2060" s="1"/>
      <x:c r="N2060" s="1"/>
      <x:c r="O2060" s="1"/>
      <x:c r="P2060" s="1"/>
      <x:c r="Q2060" s="1"/>
      <x:c r="R2060" s="1"/>
      <x:c r="S2060" s="1"/>
      <x:c r="T2060" s="1"/>
      <x:c r="U2060" s="1"/>
      <x:c r="V2060" s="1"/>
      <x:c r="W2060" s="1"/>
      <x:c r="X2060" s="1"/>
      <x:c r="Y2060" s="1"/>
      <x:c r="Z2060" s="1"/>
    </x:row>
    <x:row r="2061">
      <x:c r="A2061" s="1"/>
      <x:c r="B2061" s="1"/>
      <x:c r="C2061" s="1"/>
      <x:c r="D2061" s="1"/>
      <x:c r="E2061" s="1"/>
      <x:c r="F2061" s="1"/>
      <x:c r="G2061" s="1"/>
      <x:c r="H2061" s="1"/>
      <x:c r="I2061" s="1"/>
      <x:c r="J2061" s="1"/>
      <x:c r="K2061" s="1"/>
      <x:c r="L2061" s="1"/>
      <x:c r="M2061" s="1"/>
      <x:c r="N2061" s="1"/>
      <x:c r="O2061" s="1"/>
      <x:c r="P2061" s="1"/>
      <x:c r="Q2061" s="1"/>
      <x:c r="R2061" s="1"/>
      <x:c r="S2061" s="1"/>
      <x:c r="T2061" s="1"/>
      <x:c r="U2061" s="1"/>
      <x:c r="V2061" s="1"/>
      <x:c r="W2061" s="1"/>
      <x:c r="X2061" s="1"/>
      <x:c r="Y2061" s="1"/>
      <x:c r="Z2061" s="1"/>
    </x:row>
    <x:row r="2062">
      <x:c r="A2062" s="1"/>
      <x:c r="B2062" s="1"/>
      <x:c r="C2062" s="1"/>
      <x:c r="D2062" s="1"/>
      <x:c r="E2062" s="1"/>
      <x:c r="F2062" s="1"/>
      <x:c r="G2062" s="1"/>
      <x:c r="H2062" s="1"/>
      <x:c r="I2062" s="1"/>
      <x:c r="J2062" s="1"/>
      <x:c r="K2062" s="1"/>
      <x:c r="L2062" s="1"/>
      <x:c r="M2062" s="1"/>
      <x:c r="N2062" s="1"/>
      <x:c r="O2062" s="1"/>
      <x:c r="P2062" s="1"/>
      <x:c r="Q2062" s="1"/>
      <x:c r="R2062" s="1"/>
      <x:c r="S2062" s="1"/>
      <x:c r="T2062" s="1"/>
      <x:c r="U2062" s="1"/>
      <x:c r="V2062" s="1"/>
      <x:c r="W2062" s="1"/>
      <x:c r="X2062" s="1"/>
      <x:c r="Y2062" s="1"/>
      <x:c r="Z2062" s="1"/>
    </x:row>
    <x:row r="2063">
      <x:c r="A2063" s="1"/>
      <x:c r="B2063" s="1"/>
      <x:c r="C2063" s="1"/>
      <x:c r="D2063" s="1"/>
      <x:c r="E2063" s="1"/>
      <x:c r="F2063" s="1"/>
      <x:c r="G2063" s="1"/>
      <x:c r="H2063" s="1"/>
      <x:c r="I2063" s="1"/>
      <x:c r="J2063" s="1"/>
      <x:c r="K2063" s="1"/>
      <x:c r="L2063" s="1"/>
      <x:c r="M2063" s="1"/>
      <x:c r="N2063" s="1"/>
      <x:c r="O2063" s="1"/>
      <x:c r="P2063" s="1"/>
      <x:c r="Q2063" s="1"/>
      <x:c r="R2063" s="1"/>
      <x:c r="S2063" s="1"/>
      <x:c r="T2063" s="1"/>
      <x:c r="U2063" s="1"/>
      <x:c r="V2063" s="1"/>
      <x:c r="W2063" s="1"/>
      <x:c r="X2063" s="1"/>
      <x:c r="Y2063" s="1"/>
      <x:c r="Z2063" s="1"/>
    </x:row>
    <x:row r="2064">
      <x:c r="A2064" s="1"/>
      <x:c r="B2064" s="1"/>
      <x:c r="C2064" s="1"/>
      <x:c r="D2064" s="1"/>
      <x:c r="E2064" s="1"/>
      <x:c r="F2064" s="1"/>
      <x:c r="G2064" s="1"/>
      <x:c r="H2064" s="1"/>
      <x:c r="I2064" s="1"/>
      <x:c r="J2064" s="1"/>
      <x:c r="K2064" s="1"/>
      <x:c r="L2064" s="1"/>
      <x:c r="M2064" s="1"/>
      <x:c r="N2064" s="1"/>
      <x:c r="O2064" s="1"/>
      <x:c r="P2064" s="1"/>
      <x:c r="Q2064" s="1"/>
      <x:c r="R2064" s="1"/>
      <x:c r="S2064" s="1"/>
      <x:c r="T2064" s="1"/>
      <x:c r="U2064" s="1"/>
      <x:c r="V2064" s="1"/>
      <x:c r="W2064" s="1"/>
      <x:c r="X2064" s="1"/>
      <x:c r="Y2064" s="1"/>
      <x:c r="Z2064" s="1"/>
    </x:row>
    <x:row r="2065">
      <x:c r="A2065" s="1"/>
      <x:c r="B2065" s="1"/>
      <x:c r="C2065" s="1"/>
      <x:c r="D2065" s="1"/>
      <x:c r="E2065" s="1"/>
      <x:c r="F2065" s="1"/>
      <x:c r="G2065" s="1"/>
      <x:c r="H2065" s="1"/>
      <x:c r="I2065" s="1"/>
      <x:c r="J2065" s="1"/>
      <x:c r="K2065" s="1"/>
      <x:c r="L2065" s="1"/>
      <x:c r="M2065" s="1"/>
      <x:c r="N2065" s="1"/>
      <x:c r="O2065" s="1"/>
      <x:c r="P2065" s="1"/>
      <x:c r="Q2065" s="1"/>
      <x:c r="R2065" s="1"/>
      <x:c r="S2065" s="1"/>
      <x:c r="T2065" s="1"/>
      <x:c r="U2065" s="1"/>
      <x:c r="V2065" s="1"/>
      <x:c r="W2065" s="1"/>
      <x:c r="X2065" s="1"/>
      <x:c r="Y2065" s="1"/>
      <x:c r="Z2065" s="1"/>
    </x:row>
    <x:row r="2066">
      <x:c r="A2066" s="1"/>
      <x:c r="B2066" s="1"/>
      <x:c r="C2066" s="1"/>
      <x:c r="D2066" s="1"/>
      <x:c r="E2066" s="1"/>
      <x:c r="F2066" s="1"/>
      <x:c r="G2066" s="1"/>
      <x:c r="H2066" s="1"/>
      <x:c r="I2066" s="1"/>
      <x:c r="J2066" s="1"/>
      <x:c r="K2066" s="1"/>
      <x:c r="L2066" s="1"/>
      <x:c r="M2066" s="1"/>
      <x:c r="N2066" s="1"/>
      <x:c r="O2066" s="1"/>
      <x:c r="P2066" s="1"/>
      <x:c r="Q2066" s="1"/>
      <x:c r="R2066" s="1"/>
      <x:c r="S2066" s="1"/>
      <x:c r="T2066" s="1"/>
      <x:c r="U2066" s="1"/>
      <x:c r="V2066" s="1"/>
      <x:c r="W2066" s="1"/>
      <x:c r="X2066" s="1"/>
      <x:c r="Y2066" s="1"/>
      <x:c r="Z2066" s="1"/>
    </x:row>
    <x:row r="2067">
      <x:c r="A2067" s="1"/>
      <x:c r="B2067" s="1"/>
      <x:c r="C2067" s="1"/>
      <x:c r="D2067" s="1"/>
      <x:c r="E2067" s="1"/>
      <x:c r="F2067" s="1"/>
      <x:c r="G2067" s="1"/>
      <x:c r="H2067" s="1"/>
      <x:c r="I2067" s="1"/>
      <x:c r="J2067" s="1"/>
      <x:c r="K2067" s="1"/>
      <x:c r="L2067" s="1"/>
      <x:c r="M2067" s="1"/>
      <x:c r="N2067" s="1"/>
      <x:c r="O2067" s="1"/>
      <x:c r="P2067" s="1"/>
      <x:c r="Q2067" s="1"/>
      <x:c r="R2067" s="1"/>
      <x:c r="S2067" s="1"/>
      <x:c r="T2067" s="1"/>
      <x:c r="U2067" s="1"/>
      <x:c r="V2067" s="1"/>
      <x:c r="W2067" s="1"/>
      <x:c r="X2067" s="1"/>
      <x:c r="Y2067" s="1"/>
      <x:c r="Z2067" s="1"/>
    </x:row>
    <x:row r="2068">
      <x:c r="A2068" s="1"/>
      <x:c r="B2068" s="1"/>
      <x:c r="C2068" s="1"/>
      <x:c r="D2068" s="1"/>
      <x:c r="E2068" s="1"/>
      <x:c r="F2068" s="1"/>
      <x:c r="G2068" s="1"/>
      <x:c r="H2068" s="1"/>
      <x:c r="I2068" s="1"/>
      <x:c r="J2068" s="1"/>
      <x:c r="K2068" s="1"/>
      <x:c r="L2068" s="1"/>
      <x:c r="M2068" s="1"/>
      <x:c r="N2068" s="1"/>
      <x:c r="O2068" s="1"/>
      <x:c r="P2068" s="1"/>
      <x:c r="Q2068" s="1"/>
      <x:c r="R2068" s="1"/>
      <x:c r="S2068" s="1"/>
      <x:c r="T2068" s="1"/>
      <x:c r="U2068" s="1"/>
      <x:c r="V2068" s="1"/>
      <x:c r="W2068" s="1"/>
      <x:c r="X2068" s="1"/>
      <x:c r="Y2068" s="1"/>
      <x:c r="Z2068" s="1"/>
    </x:row>
    <x:row r="2069">
      <x:c r="A2069" s="1"/>
      <x:c r="B2069" s="1"/>
      <x:c r="C2069" s="1"/>
      <x:c r="D2069" s="1"/>
      <x:c r="E2069" s="1"/>
      <x:c r="F2069" s="1"/>
      <x:c r="G2069" s="1"/>
      <x:c r="H2069" s="1"/>
      <x:c r="I2069" s="1"/>
      <x:c r="J2069" s="1"/>
      <x:c r="K2069" s="1"/>
      <x:c r="L2069" s="1"/>
      <x:c r="M2069" s="1"/>
      <x:c r="N2069" s="1"/>
      <x:c r="O2069" s="1"/>
      <x:c r="P2069" s="1"/>
      <x:c r="Q2069" s="1"/>
      <x:c r="R2069" s="1"/>
      <x:c r="S2069" s="1"/>
      <x:c r="T2069" s="1"/>
      <x:c r="U2069" s="1"/>
      <x:c r="V2069" s="1"/>
      <x:c r="W2069" s="1"/>
      <x:c r="X2069" s="1"/>
      <x:c r="Y2069" s="1"/>
      <x:c r="Z2069" s="1"/>
    </x:row>
    <x:row r="2070">
      <x:c r="A2070" s="1"/>
      <x:c r="B2070" s="1"/>
      <x:c r="C2070" s="1"/>
      <x:c r="D2070" s="1"/>
      <x:c r="E2070" s="1"/>
      <x:c r="F2070" s="1"/>
      <x:c r="G2070" s="1"/>
      <x:c r="H2070" s="1"/>
      <x:c r="I2070" s="1"/>
      <x:c r="J2070" s="1"/>
      <x:c r="K2070" s="1"/>
      <x:c r="L2070" s="1"/>
      <x:c r="M2070" s="1"/>
      <x:c r="N2070" s="1"/>
      <x:c r="O2070" s="1"/>
      <x:c r="P2070" s="1"/>
      <x:c r="Q2070" s="1"/>
      <x:c r="R2070" s="1"/>
      <x:c r="S2070" s="1"/>
      <x:c r="T2070" s="1"/>
      <x:c r="U2070" s="1"/>
      <x:c r="V2070" s="1"/>
      <x:c r="W2070" s="1"/>
      <x:c r="X2070" s="1"/>
      <x:c r="Y2070" s="1"/>
      <x:c r="Z2070" s="1"/>
    </x:row>
    <x:row r="2071">
      <x:c r="A2071" s="1"/>
      <x:c r="B2071" s="1"/>
      <x:c r="C2071" s="1"/>
      <x:c r="D2071" s="1"/>
      <x:c r="E2071" s="1"/>
      <x:c r="F2071" s="1"/>
      <x:c r="G2071" s="1"/>
      <x:c r="H2071" s="1"/>
      <x:c r="I2071" s="1"/>
      <x:c r="J2071" s="1"/>
      <x:c r="K2071" s="1"/>
      <x:c r="L2071" s="1"/>
      <x:c r="M2071" s="1"/>
      <x:c r="N2071" s="1"/>
      <x:c r="O2071" s="1"/>
      <x:c r="P2071" s="1"/>
      <x:c r="Q2071" s="1"/>
      <x:c r="R2071" s="1"/>
      <x:c r="S2071" s="1"/>
      <x:c r="T2071" s="1"/>
      <x:c r="U2071" s="1"/>
      <x:c r="V2071" s="1"/>
      <x:c r="W2071" s="1"/>
      <x:c r="X2071" s="1"/>
      <x:c r="Y2071" s="1"/>
      <x:c r="Z2071" s="1"/>
    </x:row>
    <x:row r="2072">
      <x:c r="A2072" s="1"/>
      <x:c r="B2072" s="1"/>
      <x:c r="C2072" s="1"/>
      <x:c r="D2072" s="1"/>
      <x:c r="E2072" s="1"/>
      <x:c r="F2072" s="1"/>
      <x:c r="G2072" s="1"/>
      <x:c r="H2072" s="1"/>
      <x:c r="I2072" s="1"/>
      <x:c r="J2072" s="1"/>
      <x:c r="K2072" s="1"/>
      <x:c r="L2072" s="1"/>
      <x:c r="M2072" s="1"/>
      <x:c r="N2072" s="1"/>
      <x:c r="O2072" s="1"/>
      <x:c r="P2072" s="1"/>
      <x:c r="Q2072" s="1"/>
      <x:c r="R2072" s="1"/>
      <x:c r="S2072" s="1"/>
      <x:c r="T2072" s="1"/>
      <x:c r="U2072" s="1"/>
      <x:c r="V2072" s="1"/>
      <x:c r="W2072" s="1"/>
      <x:c r="X2072" s="1"/>
      <x:c r="Y2072" s="1"/>
      <x:c r="Z2072" s="1"/>
    </x:row>
    <x:row r="2073">
      <x:c r="A2073" s="1"/>
      <x:c r="B2073" s="1"/>
      <x:c r="C2073" s="1"/>
      <x:c r="D2073" s="1"/>
      <x:c r="E2073" s="1"/>
      <x:c r="F2073" s="1"/>
      <x:c r="G2073" s="1"/>
      <x:c r="H2073" s="1"/>
      <x:c r="I2073" s="1"/>
      <x:c r="J2073" s="1"/>
      <x:c r="K2073" s="1"/>
      <x:c r="L2073" s="1"/>
      <x:c r="M2073" s="1"/>
      <x:c r="N2073" s="1"/>
      <x:c r="O2073" s="1"/>
      <x:c r="P2073" s="1"/>
      <x:c r="Q2073" s="1"/>
      <x:c r="R2073" s="1"/>
      <x:c r="S2073" s="1"/>
      <x:c r="T2073" s="1"/>
      <x:c r="U2073" s="1"/>
      <x:c r="V2073" s="1"/>
      <x:c r="W2073" s="1"/>
      <x:c r="X2073" s="1"/>
      <x:c r="Y2073" s="1"/>
      <x:c r="Z2073" s="1"/>
    </x:row>
    <x:row r="2074">
      <x:c r="A2074" s="1"/>
      <x:c r="B2074" s="1"/>
      <x:c r="C2074" s="1"/>
      <x:c r="D2074" s="1"/>
      <x:c r="E2074" s="1"/>
      <x:c r="F2074" s="1"/>
      <x:c r="G2074" s="1"/>
      <x:c r="H2074" s="1"/>
      <x:c r="I2074" s="1"/>
      <x:c r="J2074" s="1"/>
      <x:c r="K2074" s="1"/>
      <x:c r="L2074" s="1"/>
      <x:c r="M2074" s="1"/>
      <x:c r="N2074" s="1"/>
      <x:c r="O2074" s="1"/>
      <x:c r="P2074" s="1"/>
      <x:c r="Q2074" s="1"/>
      <x:c r="R2074" s="1"/>
      <x:c r="S2074" s="1"/>
      <x:c r="T2074" s="1"/>
      <x:c r="U2074" s="1"/>
      <x:c r="V2074" s="1"/>
      <x:c r="W2074" s="1"/>
      <x:c r="X2074" s="1"/>
      <x:c r="Y2074" s="1"/>
      <x:c r="Z2074" s="1"/>
    </x:row>
    <x:row r="2075">
      <x:c r="A2075" s="1"/>
      <x:c r="B2075" s="1"/>
      <x:c r="C2075" s="1"/>
      <x:c r="D2075" s="1"/>
      <x:c r="E2075" s="1"/>
      <x:c r="F2075" s="1"/>
      <x:c r="G2075" s="1"/>
      <x:c r="H2075" s="1"/>
      <x:c r="I2075" s="1"/>
      <x:c r="J2075" s="1"/>
      <x:c r="K2075" s="1"/>
      <x:c r="L2075" s="1"/>
      <x:c r="M2075" s="1"/>
      <x:c r="N2075" s="1"/>
      <x:c r="O2075" s="1"/>
      <x:c r="P2075" s="1"/>
      <x:c r="Q2075" s="1"/>
      <x:c r="R2075" s="1"/>
      <x:c r="S2075" s="1"/>
      <x:c r="T2075" s="1"/>
      <x:c r="U2075" s="1"/>
      <x:c r="V2075" s="1"/>
      <x:c r="W2075" s="1"/>
      <x:c r="X2075" s="1"/>
      <x:c r="Y2075" s="1"/>
      <x:c r="Z2075" s="1"/>
    </x:row>
    <x:row r="2076">
      <x:c r="A2076" s="1"/>
      <x:c r="B2076" s="1"/>
      <x:c r="C2076" s="1"/>
      <x:c r="D2076" s="1"/>
      <x:c r="E2076" s="1"/>
      <x:c r="F2076" s="1"/>
      <x:c r="G2076" s="1"/>
      <x:c r="H2076" s="1"/>
      <x:c r="I2076" s="1"/>
      <x:c r="J2076" s="1"/>
      <x:c r="K2076" s="1"/>
      <x:c r="L2076" s="1"/>
      <x:c r="M2076" s="1"/>
      <x:c r="N2076" s="1"/>
      <x:c r="O2076" s="1"/>
      <x:c r="P2076" s="1"/>
      <x:c r="Q2076" s="1"/>
      <x:c r="R2076" s="1"/>
      <x:c r="S2076" s="1"/>
      <x:c r="T2076" s="1"/>
      <x:c r="U2076" s="1"/>
      <x:c r="V2076" s="1"/>
      <x:c r="W2076" s="1"/>
      <x:c r="X2076" s="1"/>
      <x:c r="Y2076" s="1"/>
      <x:c r="Z2076" s="1"/>
    </x:row>
    <x:row r="2077">
      <x:c r="A2077" s="1"/>
      <x:c r="B2077" s="1"/>
      <x:c r="C2077" s="1"/>
      <x:c r="D2077" s="1"/>
      <x:c r="E2077" s="1"/>
      <x:c r="F2077" s="1"/>
      <x:c r="G2077" s="1"/>
      <x:c r="H2077" s="1"/>
      <x:c r="I2077" s="1"/>
      <x:c r="J2077" s="1"/>
      <x:c r="K2077" s="1"/>
      <x:c r="L2077" s="1"/>
      <x:c r="M2077" s="1"/>
      <x:c r="N2077" s="1"/>
      <x:c r="O2077" s="1"/>
      <x:c r="P2077" s="1"/>
      <x:c r="Q2077" s="1"/>
      <x:c r="R2077" s="1"/>
      <x:c r="S2077" s="1"/>
      <x:c r="T2077" s="1"/>
      <x:c r="U2077" s="1"/>
      <x:c r="V2077" s="1"/>
      <x:c r="W2077" s="1"/>
      <x:c r="X2077" s="1"/>
      <x:c r="Y2077" s="1"/>
      <x:c r="Z2077" s="1"/>
    </x:row>
    <x:row r="2078">
      <x:c r="A2078" s="1"/>
      <x:c r="B2078" s="1"/>
      <x:c r="C2078" s="1"/>
      <x:c r="D2078" s="1"/>
      <x:c r="E2078" s="1"/>
      <x:c r="F2078" s="1"/>
      <x:c r="G2078" s="1"/>
      <x:c r="H2078" s="1"/>
      <x:c r="I2078" s="1"/>
      <x:c r="J2078" s="1"/>
      <x:c r="K2078" s="1"/>
      <x:c r="L2078" s="1"/>
      <x:c r="M2078" s="1"/>
      <x:c r="N2078" s="1"/>
      <x:c r="O2078" s="1"/>
      <x:c r="P2078" s="1"/>
      <x:c r="Q2078" s="1"/>
      <x:c r="R2078" s="1"/>
      <x:c r="S2078" s="1"/>
      <x:c r="T2078" s="1"/>
      <x:c r="U2078" s="1"/>
      <x:c r="V2078" s="1"/>
      <x:c r="W2078" s="1"/>
      <x:c r="X2078" s="1"/>
      <x:c r="Y2078" s="1"/>
      <x:c r="Z2078" s="1"/>
    </x:row>
    <x:row r="2079">
      <x:c r="A2079" s="1"/>
      <x:c r="B2079" s="1"/>
      <x:c r="C2079" s="1"/>
      <x:c r="D2079" s="1"/>
      <x:c r="E2079" s="1"/>
      <x:c r="F2079" s="1"/>
      <x:c r="G2079" s="1"/>
      <x:c r="H2079" s="1"/>
      <x:c r="I2079" s="1"/>
      <x:c r="J2079" s="1"/>
      <x:c r="K2079" s="1"/>
      <x:c r="L2079" s="1"/>
      <x:c r="M2079" s="1"/>
      <x:c r="N2079" s="1"/>
      <x:c r="O2079" s="1"/>
      <x:c r="P2079" s="1"/>
      <x:c r="Q2079" s="1"/>
      <x:c r="R2079" s="1"/>
      <x:c r="S2079" s="1"/>
      <x:c r="T2079" s="1"/>
      <x:c r="U2079" s="1"/>
      <x:c r="V2079" s="1"/>
      <x:c r="W2079" s="1"/>
      <x:c r="X2079" s="1"/>
      <x:c r="Y2079" s="1"/>
      <x:c r="Z2079" s="1"/>
    </x:row>
    <x:row r="2080">
      <x:c r="A2080" s="1"/>
      <x:c r="B2080" s="1"/>
      <x:c r="C2080" s="1"/>
      <x:c r="D2080" s="1"/>
      <x:c r="E2080" s="1"/>
      <x:c r="F2080" s="1"/>
      <x:c r="G2080" s="1"/>
      <x:c r="H2080" s="1"/>
      <x:c r="I2080" s="1"/>
      <x:c r="J2080" s="1"/>
      <x:c r="K2080" s="1"/>
      <x:c r="L2080" s="1"/>
      <x:c r="M2080" s="1"/>
      <x:c r="N2080" s="1"/>
      <x:c r="O2080" s="1"/>
      <x:c r="P2080" s="1"/>
      <x:c r="Q2080" s="1"/>
      <x:c r="R2080" s="1"/>
      <x:c r="S2080" s="1"/>
      <x:c r="T2080" s="1"/>
      <x:c r="U2080" s="1"/>
      <x:c r="V2080" s="1"/>
      <x:c r="W2080" s="1"/>
      <x:c r="X2080" s="1"/>
      <x:c r="Y2080" s="1"/>
      <x:c r="Z2080" s="1"/>
    </x:row>
    <x:row r="2081">
      <x:c r="A2081" s="1"/>
      <x:c r="B2081" s="1"/>
      <x:c r="C2081" s="1"/>
      <x:c r="D2081" s="1"/>
      <x:c r="E2081" s="1"/>
      <x:c r="F2081" s="1"/>
      <x:c r="G2081" s="1"/>
      <x:c r="H2081" s="1"/>
      <x:c r="I2081" s="1"/>
      <x:c r="J2081" s="1"/>
      <x:c r="K2081" s="1"/>
      <x:c r="L2081" s="1"/>
      <x:c r="M2081" s="1"/>
      <x:c r="N2081" s="1"/>
      <x:c r="O2081" s="1"/>
      <x:c r="P2081" s="1"/>
      <x:c r="Q2081" s="1"/>
      <x:c r="R2081" s="1"/>
      <x:c r="S2081" s="1"/>
      <x:c r="T2081" s="1"/>
      <x:c r="U2081" s="1"/>
      <x:c r="V2081" s="1"/>
      <x:c r="W2081" s="1"/>
      <x:c r="X2081" s="1"/>
      <x:c r="Y2081" s="1"/>
      <x:c r="Z2081" s="1"/>
    </x:row>
    <x:row r="2082">
      <x:c r="A2082" s="1"/>
      <x:c r="B2082" s="1"/>
      <x:c r="C2082" s="1"/>
      <x:c r="D2082" s="1"/>
      <x:c r="E2082" s="1"/>
      <x:c r="F2082" s="1"/>
      <x:c r="G2082" s="1"/>
      <x:c r="H2082" s="1"/>
      <x:c r="I2082" s="1"/>
      <x:c r="J2082" s="1"/>
      <x:c r="K2082" s="1"/>
      <x:c r="L2082" s="1"/>
      <x:c r="M2082" s="1"/>
      <x:c r="N2082" s="1"/>
      <x:c r="O2082" s="1"/>
      <x:c r="P2082" s="1"/>
      <x:c r="Q2082" s="1"/>
      <x:c r="R2082" s="1"/>
      <x:c r="S2082" s="1"/>
      <x:c r="T2082" s="1"/>
      <x:c r="U2082" s="1"/>
      <x:c r="V2082" s="1"/>
      <x:c r="W2082" s="1"/>
      <x:c r="X2082" s="1"/>
      <x:c r="Y2082" s="1"/>
      <x:c r="Z2082" s="1"/>
    </x:row>
    <x:row r="2083">
      <x:c r="A2083" s="1"/>
      <x:c r="B2083" s="1"/>
      <x:c r="C2083" s="1"/>
      <x:c r="D2083" s="1"/>
      <x:c r="E2083" s="1"/>
      <x:c r="F2083" s="1"/>
      <x:c r="G2083" s="1"/>
      <x:c r="H2083" s="1"/>
      <x:c r="I2083" s="1"/>
      <x:c r="J2083" s="1"/>
      <x:c r="K2083" s="1"/>
      <x:c r="L2083" s="1"/>
      <x:c r="M2083" s="1"/>
      <x:c r="N2083" s="1"/>
      <x:c r="O2083" s="1"/>
      <x:c r="P2083" s="1"/>
      <x:c r="Q2083" s="1"/>
      <x:c r="R2083" s="1"/>
      <x:c r="S2083" s="1"/>
      <x:c r="T2083" s="1"/>
      <x:c r="U2083" s="1"/>
      <x:c r="V2083" s="1"/>
      <x:c r="W2083" s="1"/>
      <x:c r="X2083" s="1"/>
      <x:c r="Y2083" s="1"/>
      <x:c r="Z2083" s="1"/>
    </x:row>
    <x:row r="2084">
      <x:c r="A2084" s="1"/>
      <x:c r="B2084" s="1"/>
      <x:c r="C2084" s="1"/>
      <x:c r="D2084" s="1"/>
      <x:c r="E2084" s="1"/>
      <x:c r="F2084" s="1"/>
      <x:c r="G2084" s="1"/>
      <x:c r="H2084" s="1"/>
      <x:c r="I2084" s="1"/>
      <x:c r="J2084" s="1"/>
      <x:c r="K2084" s="1"/>
      <x:c r="L2084" s="1"/>
      <x:c r="M2084" s="1"/>
      <x:c r="N2084" s="1"/>
      <x:c r="O2084" s="1"/>
      <x:c r="P2084" s="1"/>
      <x:c r="Q2084" s="1"/>
      <x:c r="R2084" s="1"/>
      <x:c r="S2084" s="1"/>
      <x:c r="T2084" s="1"/>
      <x:c r="U2084" s="1"/>
      <x:c r="V2084" s="1"/>
      <x:c r="W2084" s="1"/>
      <x:c r="X2084" s="1"/>
      <x:c r="Y2084" s="1"/>
      <x:c r="Z2084" s="1"/>
    </x:row>
    <x:row r="2085">
      <x:c r="A2085" s="1"/>
      <x:c r="B2085" s="1"/>
      <x:c r="C2085" s="1"/>
      <x:c r="D2085" s="1"/>
      <x:c r="E2085" s="1"/>
      <x:c r="F2085" s="1"/>
      <x:c r="G2085" s="1"/>
      <x:c r="H2085" s="1"/>
      <x:c r="I2085" s="1"/>
      <x:c r="J2085" s="1"/>
      <x:c r="K2085" s="1"/>
      <x:c r="L2085" s="1"/>
      <x:c r="M2085" s="1"/>
      <x:c r="N2085" s="1"/>
      <x:c r="O2085" s="1"/>
      <x:c r="P2085" s="1"/>
      <x:c r="Q2085" s="1"/>
      <x:c r="R2085" s="1"/>
      <x:c r="S2085" s="1"/>
      <x:c r="T2085" s="1"/>
      <x:c r="U2085" s="1"/>
      <x:c r="V2085" s="1"/>
      <x:c r="W2085" s="1"/>
      <x:c r="X2085" s="1"/>
      <x:c r="Y2085" s="1"/>
      <x:c r="Z2085" s="1"/>
    </x:row>
    <x:row r="2086">
      <x:c r="A2086" s="1"/>
      <x:c r="B2086" s="1"/>
      <x:c r="C2086" s="1"/>
      <x:c r="D2086" s="1"/>
      <x:c r="E2086" s="1"/>
      <x:c r="F2086" s="1"/>
      <x:c r="G2086" s="1"/>
      <x:c r="H2086" s="1"/>
      <x:c r="I2086" s="1"/>
      <x:c r="J2086" s="1"/>
      <x:c r="K2086" s="1"/>
      <x:c r="L2086" s="1"/>
      <x:c r="M2086" s="1"/>
      <x:c r="N2086" s="1"/>
      <x:c r="O2086" s="1"/>
      <x:c r="P2086" s="1"/>
      <x:c r="Q2086" s="1"/>
      <x:c r="R2086" s="1"/>
      <x:c r="S2086" s="1"/>
      <x:c r="T2086" s="1"/>
      <x:c r="U2086" s="1"/>
      <x:c r="V2086" s="1"/>
      <x:c r="W2086" s="1"/>
      <x:c r="X2086" s="1"/>
      <x:c r="Y2086" s="1"/>
      <x:c r="Z2086" s="1"/>
    </x:row>
    <x:row r="2087">
      <x:c r="A2087" s="1"/>
      <x:c r="B2087" s="1"/>
      <x:c r="C2087" s="1"/>
      <x:c r="D2087" s="1"/>
      <x:c r="E2087" s="1"/>
      <x:c r="F2087" s="1"/>
      <x:c r="G2087" s="1"/>
      <x:c r="H2087" s="1"/>
      <x:c r="I2087" s="1"/>
      <x:c r="J2087" s="1"/>
      <x:c r="K2087" s="1"/>
      <x:c r="L2087" s="1"/>
      <x:c r="M2087" s="1"/>
      <x:c r="N2087" s="1"/>
      <x:c r="O2087" s="1"/>
      <x:c r="P2087" s="1"/>
      <x:c r="Q2087" s="1"/>
      <x:c r="R2087" s="1"/>
      <x:c r="S2087" s="1"/>
      <x:c r="T2087" s="1"/>
      <x:c r="U2087" s="1"/>
      <x:c r="V2087" s="1"/>
      <x:c r="W2087" s="1"/>
      <x:c r="X2087" s="1"/>
      <x:c r="Y2087" s="1"/>
      <x:c r="Z2087" s="1"/>
    </x:row>
    <x:row r="2088">
      <x:c r="A2088" s="1"/>
      <x:c r="B2088" s="1"/>
      <x:c r="C2088" s="1"/>
      <x:c r="D2088" s="1"/>
      <x:c r="E2088" s="1"/>
      <x:c r="F2088" s="1"/>
      <x:c r="G2088" s="1"/>
      <x:c r="H2088" s="1"/>
      <x:c r="I2088" s="1"/>
      <x:c r="J2088" s="1"/>
      <x:c r="K2088" s="1"/>
      <x:c r="L2088" s="1"/>
      <x:c r="M2088" s="1"/>
      <x:c r="N2088" s="1"/>
      <x:c r="O2088" s="1"/>
      <x:c r="P2088" s="1"/>
      <x:c r="Q2088" s="1"/>
      <x:c r="R2088" s="1"/>
      <x:c r="S2088" s="1"/>
      <x:c r="T2088" s="1"/>
      <x:c r="U2088" s="1"/>
      <x:c r="V2088" s="1"/>
      <x:c r="W2088" s="1"/>
      <x:c r="X2088" s="1"/>
      <x:c r="Y2088" s="1"/>
      <x:c r="Z2088" s="1"/>
    </x:row>
    <x:row r="2089">
      <x:c r="A2089" s="1"/>
      <x:c r="B2089" s="1"/>
      <x:c r="C2089" s="1"/>
      <x:c r="D2089" s="1"/>
      <x:c r="E2089" s="1"/>
      <x:c r="F2089" s="1"/>
      <x:c r="G2089" s="1"/>
      <x:c r="H2089" s="1"/>
      <x:c r="I2089" s="1"/>
      <x:c r="J2089" s="1"/>
      <x:c r="K2089" s="1"/>
      <x:c r="L2089" s="1"/>
      <x:c r="M2089" s="1"/>
      <x:c r="N2089" s="1"/>
      <x:c r="O2089" s="1"/>
      <x:c r="P2089" s="1"/>
      <x:c r="Q2089" s="1"/>
      <x:c r="R2089" s="1"/>
      <x:c r="S2089" s="1"/>
      <x:c r="T2089" s="1"/>
      <x:c r="U2089" s="1"/>
      <x:c r="V2089" s="1"/>
      <x:c r="W2089" s="1"/>
      <x:c r="X2089" s="1"/>
      <x:c r="Y2089" s="1"/>
      <x:c r="Z2089" s="1"/>
    </x:row>
    <x:row r="2090">
      <x:c r="A2090" s="1"/>
      <x:c r="B2090" s="1"/>
      <x:c r="C2090" s="1"/>
      <x:c r="D2090" s="1"/>
      <x:c r="E2090" s="1"/>
      <x:c r="F2090" s="1"/>
      <x:c r="G2090" s="1"/>
      <x:c r="H2090" s="1"/>
      <x:c r="I2090" s="1"/>
      <x:c r="J2090" s="1"/>
      <x:c r="K2090" s="1"/>
      <x:c r="L2090" s="1"/>
      <x:c r="M2090" s="1"/>
      <x:c r="N2090" s="1"/>
      <x:c r="O2090" s="1"/>
      <x:c r="P2090" s="1"/>
      <x:c r="Q2090" s="1"/>
      <x:c r="R2090" s="1"/>
      <x:c r="S2090" s="1"/>
      <x:c r="T2090" s="1"/>
      <x:c r="U2090" s="1"/>
      <x:c r="V2090" s="1"/>
      <x:c r="W2090" s="1"/>
      <x:c r="X2090" s="1"/>
      <x:c r="Y2090" s="1"/>
      <x:c r="Z2090" s="1"/>
    </x:row>
    <x:row r="2091">
      <x:c r="A2091" s="1"/>
      <x:c r="B2091" s="1"/>
      <x:c r="C2091" s="1"/>
      <x:c r="D2091" s="1"/>
      <x:c r="E2091" s="1"/>
      <x:c r="F2091" s="1"/>
      <x:c r="G2091" s="1"/>
      <x:c r="H2091" s="1"/>
      <x:c r="I2091" s="1"/>
      <x:c r="J2091" s="1"/>
      <x:c r="K2091" s="1"/>
      <x:c r="L2091" s="1"/>
      <x:c r="M2091" s="1"/>
      <x:c r="N2091" s="1"/>
      <x:c r="O2091" s="1"/>
      <x:c r="P2091" s="1"/>
      <x:c r="Q2091" s="1"/>
      <x:c r="R2091" s="1"/>
      <x:c r="S2091" s="1"/>
      <x:c r="T2091" s="1"/>
      <x:c r="U2091" s="1"/>
      <x:c r="V2091" s="1"/>
      <x:c r="W2091" s="1"/>
      <x:c r="X2091" s="1"/>
      <x:c r="Y2091" s="1"/>
      <x:c r="Z2091" s="1"/>
    </x:row>
    <x:row r="2092">
      <x:c r="A2092" s="1"/>
      <x:c r="B2092" s="1"/>
      <x:c r="C2092" s="1"/>
      <x:c r="D2092" s="1"/>
      <x:c r="E2092" s="1"/>
      <x:c r="F2092" s="1"/>
      <x:c r="G2092" s="1"/>
      <x:c r="H2092" s="1"/>
      <x:c r="I2092" s="1"/>
      <x:c r="J2092" s="1"/>
      <x:c r="K2092" s="1"/>
      <x:c r="L2092" s="1"/>
      <x:c r="M2092" s="1"/>
      <x:c r="N2092" s="1"/>
      <x:c r="O2092" s="1"/>
      <x:c r="P2092" s="1"/>
      <x:c r="Q2092" s="1"/>
      <x:c r="R2092" s="1"/>
      <x:c r="S2092" s="1"/>
      <x:c r="T2092" s="1"/>
      <x:c r="U2092" s="1"/>
      <x:c r="V2092" s="1"/>
      <x:c r="W2092" s="1"/>
      <x:c r="X2092" s="1"/>
      <x:c r="Y2092" s="1"/>
      <x:c r="Z2092" s="1"/>
    </x:row>
    <x:row r="2093">
      <x:c r="A2093" s="1"/>
      <x:c r="B2093" s="1"/>
      <x:c r="C2093" s="1"/>
      <x:c r="D2093" s="1"/>
      <x:c r="E2093" s="1"/>
      <x:c r="F2093" s="1"/>
      <x:c r="G2093" s="1"/>
      <x:c r="H2093" s="1"/>
      <x:c r="I2093" s="1"/>
      <x:c r="J2093" s="1"/>
      <x:c r="K2093" s="1"/>
      <x:c r="L2093" s="1"/>
      <x:c r="M2093" s="1"/>
      <x:c r="N2093" s="1"/>
      <x:c r="O2093" s="1"/>
      <x:c r="P2093" s="1"/>
      <x:c r="Q2093" s="1"/>
      <x:c r="R2093" s="1"/>
      <x:c r="S2093" s="1"/>
      <x:c r="T2093" s="1"/>
      <x:c r="U2093" s="1"/>
      <x:c r="V2093" s="1"/>
      <x:c r="W2093" s="1"/>
      <x:c r="X2093" s="1"/>
      <x:c r="Y2093" s="1"/>
      <x:c r="Z2093" s="1"/>
    </x:row>
    <x:row r="2094">
      <x:c r="A2094" s="1"/>
      <x:c r="B2094" s="1"/>
      <x:c r="C2094" s="1"/>
      <x:c r="D2094" s="1"/>
      <x:c r="E2094" s="1"/>
      <x:c r="F2094" s="1"/>
      <x:c r="G2094" s="1"/>
      <x:c r="H2094" s="1"/>
      <x:c r="I2094" s="1"/>
      <x:c r="J2094" s="1"/>
      <x:c r="K2094" s="1"/>
      <x:c r="L2094" s="1"/>
      <x:c r="M2094" s="1"/>
      <x:c r="N2094" s="1"/>
      <x:c r="O2094" s="1"/>
      <x:c r="P2094" s="1"/>
      <x:c r="Q2094" s="1"/>
      <x:c r="R2094" s="1"/>
      <x:c r="S2094" s="1"/>
      <x:c r="T2094" s="1"/>
      <x:c r="U2094" s="1"/>
      <x:c r="V2094" s="1"/>
      <x:c r="W2094" s="1"/>
      <x:c r="X2094" s="1"/>
      <x:c r="Y2094" s="1"/>
      <x:c r="Z2094" s="1"/>
    </x:row>
    <x:row r="2095">
      <x:c r="A2095" s="1"/>
      <x:c r="B2095" s="1"/>
      <x:c r="C2095" s="1"/>
      <x:c r="D2095" s="1"/>
      <x:c r="E2095" s="1"/>
      <x:c r="F2095" s="1"/>
      <x:c r="G2095" s="1"/>
      <x:c r="H2095" s="1"/>
      <x:c r="I2095" s="1"/>
      <x:c r="J2095" s="1"/>
      <x:c r="K2095" s="1"/>
      <x:c r="L2095" s="1"/>
      <x:c r="M2095" s="1"/>
      <x:c r="N2095" s="1"/>
      <x:c r="O2095" s="1"/>
      <x:c r="P2095" s="1"/>
      <x:c r="Q2095" s="1"/>
      <x:c r="R2095" s="1"/>
      <x:c r="S2095" s="1"/>
      <x:c r="T2095" s="1"/>
      <x:c r="U2095" s="1"/>
      <x:c r="V2095" s="1"/>
      <x:c r="W2095" s="1"/>
      <x:c r="X2095" s="1"/>
      <x:c r="Y2095" s="1"/>
      <x:c r="Z2095" s="1"/>
    </x:row>
    <x:row r="2096">
      <x:c r="A2096" s="1"/>
      <x:c r="B2096" s="1"/>
      <x:c r="C2096" s="1"/>
      <x:c r="D2096" s="1"/>
      <x:c r="E2096" s="1"/>
      <x:c r="F2096" s="1"/>
      <x:c r="G2096" s="1"/>
      <x:c r="H2096" s="1"/>
      <x:c r="I2096" s="1"/>
      <x:c r="J2096" s="1"/>
      <x:c r="K2096" s="1"/>
      <x:c r="L2096" s="1"/>
      <x:c r="M2096" s="1"/>
      <x:c r="N2096" s="1"/>
      <x:c r="O2096" s="1"/>
      <x:c r="P2096" s="1"/>
      <x:c r="Q2096" s="1"/>
      <x:c r="R2096" s="1"/>
      <x:c r="S2096" s="1"/>
      <x:c r="T2096" s="1"/>
      <x:c r="U2096" s="1"/>
      <x:c r="V2096" s="1"/>
      <x:c r="W2096" s="1"/>
      <x:c r="X2096" s="1"/>
      <x:c r="Y2096" s="1"/>
      <x:c r="Z2096" s="1"/>
    </x:row>
    <x:row r="2097">
      <x:c r="A2097" s="1"/>
      <x:c r="B2097" s="1"/>
      <x:c r="C2097" s="1"/>
      <x:c r="D2097" s="1"/>
      <x:c r="E2097" s="1"/>
      <x:c r="F2097" s="1"/>
      <x:c r="G2097" s="1"/>
      <x:c r="H2097" s="1"/>
      <x:c r="I2097" s="1"/>
      <x:c r="J2097" s="1"/>
      <x:c r="K2097" s="1"/>
      <x:c r="L2097" s="1"/>
      <x:c r="M2097" s="1"/>
      <x:c r="N2097" s="1"/>
      <x:c r="O2097" s="1"/>
      <x:c r="P2097" s="1"/>
      <x:c r="Q2097" s="1"/>
      <x:c r="R2097" s="1"/>
      <x:c r="S2097" s="1"/>
      <x:c r="T2097" s="1"/>
      <x:c r="U2097" s="1"/>
      <x:c r="V2097" s="1"/>
      <x:c r="W2097" s="1"/>
      <x:c r="X2097" s="1"/>
      <x:c r="Y2097" s="1"/>
      <x:c r="Z2097" s="1"/>
    </x:row>
    <x:row r="2098">
      <x:c r="A2098" s="1"/>
      <x:c r="B2098" s="1"/>
      <x:c r="C2098" s="1"/>
      <x:c r="D2098" s="1"/>
      <x:c r="E2098" s="1"/>
      <x:c r="F2098" s="1"/>
      <x:c r="G2098" s="1"/>
      <x:c r="H2098" s="1"/>
      <x:c r="I2098" s="1"/>
      <x:c r="J2098" s="1"/>
      <x:c r="K2098" s="1"/>
      <x:c r="L2098" s="1"/>
      <x:c r="M2098" s="1"/>
      <x:c r="N2098" s="1"/>
      <x:c r="O2098" s="1"/>
      <x:c r="P2098" s="1"/>
      <x:c r="Q2098" s="1"/>
      <x:c r="R2098" s="1"/>
      <x:c r="S2098" s="1"/>
      <x:c r="T2098" s="1"/>
      <x:c r="U2098" s="1"/>
      <x:c r="V2098" s="1"/>
      <x:c r="W2098" s="1"/>
      <x:c r="X2098" s="1"/>
      <x:c r="Y2098" s="1"/>
      <x:c r="Z2098" s="1"/>
    </x:row>
    <x:row r="2099">
      <x:c r="A2099" s="1"/>
      <x:c r="B2099" s="1"/>
      <x:c r="C2099" s="1"/>
      <x:c r="D2099" s="1"/>
      <x:c r="E2099" s="1"/>
      <x:c r="F2099" s="1"/>
      <x:c r="G2099" s="1"/>
      <x:c r="H2099" s="1"/>
      <x:c r="I2099" s="1"/>
      <x:c r="J2099" s="1"/>
      <x:c r="K2099" s="1"/>
      <x:c r="L2099" s="1"/>
      <x:c r="M2099" s="1"/>
      <x:c r="N2099" s="1"/>
      <x:c r="O2099" s="1"/>
      <x:c r="P2099" s="1"/>
      <x:c r="Q2099" s="1"/>
      <x:c r="R2099" s="1"/>
      <x:c r="S2099" s="1"/>
      <x:c r="T2099" s="1"/>
      <x:c r="U2099" s="1"/>
      <x:c r="V2099" s="1"/>
      <x:c r="W2099" s="1"/>
      <x:c r="X2099" s="1"/>
      <x:c r="Y2099" s="1"/>
      <x:c r="Z2099" s="1"/>
    </x:row>
    <x:row r="2100">
      <x:c r="A2100" s="1"/>
      <x:c r="B2100" s="1"/>
      <x:c r="C2100" s="1"/>
      <x:c r="D2100" s="1"/>
      <x:c r="E2100" s="1"/>
      <x:c r="F2100" s="1"/>
      <x:c r="G2100" s="1"/>
      <x:c r="H2100" s="1"/>
      <x:c r="I2100" s="1"/>
      <x:c r="J2100" s="1"/>
      <x:c r="K2100" s="1"/>
      <x:c r="L2100" s="1"/>
      <x:c r="M2100" s="1"/>
      <x:c r="N2100" s="1"/>
      <x:c r="O2100" s="1"/>
      <x:c r="P2100" s="1"/>
      <x:c r="Q2100" s="1"/>
      <x:c r="R2100" s="1"/>
      <x:c r="S2100" s="1"/>
      <x:c r="T2100" s="1"/>
      <x:c r="U2100" s="1"/>
      <x:c r="V2100" s="1"/>
      <x:c r="W2100" s="1"/>
      <x:c r="X2100" s="1"/>
      <x:c r="Y2100" s="1"/>
      <x:c r="Z2100" s="1"/>
    </x:row>
    <x:row r="2101">
      <x:c r="A2101" s="1"/>
      <x:c r="B2101" s="1"/>
      <x:c r="C2101" s="1"/>
      <x:c r="D2101" s="1"/>
      <x:c r="E2101" s="1"/>
      <x:c r="F2101" s="1"/>
      <x:c r="G2101" s="1"/>
      <x:c r="H2101" s="1"/>
      <x:c r="I2101" s="1"/>
      <x:c r="J2101" s="1"/>
      <x:c r="K2101" s="1"/>
      <x:c r="L2101" s="1"/>
      <x:c r="M2101" s="1"/>
      <x:c r="N2101" s="1"/>
      <x:c r="O2101" s="1"/>
      <x:c r="P2101" s="1"/>
      <x:c r="Q2101" s="1"/>
      <x:c r="R2101" s="1"/>
      <x:c r="S2101" s="1"/>
      <x:c r="T2101" s="1"/>
      <x:c r="U2101" s="1"/>
      <x:c r="V2101" s="1"/>
      <x:c r="W2101" s="1"/>
      <x:c r="X2101" s="1"/>
      <x:c r="Y2101" s="1"/>
      <x:c r="Z2101" s="1"/>
    </x:row>
    <x:row r="2102">
      <x:c r="A2102" s="1"/>
      <x:c r="B2102" s="1"/>
      <x:c r="C2102" s="1"/>
      <x:c r="D2102" s="1"/>
      <x:c r="E2102" s="1"/>
      <x:c r="F2102" s="1"/>
      <x:c r="G2102" s="1"/>
      <x:c r="H2102" s="1"/>
      <x:c r="I2102" s="1"/>
      <x:c r="J2102" s="1"/>
      <x:c r="K2102" s="1"/>
      <x:c r="L2102" s="1"/>
      <x:c r="M2102" s="1"/>
      <x:c r="N2102" s="1"/>
      <x:c r="O2102" s="1"/>
      <x:c r="P2102" s="1"/>
      <x:c r="Q2102" s="1"/>
      <x:c r="R2102" s="1"/>
      <x:c r="S2102" s="1"/>
      <x:c r="T2102" s="1"/>
      <x:c r="U2102" s="1"/>
      <x:c r="V2102" s="1"/>
      <x:c r="W2102" s="1"/>
      <x:c r="X2102" s="1"/>
      <x:c r="Y2102" s="1"/>
      <x:c r="Z2102" s="1"/>
    </x:row>
    <x:row r="2103">
      <x:c r="A2103" s="1"/>
      <x:c r="B2103" s="1"/>
      <x:c r="C2103" s="1"/>
      <x:c r="D2103" s="1"/>
      <x:c r="E2103" s="1"/>
      <x:c r="F2103" s="1"/>
      <x:c r="G2103" s="1"/>
      <x:c r="H2103" s="1"/>
      <x:c r="I2103" s="1"/>
      <x:c r="J2103" s="1"/>
      <x:c r="K2103" s="1"/>
      <x:c r="L2103" s="1"/>
      <x:c r="M2103" s="1"/>
      <x:c r="N2103" s="1"/>
      <x:c r="O2103" s="1"/>
      <x:c r="P2103" s="1"/>
      <x:c r="Q2103" s="1"/>
      <x:c r="R2103" s="1"/>
      <x:c r="S2103" s="1"/>
      <x:c r="T2103" s="1"/>
      <x:c r="U2103" s="1"/>
      <x:c r="V2103" s="1"/>
      <x:c r="W2103" s="1"/>
      <x:c r="X2103" s="1"/>
      <x:c r="Y2103" s="1"/>
      <x:c r="Z2103" s="1"/>
    </x:row>
    <x:row r="2104">
      <x:c r="A2104" s="1"/>
      <x:c r="B2104" s="1"/>
      <x:c r="C2104" s="1"/>
      <x:c r="D2104" s="1"/>
      <x:c r="E2104" s="1"/>
      <x:c r="F2104" s="1"/>
      <x:c r="G2104" s="1"/>
      <x:c r="H2104" s="1"/>
      <x:c r="I2104" s="1"/>
      <x:c r="J2104" s="1"/>
      <x:c r="K2104" s="1"/>
      <x:c r="L2104" s="1"/>
      <x:c r="M2104" s="1"/>
      <x:c r="N2104" s="1"/>
      <x:c r="O2104" s="1"/>
      <x:c r="P2104" s="1"/>
      <x:c r="Q2104" s="1"/>
      <x:c r="R2104" s="1"/>
      <x:c r="S2104" s="1"/>
      <x:c r="T2104" s="1"/>
      <x:c r="U2104" s="1"/>
      <x:c r="V2104" s="1"/>
      <x:c r="W2104" s="1"/>
      <x:c r="X2104" s="1"/>
      <x:c r="Y2104" s="1"/>
      <x:c r="Z2104" s="1"/>
    </x:row>
    <x:row r="2105">
      <x:c r="A2105" s="1"/>
      <x:c r="B2105" s="1"/>
      <x:c r="C2105" s="1"/>
      <x:c r="D2105" s="1"/>
      <x:c r="E2105" s="1"/>
      <x:c r="F2105" s="1"/>
      <x:c r="G2105" s="1"/>
      <x:c r="H2105" s="1"/>
      <x:c r="I2105" s="1"/>
      <x:c r="J2105" s="1"/>
      <x:c r="K2105" s="1"/>
      <x:c r="L2105" s="1"/>
      <x:c r="M2105" s="1"/>
      <x:c r="N2105" s="1"/>
      <x:c r="O2105" s="1"/>
      <x:c r="P2105" s="1"/>
      <x:c r="Q2105" s="1"/>
      <x:c r="R2105" s="1"/>
      <x:c r="S2105" s="1"/>
      <x:c r="T2105" s="1"/>
      <x:c r="U2105" s="1"/>
      <x:c r="V2105" s="1"/>
      <x:c r="W2105" s="1"/>
      <x:c r="X2105" s="1"/>
      <x:c r="Y2105" s="1"/>
      <x:c r="Z2105" s="1"/>
    </x:row>
    <x:row r="2106">
      <x:c r="A2106" s="1"/>
      <x:c r="B2106" s="1"/>
      <x:c r="C2106" s="1"/>
      <x:c r="D2106" s="1"/>
      <x:c r="E2106" s="1"/>
      <x:c r="F2106" s="1"/>
      <x:c r="G2106" s="1"/>
      <x:c r="H2106" s="1"/>
      <x:c r="I2106" s="1"/>
      <x:c r="J2106" s="1"/>
      <x:c r="K2106" s="1"/>
      <x:c r="L2106" s="1"/>
      <x:c r="M2106" s="1"/>
      <x:c r="N2106" s="1"/>
      <x:c r="O2106" s="1"/>
      <x:c r="P2106" s="1"/>
      <x:c r="Q2106" s="1"/>
      <x:c r="R2106" s="1"/>
      <x:c r="S2106" s="1"/>
      <x:c r="T2106" s="1"/>
      <x:c r="U2106" s="1"/>
      <x:c r="V2106" s="1"/>
      <x:c r="W2106" s="1"/>
      <x:c r="X2106" s="1"/>
      <x:c r="Y2106" s="1"/>
      <x:c r="Z2106" s="1"/>
    </x:row>
    <x:row r="2107">
      <x:c r="A2107" s="1"/>
      <x:c r="B2107" s="1"/>
      <x:c r="C2107" s="1"/>
      <x:c r="D2107" s="1"/>
      <x:c r="E2107" s="1"/>
      <x:c r="F2107" s="1"/>
      <x:c r="G2107" s="1"/>
      <x:c r="H2107" s="1"/>
      <x:c r="I2107" s="1"/>
      <x:c r="J2107" s="1"/>
      <x:c r="K2107" s="1"/>
      <x:c r="L2107" s="1"/>
      <x:c r="M2107" s="1"/>
      <x:c r="N2107" s="1"/>
      <x:c r="O2107" s="1"/>
      <x:c r="P2107" s="1"/>
      <x:c r="Q2107" s="1"/>
      <x:c r="R2107" s="1"/>
      <x:c r="S2107" s="1"/>
      <x:c r="T2107" s="1"/>
      <x:c r="U2107" s="1"/>
      <x:c r="V2107" s="1"/>
      <x:c r="W2107" s="1"/>
      <x:c r="X2107" s="1"/>
      <x:c r="Y2107" s="1"/>
      <x:c r="Z2107" s="1"/>
    </x:row>
    <x:row r="2108">
      <x:c r="A2108" s="1"/>
      <x:c r="B2108" s="1"/>
      <x:c r="C2108" s="1"/>
      <x:c r="D2108" s="1"/>
      <x:c r="E2108" s="1"/>
      <x:c r="F2108" s="1"/>
      <x:c r="G2108" s="1"/>
      <x:c r="H2108" s="1"/>
      <x:c r="I2108" s="1"/>
      <x:c r="J2108" s="1"/>
      <x:c r="K2108" s="1"/>
      <x:c r="L2108" s="1"/>
      <x:c r="M2108" s="1"/>
      <x:c r="N2108" s="1"/>
      <x:c r="O2108" s="1"/>
      <x:c r="P2108" s="1"/>
      <x:c r="Q2108" s="1"/>
      <x:c r="R2108" s="1"/>
      <x:c r="S2108" s="1"/>
      <x:c r="T2108" s="1"/>
      <x:c r="U2108" s="1"/>
      <x:c r="V2108" s="1"/>
      <x:c r="W2108" s="1"/>
      <x:c r="X2108" s="1"/>
      <x:c r="Y2108" s="1"/>
      <x:c r="Z2108" s="1"/>
    </x:row>
    <x:row r="2109">
      <x:c r="A2109" s="1"/>
      <x:c r="B2109" s="1"/>
      <x:c r="C2109" s="1"/>
      <x:c r="D2109" s="1"/>
      <x:c r="E2109" s="1"/>
      <x:c r="F2109" s="1"/>
      <x:c r="G2109" s="1"/>
      <x:c r="H2109" s="1"/>
      <x:c r="I2109" s="1"/>
      <x:c r="J2109" s="1"/>
      <x:c r="K2109" s="1"/>
      <x:c r="L2109" s="1"/>
      <x:c r="M2109" s="1"/>
      <x:c r="N2109" s="1"/>
      <x:c r="O2109" s="1"/>
      <x:c r="P2109" s="1"/>
      <x:c r="Q2109" s="1"/>
      <x:c r="R2109" s="1"/>
      <x:c r="S2109" s="1"/>
      <x:c r="T2109" s="1"/>
      <x:c r="U2109" s="1"/>
      <x:c r="V2109" s="1"/>
      <x:c r="W2109" s="1"/>
      <x:c r="X2109" s="1"/>
      <x:c r="Y2109" s="1"/>
      <x:c r="Z2109" s="1"/>
    </x:row>
    <x:row r="2110">
      <x:c r="A2110" s="1"/>
      <x:c r="B2110" s="1"/>
      <x:c r="C2110" s="1"/>
      <x:c r="D2110" s="1"/>
      <x:c r="E2110" s="1"/>
      <x:c r="F2110" s="1"/>
      <x:c r="G2110" s="1"/>
      <x:c r="H2110" s="1"/>
      <x:c r="I2110" s="1"/>
      <x:c r="J2110" s="1"/>
      <x:c r="K2110" s="1"/>
      <x:c r="L2110" s="1"/>
      <x:c r="M2110" s="1"/>
      <x:c r="N2110" s="1"/>
      <x:c r="O2110" s="1"/>
      <x:c r="P2110" s="1"/>
      <x:c r="Q2110" s="1"/>
      <x:c r="R2110" s="1"/>
      <x:c r="S2110" s="1"/>
      <x:c r="T2110" s="1"/>
      <x:c r="U2110" s="1"/>
      <x:c r="V2110" s="1"/>
      <x:c r="W2110" s="1"/>
      <x:c r="X2110" s="1"/>
      <x:c r="Y2110" s="1"/>
      <x:c r="Z2110" s="1"/>
    </x:row>
    <x:row r="2111">
      <x:c r="A2111" s="1"/>
      <x:c r="B2111" s="1"/>
      <x:c r="C2111" s="1"/>
      <x:c r="D2111" s="1"/>
      <x:c r="E2111" s="1"/>
      <x:c r="F2111" s="1"/>
      <x:c r="G2111" s="1"/>
      <x:c r="H2111" s="1"/>
      <x:c r="I2111" s="1"/>
      <x:c r="J2111" s="1"/>
      <x:c r="K2111" s="1"/>
      <x:c r="L2111" s="1"/>
      <x:c r="M2111" s="1"/>
      <x:c r="N2111" s="1"/>
      <x:c r="O2111" s="1"/>
      <x:c r="P2111" s="1"/>
      <x:c r="Q2111" s="1"/>
      <x:c r="R2111" s="1"/>
      <x:c r="S2111" s="1"/>
      <x:c r="T2111" s="1"/>
      <x:c r="U2111" s="1"/>
      <x:c r="V2111" s="1"/>
      <x:c r="W2111" s="1"/>
      <x:c r="X2111" s="1"/>
      <x:c r="Y2111" s="1"/>
      <x:c r="Z2111" s="1"/>
    </x:row>
    <x:row r="2112">
      <x:c r="A2112" s="1"/>
      <x:c r="B2112" s="1"/>
      <x:c r="C2112" s="1"/>
      <x:c r="D2112" s="1"/>
      <x:c r="E2112" s="1"/>
      <x:c r="F2112" s="1"/>
      <x:c r="G2112" s="1"/>
      <x:c r="H2112" s="1"/>
      <x:c r="I2112" s="1"/>
      <x:c r="J2112" s="1"/>
      <x:c r="K2112" s="1"/>
      <x:c r="L2112" s="1"/>
      <x:c r="M2112" s="1"/>
      <x:c r="N2112" s="1"/>
      <x:c r="O2112" s="1"/>
      <x:c r="P2112" s="1"/>
      <x:c r="Q2112" s="1"/>
      <x:c r="R2112" s="1"/>
      <x:c r="S2112" s="1"/>
      <x:c r="T2112" s="1"/>
      <x:c r="U2112" s="1"/>
      <x:c r="V2112" s="1"/>
      <x:c r="W2112" s="1"/>
      <x:c r="X2112" s="1"/>
      <x:c r="Y2112" s="1"/>
      <x:c r="Z2112" s="1"/>
    </x:row>
    <x:row r="2113">
      <x:c r="A2113" s="1"/>
      <x:c r="B2113" s="1"/>
      <x:c r="C2113" s="1"/>
      <x:c r="D2113" s="1"/>
      <x:c r="E2113" s="1"/>
      <x:c r="F2113" s="1"/>
      <x:c r="G2113" s="1"/>
      <x:c r="H2113" s="1"/>
      <x:c r="I2113" s="1"/>
      <x:c r="J2113" s="1"/>
      <x:c r="K2113" s="1"/>
      <x:c r="L2113" s="1"/>
      <x:c r="M2113" s="1"/>
      <x:c r="N2113" s="1"/>
      <x:c r="O2113" s="1"/>
      <x:c r="P2113" s="1"/>
      <x:c r="Q2113" s="1"/>
      <x:c r="R2113" s="1"/>
      <x:c r="S2113" s="1"/>
      <x:c r="T2113" s="1"/>
      <x:c r="U2113" s="1"/>
      <x:c r="V2113" s="1"/>
      <x:c r="W2113" s="1"/>
      <x:c r="X2113" s="1"/>
      <x:c r="Y2113" s="1"/>
      <x:c r="Z2113" s="1"/>
    </x:row>
    <x:row r="2114">
      <x:c r="A2114" s="1"/>
      <x:c r="B2114" s="1"/>
      <x:c r="C2114" s="1"/>
      <x:c r="D2114" s="1"/>
      <x:c r="E2114" s="1"/>
      <x:c r="F2114" s="1"/>
      <x:c r="G2114" s="1"/>
      <x:c r="H2114" s="1"/>
      <x:c r="I2114" s="1"/>
      <x:c r="J2114" s="1"/>
      <x:c r="K2114" s="1"/>
      <x:c r="L2114" s="1"/>
      <x:c r="M2114" s="1"/>
      <x:c r="N2114" s="1"/>
      <x:c r="O2114" s="1"/>
      <x:c r="P2114" s="1"/>
      <x:c r="Q2114" s="1"/>
      <x:c r="R2114" s="1"/>
      <x:c r="S2114" s="1"/>
      <x:c r="T2114" s="1"/>
      <x:c r="U2114" s="1"/>
      <x:c r="V2114" s="1"/>
      <x:c r="W2114" s="1"/>
      <x:c r="X2114" s="1"/>
      <x:c r="Y2114" s="1"/>
      <x:c r="Z2114" s="1"/>
    </x:row>
    <x:row r="2115">
      <x:c r="A2115" s="1"/>
      <x:c r="B2115" s="1"/>
      <x:c r="C2115" s="1"/>
      <x:c r="D2115" s="1"/>
      <x:c r="E2115" s="1"/>
      <x:c r="F2115" s="1"/>
      <x:c r="G2115" s="1"/>
      <x:c r="H2115" s="1"/>
      <x:c r="I2115" s="1"/>
      <x:c r="J2115" s="1"/>
      <x:c r="K2115" s="1"/>
      <x:c r="L2115" s="1"/>
      <x:c r="M2115" s="1"/>
      <x:c r="N2115" s="1"/>
      <x:c r="O2115" s="1"/>
      <x:c r="P2115" s="1"/>
      <x:c r="Q2115" s="1"/>
      <x:c r="R2115" s="1"/>
      <x:c r="S2115" s="1"/>
      <x:c r="T2115" s="1"/>
      <x:c r="U2115" s="1"/>
      <x:c r="V2115" s="1"/>
      <x:c r="W2115" s="1"/>
      <x:c r="X2115" s="1"/>
      <x:c r="Y2115" s="1"/>
      <x:c r="Z2115" s="1"/>
    </x:row>
    <x:row r="2116">
      <x:c r="A2116" s="1"/>
      <x:c r="B2116" s="1"/>
      <x:c r="C2116" s="1"/>
      <x:c r="D2116" s="1"/>
      <x:c r="E2116" s="1"/>
      <x:c r="F2116" s="1"/>
      <x:c r="G2116" s="1"/>
      <x:c r="H2116" s="1"/>
      <x:c r="I2116" s="1"/>
      <x:c r="J2116" s="1"/>
      <x:c r="K2116" s="1"/>
      <x:c r="L2116" s="1"/>
      <x:c r="M2116" s="1"/>
      <x:c r="N2116" s="1"/>
      <x:c r="O2116" s="1"/>
      <x:c r="P2116" s="1"/>
      <x:c r="Q2116" s="1"/>
      <x:c r="R2116" s="1"/>
      <x:c r="S2116" s="1"/>
      <x:c r="T2116" s="1"/>
      <x:c r="U2116" s="1"/>
      <x:c r="V2116" s="1"/>
      <x:c r="W2116" s="1"/>
      <x:c r="X2116" s="1"/>
      <x:c r="Y2116" s="1"/>
      <x:c r="Z2116" s="1"/>
    </x:row>
    <x:row r="2117">
      <x:c r="A2117" s="1"/>
      <x:c r="B2117" s="1"/>
      <x:c r="C2117" s="1"/>
      <x:c r="D2117" s="1"/>
      <x:c r="E2117" s="1"/>
      <x:c r="F2117" s="1"/>
      <x:c r="G2117" s="1"/>
      <x:c r="H2117" s="1"/>
      <x:c r="I2117" s="1"/>
      <x:c r="J2117" s="1"/>
      <x:c r="K2117" s="1"/>
      <x:c r="L2117" s="1"/>
      <x:c r="M2117" s="1"/>
      <x:c r="N2117" s="1"/>
      <x:c r="O2117" s="1"/>
      <x:c r="P2117" s="1"/>
      <x:c r="Q2117" s="1"/>
      <x:c r="R2117" s="1"/>
      <x:c r="S2117" s="1"/>
      <x:c r="T2117" s="1"/>
      <x:c r="U2117" s="1"/>
      <x:c r="V2117" s="1"/>
      <x:c r="W2117" s="1"/>
      <x:c r="X2117" s="1"/>
      <x:c r="Y2117" s="1"/>
      <x:c r="Z2117" s="1"/>
    </x:row>
    <x:row r="2118">
      <x:c r="A2118" s="1"/>
      <x:c r="B2118" s="1"/>
      <x:c r="C2118" s="1"/>
      <x:c r="D2118" s="1"/>
      <x:c r="E2118" s="1"/>
      <x:c r="F2118" s="1"/>
      <x:c r="G2118" s="1"/>
      <x:c r="H2118" s="1"/>
      <x:c r="I2118" s="1"/>
      <x:c r="J2118" s="1"/>
      <x:c r="K2118" s="1"/>
      <x:c r="L2118" s="1"/>
      <x:c r="M2118" s="1"/>
      <x:c r="N2118" s="1"/>
      <x:c r="O2118" s="1"/>
      <x:c r="P2118" s="1"/>
      <x:c r="Q2118" s="1"/>
      <x:c r="R2118" s="1"/>
      <x:c r="S2118" s="1"/>
      <x:c r="T2118" s="1"/>
      <x:c r="U2118" s="1"/>
      <x:c r="V2118" s="1"/>
      <x:c r="W2118" s="1"/>
      <x:c r="X2118" s="1"/>
      <x:c r="Y2118" s="1"/>
      <x:c r="Z2118" s="1"/>
    </x:row>
    <x:row r="2119">
      <x:c r="A2119" s="1"/>
      <x:c r="B2119" s="1"/>
      <x:c r="C2119" s="1"/>
      <x:c r="D2119" s="1"/>
      <x:c r="E2119" s="1"/>
      <x:c r="F2119" s="1"/>
      <x:c r="G2119" s="1"/>
      <x:c r="H2119" s="1"/>
      <x:c r="I2119" s="1"/>
      <x:c r="J2119" s="1"/>
      <x:c r="K2119" s="1"/>
      <x:c r="L2119" s="1"/>
      <x:c r="M2119" s="1"/>
      <x:c r="N2119" s="1"/>
      <x:c r="O2119" s="1"/>
      <x:c r="P2119" s="1"/>
      <x:c r="Q2119" s="1"/>
      <x:c r="R2119" s="1"/>
      <x:c r="S2119" s="1"/>
      <x:c r="T2119" s="1"/>
      <x:c r="U2119" s="1"/>
      <x:c r="V2119" s="1"/>
      <x:c r="W2119" s="1"/>
      <x:c r="X2119" s="1"/>
      <x:c r="Y2119" s="1"/>
      <x:c r="Z2119" s="1"/>
    </x:row>
    <x:row r="2120">
      <x:c r="A2120" s="1"/>
      <x:c r="B2120" s="1"/>
      <x:c r="C2120" s="1"/>
      <x:c r="D2120" s="1"/>
      <x:c r="E2120" s="1"/>
      <x:c r="F2120" s="1"/>
      <x:c r="G2120" s="1"/>
      <x:c r="H2120" s="1"/>
      <x:c r="I2120" s="1"/>
      <x:c r="J2120" s="1"/>
      <x:c r="K2120" s="1"/>
      <x:c r="L2120" s="1"/>
      <x:c r="M2120" s="1"/>
      <x:c r="N2120" s="1"/>
      <x:c r="O2120" s="1"/>
      <x:c r="P2120" s="1"/>
      <x:c r="Q2120" s="1"/>
      <x:c r="R2120" s="1"/>
      <x:c r="S2120" s="1"/>
      <x:c r="T2120" s="1"/>
      <x:c r="U2120" s="1"/>
      <x:c r="V2120" s="1"/>
      <x:c r="W2120" s="1"/>
      <x:c r="X2120" s="1"/>
      <x:c r="Y2120" s="1"/>
      <x:c r="Z2120" s="1"/>
    </x:row>
    <x:row r="2121">
      <x:c r="A2121" s="1"/>
      <x:c r="B2121" s="1"/>
      <x:c r="C2121" s="1"/>
      <x:c r="D2121" s="1"/>
      <x:c r="E2121" s="1"/>
      <x:c r="F2121" s="1"/>
      <x:c r="G2121" s="1"/>
      <x:c r="H2121" s="1"/>
      <x:c r="I2121" s="1"/>
      <x:c r="J2121" s="1"/>
      <x:c r="K2121" s="1"/>
      <x:c r="L2121" s="1"/>
      <x:c r="M2121" s="1"/>
      <x:c r="N2121" s="1"/>
      <x:c r="O2121" s="1"/>
      <x:c r="P2121" s="1"/>
      <x:c r="Q2121" s="1"/>
      <x:c r="R2121" s="1"/>
      <x:c r="S2121" s="1"/>
      <x:c r="T2121" s="1"/>
      <x:c r="U2121" s="1"/>
      <x:c r="V2121" s="1"/>
      <x:c r="W2121" s="1"/>
      <x:c r="X2121" s="1"/>
      <x:c r="Y2121" s="1"/>
      <x:c r="Z2121" s="1"/>
    </x:row>
    <x:row r="2122">
      <x:c r="A2122" s="1"/>
      <x:c r="B2122" s="1"/>
      <x:c r="C2122" s="1"/>
      <x:c r="D2122" s="1"/>
      <x:c r="E2122" s="1"/>
      <x:c r="F2122" s="1"/>
      <x:c r="G2122" s="1"/>
      <x:c r="H2122" s="1"/>
      <x:c r="I2122" s="1"/>
      <x:c r="J2122" s="1"/>
      <x:c r="K2122" s="1"/>
      <x:c r="L2122" s="1"/>
      <x:c r="M2122" s="1"/>
      <x:c r="N2122" s="1"/>
      <x:c r="O2122" s="1"/>
      <x:c r="P2122" s="1"/>
      <x:c r="Q2122" s="1"/>
      <x:c r="R2122" s="1"/>
      <x:c r="S2122" s="1"/>
      <x:c r="T2122" s="1"/>
      <x:c r="U2122" s="1"/>
      <x:c r="V2122" s="1"/>
      <x:c r="W2122" s="1"/>
      <x:c r="X2122" s="1"/>
      <x:c r="Y2122" s="1"/>
      <x:c r="Z2122" s="1"/>
    </x:row>
    <x:row r="2123">
      <x:c r="A2123" s="1"/>
      <x:c r="B2123" s="1"/>
      <x:c r="C2123" s="1"/>
      <x:c r="D2123" s="1"/>
      <x:c r="E2123" s="1"/>
      <x:c r="F2123" s="1"/>
      <x:c r="G2123" s="1"/>
      <x:c r="H2123" s="1"/>
      <x:c r="I2123" s="1"/>
      <x:c r="J2123" s="1"/>
      <x:c r="K2123" s="1"/>
      <x:c r="L2123" s="1"/>
      <x:c r="M2123" s="1"/>
      <x:c r="N2123" s="1"/>
      <x:c r="O2123" s="1"/>
      <x:c r="P2123" s="1"/>
      <x:c r="Q2123" s="1"/>
      <x:c r="R2123" s="1"/>
      <x:c r="S2123" s="1"/>
      <x:c r="T2123" s="1"/>
      <x:c r="U2123" s="1"/>
      <x:c r="V2123" s="1"/>
      <x:c r="W2123" s="1"/>
      <x:c r="X2123" s="1"/>
      <x:c r="Y2123" s="1"/>
      <x:c r="Z2123" s="1"/>
    </x:row>
    <x:row r="2124">
      <x:c r="A2124" s="1"/>
      <x:c r="B2124" s="1"/>
      <x:c r="C2124" s="1"/>
      <x:c r="D2124" s="1"/>
      <x:c r="E2124" s="1"/>
      <x:c r="F2124" s="1"/>
      <x:c r="G2124" s="1"/>
      <x:c r="H2124" s="1"/>
      <x:c r="I2124" s="1"/>
      <x:c r="J2124" s="1"/>
      <x:c r="K2124" s="1"/>
      <x:c r="L2124" s="1"/>
      <x:c r="M2124" s="1"/>
      <x:c r="N2124" s="1"/>
      <x:c r="O2124" s="1"/>
      <x:c r="P2124" s="1"/>
      <x:c r="Q2124" s="1"/>
      <x:c r="R2124" s="1"/>
      <x:c r="S2124" s="1"/>
      <x:c r="T2124" s="1"/>
      <x:c r="U2124" s="1"/>
      <x:c r="V2124" s="1"/>
      <x:c r="W2124" s="1"/>
      <x:c r="X2124" s="1"/>
      <x:c r="Y2124" s="1"/>
      <x:c r="Z2124" s="1"/>
    </x:row>
    <x:row r="2125">
      <x:c r="A2125" s="1"/>
      <x:c r="B2125" s="1"/>
      <x:c r="C2125" s="1"/>
      <x:c r="D2125" s="1"/>
      <x:c r="E2125" s="1"/>
      <x:c r="F2125" s="1"/>
      <x:c r="G2125" s="1"/>
      <x:c r="H2125" s="1"/>
      <x:c r="I2125" s="1"/>
      <x:c r="J2125" s="1"/>
      <x:c r="K2125" s="1"/>
      <x:c r="L2125" s="1"/>
      <x:c r="M2125" s="1"/>
      <x:c r="N2125" s="1"/>
      <x:c r="O2125" s="1"/>
      <x:c r="P2125" s="1"/>
      <x:c r="Q2125" s="1"/>
      <x:c r="R2125" s="1"/>
      <x:c r="S2125" s="1"/>
      <x:c r="T2125" s="1"/>
      <x:c r="U2125" s="1"/>
      <x:c r="V2125" s="1"/>
      <x:c r="W2125" s="1"/>
      <x:c r="X2125" s="1"/>
      <x:c r="Y2125" s="1"/>
      <x:c r="Z2125" s="1"/>
    </x:row>
    <x:row r="2126">
      <x:c r="A2126" s="1"/>
      <x:c r="B2126" s="1"/>
      <x:c r="C2126" s="1"/>
      <x:c r="D2126" s="1"/>
      <x:c r="E2126" s="1"/>
      <x:c r="F2126" s="1"/>
      <x:c r="G2126" s="1"/>
      <x:c r="H2126" s="1"/>
      <x:c r="I2126" s="1"/>
      <x:c r="J2126" s="1"/>
      <x:c r="K2126" s="1"/>
      <x:c r="L2126" s="1"/>
      <x:c r="M2126" s="1"/>
      <x:c r="N2126" s="1"/>
      <x:c r="O2126" s="1"/>
      <x:c r="P2126" s="1"/>
      <x:c r="Q2126" s="1"/>
      <x:c r="R2126" s="1"/>
      <x:c r="S2126" s="1"/>
      <x:c r="T2126" s="1"/>
      <x:c r="U2126" s="1"/>
      <x:c r="V2126" s="1"/>
      <x:c r="W2126" s="1"/>
      <x:c r="X2126" s="1"/>
      <x:c r="Y2126" s="1"/>
      <x:c r="Z2126" s="1"/>
    </x:row>
    <x:row r="2127">
      <x:c r="A2127" s="1"/>
      <x:c r="B2127" s="1"/>
      <x:c r="C2127" s="1"/>
      <x:c r="D2127" s="1"/>
      <x:c r="E2127" s="1"/>
      <x:c r="F2127" s="1"/>
      <x:c r="G2127" s="1"/>
      <x:c r="H2127" s="1"/>
      <x:c r="I2127" s="1"/>
      <x:c r="J2127" s="1"/>
      <x:c r="K2127" s="1"/>
      <x:c r="L2127" s="1"/>
      <x:c r="M2127" s="1"/>
      <x:c r="N2127" s="1"/>
      <x:c r="O2127" s="1"/>
      <x:c r="P2127" s="1"/>
      <x:c r="Q2127" s="1"/>
      <x:c r="R2127" s="1"/>
      <x:c r="S2127" s="1"/>
      <x:c r="T2127" s="1"/>
      <x:c r="U2127" s="1"/>
      <x:c r="V2127" s="1"/>
      <x:c r="W2127" s="1"/>
      <x:c r="X2127" s="1"/>
      <x:c r="Y2127" s="1"/>
      <x:c r="Z2127" s="1"/>
    </x:row>
    <x:row r="2128">
      <x:c r="A2128" s="1"/>
      <x:c r="B2128" s="1"/>
      <x:c r="C2128" s="1"/>
      <x:c r="D2128" s="1"/>
      <x:c r="E2128" s="1"/>
      <x:c r="F2128" s="1"/>
      <x:c r="G2128" s="1"/>
      <x:c r="H2128" s="1"/>
      <x:c r="I2128" s="1"/>
      <x:c r="J2128" s="1"/>
      <x:c r="K2128" s="1"/>
      <x:c r="L2128" s="1"/>
      <x:c r="M2128" s="1"/>
      <x:c r="N2128" s="1"/>
      <x:c r="O2128" s="1"/>
      <x:c r="P2128" s="1"/>
      <x:c r="Q2128" s="1"/>
      <x:c r="R2128" s="1"/>
      <x:c r="S2128" s="1"/>
      <x:c r="T2128" s="1"/>
      <x:c r="U2128" s="1"/>
      <x:c r="V2128" s="1"/>
      <x:c r="W2128" s="1"/>
      <x:c r="X2128" s="1"/>
      <x:c r="Y2128" s="1"/>
      <x:c r="Z2128" s="1"/>
    </x:row>
    <x:row r="2129">
      <x:c r="A2129" s="1"/>
      <x:c r="B2129" s="1"/>
      <x:c r="C2129" s="1"/>
      <x:c r="D2129" s="1"/>
      <x:c r="E2129" s="1"/>
      <x:c r="F2129" s="1"/>
      <x:c r="G2129" s="1"/>
      <x:c r="H2129" s="1"/>
      <x:c r="I2129" s="1"/>
      <x:c r="J2129" s="1"/>
      <x:c r="K2129" s="1"/>
      <x:c r="L2129" s="1"/>
      <x:c r="M2129" s="1"/>
      <x:c r="N2129" s="1"/>
      <x:c r="O2129" s="1"/>
      <x:c r="P2129" s="1"/>
      <x:c r="Q2129" s="1"/>
      <x:c r="R2129" s="1"/>
      <x:c r="S2129" s="1"/>
      <x:c r="T2129" s="1"/>
      <x:c r="U2129" s="1"/>
      <x:c r="V2129" s="1"/>
      <x:c r="W2129" s="1"/>
      <x:c r="X2129" s="1"/>
      <x:c r="Y2129" s="1"/>
      <x:c r="Z2129" s="1"/>
    </x:row>
    <x:row r="2130">
      <x:c r="A2130" s="1"/>
      <x:c r="B2130" s="1"/>
      <x:c r="C2130" s="1"/>
      <x:c r="D2130" s="1"/>
      <x:c r="E2130" s="1"/>
      <x:c r="F2130" s="1"/>
      <x:c r="G2130" s="1"/>
      <x:c r="H2130" s="1"/>
      <x:c r="I2130" s="1"/>
      <x:c r="J2130" s="1"/>
      <x:c r="K2130" s="1"/>
      <x:c r="L2130" s="1"/>
      <x:c r="M2130" s="1"/>
      <x:c r="N2130" s="1"/>
      <x:c r="O2130" s="1"/>
      <x:c r="P2130" s="1"/>
      <x:c r="Q2130" s="1"/>
      <x:c r="R2130" s="1"/>
      <x:c r="S2130" s="1"/>
      <x:c r="T2130" s="1"/>
      <x:c r="U2130" s="1"/>
      <x:c r="V2130" s="1"/>
      <x:c r="W2130" s="1"/>
      <x:c r="X2130" s="1"/>
      <x:c r="Y2130" s="1"/>
      <x:c r="Z2130" s="1"/>
    </x:row>
    <x:row r="2131">
      <x:c r="A2131" s="1"/>
      <x:c r="B2131" s="1"/>
      <x:c r="C2131" s="1"/>
      <x:c r="D2131" s="1"/>
      <x:c r="E2131" s="1"/>
      <x:c r="F2131" s="1"/>
      <x:c r="G2131" s="1"/>
      <x:c r="H2131" s="1"/>
      <x:c r="I2131" s="1"/>
      <x:c r="J2131" s="1"/>
      <x:c r="K2131" s="1"/>
      <x:c r="L2131" s="1"/>
      <x:c r="M2131" s="1"/>
      <x:c r="N2131" s="1"/>
      <x:c r="O2131" s="1"/>
      <x:c r="P2131" s="1"/>
      <x:c r="Q2131" s="1"/>
      <x:c r="R2131" s="1"/>
      <x:c r="S2131" s="1"/>
      <x:c r="T2131" s="1"/>
      <x:c r="U2131" s="1"/>
      <x:c r="V2131" s="1"/>
      <x:c r="W2131" s="1"/>
      <x:c r="X2131" s="1"/>
      <x:c r="Y2131" s="1"/>
      <x:c r="Z2131" s="1"/>
    </x:row>
    <x:row r="2132">
      <x:c r="A2132" s="1"/>
      <x:c r="B2132" s="1"/>
      <x:c r="C2132" s="1"/>
      <x:c r="D2132" s="1"/>
      <x:c r="E2132" s="1"/>
      <x:c r="F2132" s="1"/>
      <x:c r="G2132" s="1"/>
      <x:c r="H2132" s="1"/>
      <x:c r="I2132" s="1"/>
      <x:c r="J2132" s="1"/>
      <x:c r="K2132" s="1"/>
      <x:c r="L2132" s="1"/>
      <x:c r="M2132" s="1"/>
      <x:c r="N2132" s="1"/>
      <x:c r="O2132" s="1"/>
      <x:c r="P2132" s="1"/>
      <x:c r="Q2132" s="1"/>
      <x:c r="R2132" s="1"/>
      <x:c r="S2132" s="1"/>
      <x:c r="T2132" s="1"/>
      <x:c r="U2132" s="1"/>
      <x:c r="V2132" s="1"/>
      <x:c r="W2132" s="1"/>
      <x:c r="X2132" s="1"/>
      <x:c r="Y2132" s="1"/>
      <x:c r="Z2132" s="1"/>
    </x:row>
    <x:row r="2133">
      <x:c r="A2133" s="1"/>
      <x:c r="B2133" s="1"/>
      <x:c r="C2133" s="1"/>
      <x:c r="D2133" s="1"/>
      <x:c r="E2133" s="1"/>
      <x:c r="F2133" s="1"/>
      <x:c r="G2133" s="1"/>
      <x:c r="H2133" s="1"/>
      <x:c r="I2133" s="1"/>
      <x:c r="J2133" s="1"/>
      <x:c r="K2133" s="1"/>
      <x:c r="L2133" s="1"/>
      <x:c r="M2133" s="1"/>
      <x:c r="N2133" s="1"/>
      <x:c r="O2133" s="1"/>
      <x:c r="P2133" s="1"/>
      <x:c r="Q2133" s="1"/>
      <x:c r="R2133" s="1"/>
      <x:c r="S2133" s="1"/>
      <x:c r="T2133" s="1"/>
      <x:c r="U2133" s="1"/>
      <x:c r="V2133" s="1"/>
      <x:c r="W2133" s="1"/>
      <x:c r="X2133" s="1"/>
      <x:c r="Y2133" s="1"/>
      <x:c r="Z2133" s="1"/>
    </x:row>
    <x:row r="2134">
      <x:c r="A2134" s="1"/>
      <x:c r="B2134" s="1"/>
      <x:c r="C2134" s="1"/>
      <x:c r="D2134" s="1"/>
      <x:c r="E2134" s="1"/>
      <x:c r="F2134" s="1"/>
      <x:c r="G2134" s="1"/>
      <x:c r="H2134" s="1"/>
      <x:c r="I2134" s="1"/>
      <x:c r="J2134" s="1"/>
      <x:c r="K2134" s="1"/>
      <x:c r="L2134" s="1"/>
      <x:c r="M2134" s="1"/>
      <x:c r="N2134" s="1"/>
      <x:c r="O2134" s="1"/>
      <x:c r="P2134" s="1"/>
      <x:c r="Q2134" s="1"/>
      <x:c r="R2134" s="1"/>
      <x:c r="S2134" s="1"/>
      <x:c r="T2134" s="1"/>
      <x:c r="U2134" s="1"/>
      <x:c r="V2134" s="1"/>
      <x:c r="W2134" s="1"/>
      <x:c r="X2134" s="1"/>
      <x:c r="Y2134" s="1"/>
      <x:c r="Z2134" s="1"/>
    </x:row>
    <x:row r="2135">
      <x:c r="A2135" s="1"/>
      <x:c r="B2135" s="1"/>
      <x:c r="C2135" s="1"/>
      <x:c r="D2135" s="1"/>
      <x:c r="E2135" s="1"/>
      <x:c r="F2135" s="1"/>
      <x:c r="G2135" s="1"/>
      <x:c r="H2135" s="1"/>
      <x:c r="I2135" s="1"/>
      <x:c r="J2135" s="1"/>
      <x:c r="K2135" s="1"/>
      <x:c r="L2135" s="1"/>
      <x:c r="M2135" s="1"/>
      <x:c r="N2135" s="1"/>
      <x:c r="O2135" s="1"/>
      <x:c r="P2135" s="1"/>
      <x:c r="Q2135" s="1"/>
      <x:c r="R2135" s="1"/>
      <x:c r="S2135" s="1"/>
      <x:c r="T2135" s="1"/>
      <x:c r="U2135" s="1"/>
      <x:c r="V2135" s="1"/>
      <x:c r="W2135" s="1"/>
      <x:c r="X2135" s="1"/>
      <x:c r="Y2135" s="1"/>
      <x:c r="Z2135" s="1"/>
    </x:row>
    <x:row r="2136">
      <x:c r="A2136" s="1"/>
      <x:c r="B2136" s="1"/>
      <x:c r="C2136" s="1"/>
      <x:c r="D2136" s="1"/>
      <x:c r="E2136" s="1"/>
      <x:c r="F2136" s="1"/>
      <x:c r="G2136" s="1"/>
      <x:c r="H2136" s="1"/>
      <x:c r="I2136" s="1"/>
      <x:c r="J2136" s="1"/>
      <x:c r="K2136" s="1"/>
      <x:c r="L2136" s="1"/>
      <x:c r="M2136" s="1"/>
      <x:c r="N2136" s="1"/>
      <x:c r="O2136" s="1"/>
      <x:c r="P2136" s="1"/>
      <x:c r="Q2136" s="1"/>
      <x:c r="R2136" s="1"/>
      <x:c r="S2136" s="1"/>
      <x:c r="T2136" s="1"/>
      <x:c r="U2136" s="1"/>
      <x:c r="V2136" s="1"/>
      <x:c r="W2136" s="1"/>
      <x:c r="X2136" s="1"/>
      <x:c r="Y2136" s="1"/>
      <x:c r="Z2136" s="1"/>
    </x:row>
    <x:row r="2137">
      <x:c r="A2137" s="1"/>
      <x:c r="B2137" s="1"/>
      <x:c r="C2137" s="1"/>
      <x:c r="D2137" s="1"/>
      <x:c r="E2137" s="1"/>
      <x:c r="F2137" s="1"/>
      <x:c r="G2137" s="1"/>
      <x:c r="H2137" s="1"/>
      <x:c r="I2137" s="1"/>
      <x:c r="J2137" s="1"/>
      <x:c r="K2137" s="1"/>
      <x:c r="L2137" s="1"/>
      <x:c r="M2137" s="1"/>
      <x:c r="N2137" s="1"/>
      <x:c r="O2137" s="1"/>
      <x:c r="P2137" s="1"/>
      <x:c r="Q2137" s="1"/>
      <x:c r="R2137" s="1"/>
      <x:c r="S2137" s="1"/>
      <x:c r="T2137" s="1"/>
      <x:c r="U2137" s="1"/>
      <x:c r="V2137" s="1"/>
      <x:c r="W2137" s="1"/>
      <x:c r="X2137" s="1"/>
      <x:c r="Y2137" s="1"/>
      <x:c r="Z2137" s="1"/>
    </x:row>
    <x:row r="2138">
      <x:c r="A2138" s="1"/>
      <x:c r="B2138" s="1"/>
      <x:c r="C2138" s="1"/>
      <x:c r="D2138" s="1"/>
      <x:c r="E2138" s="1"/>
      <x:c r="F2138" s="1"/>
      <x:c r="G2138" s="1"/>
      <x:c r="H2138" s="1"/>
      <x:c r="I2138" s="1"/>
      <x:c r="J2138" s="1"/>
      <x:c r="K2138" s="1"/>
      <x:c r="L2138" s="1"/>
      <x:c r="M2138" s="1"/>
      <x:c r="N2138" s="1"/>
      <x:c r="O2138" s="1"/>
      <x:c r="P2138" s="1"/>
      <x:c r="Q2138" s="1"/>
      <x:c r="R2138" s="1"/>
      <x:c r="S2138" s="1"/>
      <x:c r="T2138" s="1"/>
      <x:c r="U2138" s="1"/>
      <x:c r="V2138" s="1"/>
      <x:c r="W2138" s="1"/>
      <x:c r="X2138" s="1"/>
      <x:c r="Y2138" s="1"/>
      <x:c r="Z2138" s="1"/>
    </x:row>
    <x:row r="2139">
      <x:c r="A2139" s="1"/>
      <x:c r="B2139" s="1"/>
      <x:c r="C2139" s="1"/>
      <x:c r="D2139" s="1"/>
      <x:c r="E2139" s="1"/>
      <x:c r="F2139" s="1"/>
      <x:c r="G2139" s="1"/>
      <x:c r="H2139" s="1"/>
      <x:c r="I2139" s="1"/>
      <x:c r="J2139" s="1"/>
      <x:c r="K2139" s="1"/>
      <x:c r="L2139" s="1"/>
      <x:c r="M2139" s="1"/>
      <x:c r="N2139" s="1"/>
      <x:c r="O2139" s="1"/>
      <x:c r="P2139" s="1"/>
      <x:c r="Q2139" s="1"/>
      <x:c r="R2139" s="1"/>
      <x:c r="S2139" s="1"/>
      <x:c r="T2139" s="1"/>
      <x:c r="U2139" s="1"/>
      <x:c r="V2139" s="1"/>
      <x:c r="W2139" s="1"/>
      <x:c r="X2139" s="1"/>
      <x:c r="Y2139" s="1"/>
      <x:c r="Z2139" s="1"/>
    </x:row>
    <x:row r="2140">
      <x:c r="A2140" s="1"/>
      <x:c r="B2140" s="1"/>
      <x:c r="C2140" s="1"/>
      <x:c r="D2140" s="1"/>
      <x:c r="E2140" s="1"/>
      <x:c r="F2140" s="1"/>
      <x:c r="G2140" s="1"/>
      <x:c r="H2140" s="1"/>
      <x:c r="I2140" s="1"/>
      <x:c r="J2140" s="1"/>
      <x:c r="K2140" s="1"/>
      <x:c r="L2140" s="1"/>
      <x:c r="M2140" s="1"/>
      <x:c r="N2140" s="1"/>
      <x:c r="O2140" s="1"/>
      <x:c r="P2140" s="1"/>
      <x:c r="Q2140" s="1"/>
      <x:c r="R2140" s="1"/>
      <x:c r="S2140" s="1"/>
      <x:c r="T2140" s="1"/>
      <x:c r="U2140" s="1"/>
      <x:c r="V2140" s="1"/>
      <x:c r="W2140" s="1"/>
      <x:c r="X2140" s="1"/>
      <x:c r="Y2140" s="1"/>
      <x:c r="Z2140" s="1"/>
    </x:row>
    <x:row r="2141">
      <x:c r="A2141" s="1"/>
      <x:c r="B2141" s="1"/>
      <x:c r="C2141" s="1"/>
      <x:c r="D2141" s="1"/>
      <x:c r="E2141" s="1"/>
      <x:c r="F2141" s="1"/>
      <x:c r="G2141" s="1"/>
      <x:c r="H2141" s="1"/>
      <x:c r="I2141" s="1"/>
      <x:c r="J2141" s="1"/>
      <x:c r="K2141" s="1"/>
      <x:c r="L2141" s="1"/>
      <x:c r="M2141" s="1"/>
      <x:c r="N2141" s="1"/>
      <x:c r="O2141" s="1"/>
      <x:c r="P2141" s="1"/>
      <x:c r="Q2141" s="1"/>
      <x:c r="R2141" s="1"/>
      <x:c r="S2141" s="1"/>
      <x:c r="T2141" s="1"/>
      <x:c r="U2141" s="1"/>
      <x:c r="V2141" s="1"/>
      <x:c r="W2141" s="1"/>
      <x:c r="X2141" s="1"/>
      <x:c r="Y2141" s="1"/>
      <x:c r="Z2141" s="1"/>
    </x:row>
    <x:row r="2142">
      <x:c r="A2142" s="1"/>
      <x:c r="B2142" s="1"/>
      <x:c r="C2142" s="1"/>
      <x:c r="D2142" s="1"/>
      <x:c r="E2142" s="1"/>
      <x:c r="F2142" s="1"/>
      <x:c r="G2142" s="1"/>
      <x:c r="H2142" s="1"/>
      <x:c r="I2142" s="1"/>
      <x:c r="J2142" s="1"/>
      <x:c r="K2142" s="1"/>
      <x:c r="L2142" s="1"/>
      <x:c r="M2142" s="1"/>
      <x:c r="N2142" s="1"/>
      <x:c r="O2142" s="1"/>
      <x:c r="P2142" s="1"/>
      <x:c r="Q2142" s="1"/>
      <x:c r="R2142" s="1"/>
      <x:c r="S2142" s="1"/>
      <x:c r="T2142" s="1"/>
      <x:c r="U2142" s="1"/>
      <x:c r="V2142" s="1"/>
      <x:c r="W2142" s="1"/>
      <x:c r="X2142" s="1"/>
      <x:c r="Y2142" s="1"/>
      <x:c r="Z2142" s="1"/>
    </x:row>
    <x:row r="2143">
      <x:c r="A2143" s="1"/>
      <x:c r="B2143" s="1"/>
      <x:c r="C2143" s="1"/>
      <x:c r="D2143" s="1"/>
      <x:c r="E2143" s="1"/>
      <x:c r="F2143" s="1"/>
      <x:c r="G2143" s="1"/>
      <x:c r="H2143" s="1"/>
      <x:c r="I2143" s="1"/>
      <x:c r="J2143" s="1"/>
      <x:c r="K2143" s="1"/>
      <x:c r="L2143" s="1"/>
      <x:c r="M2143" s="1"/>
      <x:c r="N2143" s="1"/>
      <x:c r="O2143" s="1"/>
      <x:c r="P2143" s="1"/>
      <x:c r="Q2143" s="1"/>
      <x:c r="R2143" s="1"/>
      <x:c r="S2143" s="1"/>
      <x:c r="T2143" s="1"/>
      <x:c r="U2143" s="1"/>
      <x:c r="V2143" s="1"/>
      <x:c r="W2143" s="1"/>
      <x:c r="X2143" s="1"/>
      <x:c r="Y2143" s="1"/>
      <x:c r="Z2143" s="1"/>
    </x:row>
    <x:row r="2144">
      <x:c r="A2144" s="1"/>
      <x:c r="B2144" s="1"/>
      <x:c r="C2144" s="1"/>
      <x:c r="D2144" s="1"/>
      <x:c r="E2144" s="1"/>
      <x:c r="F2144" s="1"/>
      <x:c r="G2144" s="1"/>
      <x:c r="H2144" s="1"/>
      <x:c r="I2144" s="1"/>
      <x:c r="J2144" s="1"/>
      <x:c r="K2144" s="1"/>
      <x:c r="L2144" s="1"/>
      <x:c r="M2144" s="1"/>
      <x:c r="N2144" s="1"/>
      <x:c r="O2144" s="1"/>
      <x:c r="P2144" s="1"/>
      <x:c r="Q2144" s="1"/>
      <x:c r="R2144" s="1"/>
      <x:c r="S2144" s="1"/>
      <x:c r="T2144" s="1"/>
      <x:c r="U2144" s="1"/>
      <x:c r="V2144" s="1"/>
      <x:c r="W2144" s="1"/>
      <x:c r="X2144" s="1"/>
      <x:c r="Y2144" s="1"/>
      <x:c r="Z2144" s="1"/>
    </x:row>
    <x:row r="2145">
      <x:c r="A2145" s="1"/>
      <x:c r="B2145" s="1"/>
      <x:c r="C2145" s="1"/>
      <x:c r="D2145" s="1"/>
      <x:c r="E2145" s="1"/>
      <x:c r="F2145" s="1"/>
      <x:c r="G2145" s="1"/>
      <x:c r="H2145" s="1"/>
      <x:c r="I2145" s="1"/>
      <x:c r="J2145" s="1"/>
      <x:c r="K2145" s="1"/>
      <x:c r="L2145" s="1"/>
      <x:c r="M2145" s="1"/>
      <x:c r="N2145" s="1"/>
      <x:c r="O2145" s="1"/>
      <x:c r="P2145" s="1"/>
      <x:c r="Q2145" s="1"/>
      <x:c r="R2145" s="1"/>
      <x:c r="S2145" s="1"/>
      <x:c r="T2145" s="1"/>
      <x:c r="U2145" s="1"/>
      <x:c r="V2145" s="1"/>
      <x:c r="W2145" s="1"/>
      <x:c r="X2145" s="1"/>
      <x:c r="Y2145" s="1"/>
      <x:c r="Z2145" s="1"/>
    </x:row>
    <x:row r="2146">
      <x:c r="A2146" s="1"/>
      <x:c r="B2146" s="1"/>
      <x:c r="C2146" s="1"/>
      <x:c r="D2146" s="1"/>
      <x:c r="E2146" s="1"/>
      <x:c r="F2146" s="1"/>
      <x:c r="G2146" s="1"/>
      <x:c r="H2146" s="1"/>
      <x:c r="I2146" s="1"/>
      <x:c r="J2146" s="1"/>
      <x:c r="K2146" s="1"/>
      <x:c r="L2146" s="1"/>
      <x:c r="M2146" s="1"/>
      <x:c r="N2146" s="1"/>
      <x:c r="O2146" s="1"/>
      <x:c r="P2146" s="1"/>
      <x:c r="Q2146" s="1"/>
      <x:c r="R2146" s="1"/>
      <x:c r="S2146" s="1"/>
      <x:c r="T2146" s="1"/>
      <x:c r="U2146" s="1"/>
      <x:c r="V2146" s="1"/>
      <x:c r="W2146" s="1"/>
      <x:c r="X2146" s="1"/>
      <x:c r="Y2146" s="1"/>
      <x:c r="Z2146" s="1"/>
    </x:row>
    <x:row r="2147">
      <x:c r="A2147" s="1"/>
      <x:c r="B2147" s="1"/>
      <x:c r="C2147" s="1"/>
      <x:c r="D2147" s="1"/>
      <x:c r="E2147" s="1"/>
      <x:c r="F2147" s="1"/>
      <x:c r="G2147" s="1"/>
      <x:c r="H2147" s="1"/>
      <x:c r="I2147" s="1"/>
      <x:c r="J2147" s="1"/>
      <x:c r="K2147" s="1"/>
      <x:c r="L2147" s="1"/>
      <x:c r="M2147" s="1"/>
      <x:c r="N2147" s="1"/>
      <x:c r="O2147" s="1"/>
      <x:c r="P2147" s="1"/>
      <x:c r="Q2147" s="1"/>
      <x:c r="R2147" s="1"/>
      <x:c r="S2147" s="1"/>
      <x:c r="T2147" s="1"/>
      <x:c r="U2147" s="1"/>
      <x:c r="V2147" s="1"/>
      <x:c r="W2147" s="1"/>
      <x:c r="X2147" s="1"/>
      <x:c r="Y2147" s="1"/>
      <x:c r="Z2147" s="1"/>
    </x:row>
    <x:row r="2148">
      <x:c r="A2148" s="1"/>
      <x:c r="B2148" s="1"/>
      <x:c r="C2148" s="1"/>
      <x:c r="D2148" s="1"/>
      <x:c r="E2148" s="1"/>
      <x:c r="F2148" s="1"/>
      <x:c r="G2148" s="1"/>
      <x:c r="H2148" s="1"/>
      <x:c r="I2148" s="1"/>
      <x:c r="J2148" s="1"/>
      <x:c r="K2148" s="1"/>
      <x:c r="L2148" s="1"/>
      <x:c r="M2148" s="1"/>
      <x:c r="N2148" s="1"/>
      <x:c r="O2148" s="1"/>
      <x:c r="P2148" s="1"/>
      <x:c r="Q2148" s="1"/>
      <x:c r="R2148" s="1"/>
      <x:c r="S2148" s="1"/>
      <x:c r="T2148" s="1"/>
      <x:c r="U2148" s="1"/>
      <x:c r="V2148" s="1"/>
      <x:c r="W2148" s="1"/>
      <x:c r="X2148" s="1"/>
      <x:c r="Y2148" s="1"/>
      <x:c r="Z2148" s="1"/>
    </x:row>
    <x:row r="2149">
      <x:c r="A2149" s="1"/>
      <x:c r="B2149" s="1"/>
      <x:c r="C2149" s="1"/>
      <x:c r="D2149" s="1"/>
      <x:c r="E2149" s="1"/>
      <x:c r="F2149" s="1"/>
      <x:c r="G2149" s="1"/>
      <x:c r="H2149" s="1"/>
      <x:c r="I2149" s="1"/>
      <x:c r="J2149" s="1"/>
      <x:c r="K2149" s="1"/>
      <x:c r="L2149" s="1"/>
      <x:c r="M2149" s="1"/>
      <x:c r="N2149" s="1"/>
      <x:c r="O2149" s="1"/>
      <x:c r="P2149" s="1"/>
      <x:c r="Q2149" s="1"/>
      <x:c r="R2149" s="1"/>
      <x:c r="S2149" s="1"/>
      <x:c r="T2149" s="1"/>
      <x:c r="U2149" s="1"/>
      <x:c r="V2149" s="1"/>
      <x:c r="W2149" s="1"/>
      <x:c r="X2149" s="1"/>
      <x:c r="Y2149" s="1"/>
      <x:c r="Z2149" s="1"/>
    </x:row>
    <x:row r="2150">
      <x:c r="A2150" s="1"/>
      <x:c r="B2150" s="1"/>
      <x:c r="C2150" s="1"/>
      <x:c r="D2150" s="1"/>
      <x:c r="E2150" s="1"/>
      <x:c r="F2150" s="1"/>
      <x:c r="G2150" s="1"/>
      <x:c r="H2150" s="1"/>
      <x:c r="I2150" s="1"/>
      <x:c r="J2150" s="1"/>
      <x:c r="K2150" s="1"/>
      <x:c r="L2150" s="1"/>
      <x:c r="M2150" s="1"/>
      <x:c r="N2150" s="1"/>
      <x:c r="O2150" s="1"/>
      <x:c r="P2150" s="1"/>
      <x:c r="Q2150" s="1"/>
      <x:c r="R2150" s="1"/>
      <x:c r="S2150" s="1"/>
      <x:c r="T2150" s="1"/>
      <x:c r="U2150" s="1"/>
      <x:c r="V2150" s="1"/>
      <x:c r="W2150" s="1"/>
      <x:c r="X2150" s="1"/>
      <x:c r="Y2150" s="1"/>
      <x:c r="Z2150" s="1"/>
    </x:row>
    <x:row r="2151">
      <x:c r="A2151" s="1"/>
      <x:c r="B2151" s="1"/>
      <x:c r="C2151" s="1"/>
      <x:c r="D2151" s="1"/>
      <x:c r="E2151" s="1"/>
      <x:c r="F2151" s="1"/>
      <x:c r="G2151" s="1"/>
      <x:c r="H2151" s="1"/>
      <x:c r="I2151" s="1"/>
      <x:c r="J2151" s="1"/>
      <x:c r="K2151" s="1"/>
      <x:c r="L2151" s="1"/>
      <x:c r="M2151" s="1"/>
      <x:c r="N2151" s="1"/>
      <x:c r="O2151" s="1"/>
      <x:c r="P2151" s="1"/>
      <x:c r="Q2151" s="1"/>
      <x:c r="R2151" s="1"/>
      <x:c r="S2151" s="1"/>
      <x:c r="T2151" s="1"/>
      <x:c r="U2151" s="1"/>
      <x:c r="V2151" s="1"/>
      <x:c r="W2151" s="1"/>
      <x:c r="X2151" s="1"/>
      <x:c r="Y2151" s="1"/>
      <x:c r="Z2151" s="1"/>
    </x:row>
    <x:row r="2152">
      <x:c r="A2152" s="1"/>
      <x:c r="B2152" s="1"/>
      <x:c r="C2152" s="1"/>
      <x:c r="D2152" s="1"/>
      <x:c r="E2152" s="1"/>
      <x:c r="F2152" s="1"/>
      <x:c r="G2152" s="1"/>
      <x:c r="H2152" s="1"/>
      <x:c r="I2152" s="1"/>
      <x:c r="J2152" s="1"/>
      <x:c r="K2152" s="1"/>
      <x:c r="L2152" s="1"/>
      <x:c r="M2152" s="1"/>
      <x:c r="N2152" s="1"/>
      <x:c r="O2152" s="1"/>
      <x:c r="P2152" s="1"/>
      <x:c r="Q2152" s="1"/>
      <x:c r="R2152" s="1"/>
      <x:c r="S2152" s="1"/>
      <x:c r="T2152" s="1"/>
      <x:c r="U2152" s="1"/>
      <x:c r="V2152" s="1"/>
      <x:c r="W2152" s="1"/>
      <x:c r="X2152" s="1"/>
      <x:c r="Y2152" s="1"/>
      <x:c r="Z2152" s="1"/>
    </x:row>
    <x:row r="2153">
      <x:c r="A2153" s="1"/>
      <x:c r="B2153" s="1"/>
      <x:c r="C2153" s="1"/>
      <x:c r="D2153" s="1"/>
      <x:c r="E2153" s="1"/>
      <x:c r="F2153" s="1"/>
      <x:c r="G2153" s="1"/>
      <x:c r="H2153" s="1"/>
      <x:c r="I2153" s="1"/>
      <x:c r="J2153" s="1"/>
      <x:c r="K2153" s="1"/>
      <x:c r="L2153" s="1"/>
      <x:c r="M2153" s="1"/>
      <x:c r="N2153" s="1"/>
      <x:c r="O2153" s="1"/>
      <x:c r="P2153" s="1"/>
      <x:c r="Q2153" s="1"/>
      <x:c r="R2153" s="1"/>
      <x:c r="S2153" s="1"/>
      <x:c r="T2153" s="1"/>
      <x:c r="U2153" s="1"/>
      <x:c r="V2153" s="1"/>
      <x:c r="W2153" s="1"/>
      <x:c r="X2153" s="1"/>
      <x:c r="Y2153" s="1"/>
      <x:c r="Z2153" s="1"/>
    </x:row>
    <x:row r="2154">
      <x:c r="A2154" s="1"/>
      <x:c r="B2154" s="1"/>
      <x:c r="C2154" s="1"/>
      <x:c r="D2154" s="1"/>
      <x:c r="E2154" s="1"/>
      <x:c r="F2154" s="1"/>
      <x:c r="G2154" s="1"/>
      <x:c r="H2154" s="1"/>
      <x:c r="I2154" s="1"/>
      <x:c r="J2154" s="1"/>
      <x:c r="K2154" s="1"/>
      <x:c r="L2154" s="1"/>
      <x:c r="M2154" s="1"/>
      <x:c r="N2154" s="1"/>
      <x:c r="O2154" s="1"/>
      <x:c r="P2154" s="1"/>
      <x:c r="Q2154" s="1"/>
      <x:c r="R2154" s="1"/>
      <x:c r="S2154" s="1"/>
      <x:c r="T2154" s="1"/>
      <x:c r="U2154" s="1"/>
      <x:c r="V2154" s="1"/>
      <x:c r="W2154" s="1"/>
      <x:c r="X2154" s="1"/>
      <x:c r="Y2154" s="1"/>
      <x:c r="Z2154" s="1"/>
    </x:row>
    <x:row r="2155">
      <x:c r="A2155" s="1"/>
      <x:c r="B2155" s="1"/>
      <x:c r="C2155" s="1"/>
      <x:c r="D2155" s="1"/>
      <x:c r="E2155" s="1"/>
      <x:c r="F2155" s="1"/>
      <x:c r="G2155" s="1"/>
      <x:c r="H2155" s="1"/>
      <x:c r="I2155" s="1"/>
      <x:c r="J2155" s="1"/>
      <x:c r="K2155" s="1"/>
      <x:c r="L2155" s="1"/>
      <x:c r="M2155" s="1"/>
      <x:c r="N2155" s="1"/>
      <x:c r="O2155" s="1"/>
      <x:c r="P2155" s="1"/>
      <x:c r="Q2155" s="1"/>
      <x:c r="R2155" s="1"/>
      <x:c r="S2155" s="1"/>
      <x:c r="T2155" s="1"/>
      <x:c r="U2155" s="1"/>
      <x:c r="V2155" s="1"/>
      <x:c r="W2155" s="1"/>
      <x:c r="X2155" s="1"/>
      <x:c r="Y2155" s="1"/>
      <x:c r="Z2155" s="1"/>
    </x:row>
    <x:row r="2156">
      <x:c r="A2156" s="1"/>
      <x:c r="B2156" s="1"/>
      <x:c r="C2156" s="1"/>
      <x:c r="D2156" s="1"/>
      <x:c r="E2156" s="1"/>
      <x:c r="F2156" s="1"/>
      <x:c r="G2156" s="1"/>
      <x:c r="H2156" s="1"/>
      <x:c r="I2156" s="1"/>
      <x:c r="J2156" s="1"/>
      <x:c r="K2156" s="1"/>
      <x:c r="L2156" s="1"/>
      <x:c r="M2156" s="1"/>
      <x:c r="N2156" s="1"/>
      <x:c r="O2156" s="1"/>
      <x:c r="P2156" s="1"/>
      <x:c r="Q2156" s="1"/>
      <x:c r="R2156" s="1"/>
      <x:c r="S2156" s="1"/>
      <x:c r="T2156" s="1"/>
      <x:c r="U2156" s="1"/>
      <x:c r="V2156" s="1"/>
      <x:c r="W2156" s="1"/>
      <x:c r="X2156" s="1"/>
      <x:c r="Y2156" s="1"/>
      <x:c r="Z2156" s="1"/>
    </x:row>
    <x:row r="2157">
      <x:c r="A2157" s="1"/>
      <x:c r="B2157" s="1"/>
      <x:c r="C2157" s="1"/>
      <x:c r="D2157" s="1"/>
      <x:c r="E2157" s="1"/>
      <x:c r="F2157" s="1"/>
      <x:c r="G2157" s="1"/>
      <x:c r="H2157" s="1"/>
      <x:c r="I2157" s="1"/>
      <x:c r="J2157" s="1"/>
      <x:c r="K2157" s="1"/>
      <x:c r="L2157" s="1"/>
      <x:c r="M2157" s="1"/>
      <x:c r="N2157" s="1"/>
      <x:c r="O2157" s="1"/>
      <x:c r="P2157" s="1"/>
      <x:c r="Q2157" s="1"/>
      <x:c r="R2157" s="1"/>
      <x:c r="S2157" s="1"/>
      <x:c r="T2157" s="1"/>
      <x:c r="U2157" s="1"/>
      <x:c r="V2157" s="1"/>
      <x:c r="W2157" s="1"/>
      <x:c r="X2157" s="1"/>
      <x:c r="Y2157" s="1"/>
      <x:c r="Z2157" s="1"/>
    </x:row>
    <x:row r="2158">
      <x:c r="A2158" s="1"/>
      <x:c r="B2158" s="1"/>
      <x:c r="C2158" s="1"/>
      <x:c r="D2158" s="1"/>
      <x:c r="E2158" s="1"/>
      <x:c r="F2158" s="1"/>
      <x:c r="G2158" s="1"/>
      <x:c r="H2158" s="1"/>
      <x:c r="I2158" s="1"/>
      <x:c r="J2158" s="1"/>
      <x:c r="K2158" s="1"/>
      <x:c r="L2158" s="1"/>
      <x:c r="M2158" s="1"/>
      <x:c r="N2158" s="1"/>
      <x:c r="O2158" s="1"/>
      <x:c r="P2158" s="1"/>
      <x:c r="Q2158" s="1"/>
      <x:c r="R2158" s="1"/>
      <x:c r="S2158" s="1"/>
      <x:c r="T2158" s="1"/>
      <x:c r="U2158" s="1"/>
      <x:c r="V2158" s="1"/>
      <x:c r="W2158" s="1"/>
      <x:c r="X2158" s="1"/>
      <x:c r="Y2158" s="1"/>
      <x:c r="Z2158" s="1"/>
    </x:row>
    <x:row r="2159">
      <x:c r="A2159" s="1"/>
      <x:c r="B2159" s="1"/>
      <x:c r="C2159" s="1"/>
      <x:c r="D2159" s="1"/>
      <x:c r="E2159" s="1"/>
      <x:c r="F2159" s="1"/>
      <x:c r="G2159" s="1"/>
      <x:c r="H2159" s="1"/>
      <x:c r="I2159" s="1"/>
      <x:c r="J2159" s="1"/>
      <x:c r="K2159" s="1"/>
      <x:c r="L2159" s="1"/>
      <x:c r="M2159" s="1"/>
      <x:c r="N2159" s="1"/>
      <x:c r="O2159" s="1"/>
      <x:c r="P2159" s="1"/>
      <x:c r="Q2159" s="1"/>
      <x:c r="R2159" s="1"/>
      <x:c r="S2159" s="1"/>
      <x:c r="T2159" s="1"/>
      <x:c r="U2159" s="1"/>
      <x:c r="V2159" s="1"/>
      <x:c r="W2159" s="1"/>
      <x:c r="X2159" s="1"/>
      <x:c r="Y2159" s="1"/>
      <x:c r="Z2159" s="1"/>
    </x:row>
    <x:row r="2160">
      <x:c r="A2160" s="1"/>
      <x:c r="B2160" s="1"/>
      <x:c r="C2160" s="1"/>
      <x:c r="D2160" s="1"/>
      <x:c r="E2160" s="1"/>
      <x:c r="F2160" s="1"/>
      <x:c r="G2160" s="1"/>
      <x:c r="H2160" s="1"/>
      <x:c r="I2160" s="1"/>
      <x:c r="J2160" s="1"/>
      <x:c r="K2160" s="1"/>
      <x:c r="L2160" s="1"/>
      <x:c r="M2160" s="1"/>
      <x:c r="N2160" s="1"/>
      <x:c r="O2160" s="1"/>
      <x:c r="P2160" s="1"/>
      <x:c r="Q2160" s="1"/>
      <x:c r="R2160" s="1"/>
      <x:c r="S2160" s="1"/>
      <x:c r="T2160" s="1"/>
      <x:c r="U2160" s="1"/>
      <x:c r="V2160" s="1"/>
      <x:c r="W2160" s="1"/>
      <x:c r="X2160" s="1"/>
      <x:c r="Y2160" s="1"/>
      <x:c r="Z2160" s="1"/>
    </x:row>
    <x:row r="2161">
      <x:c r="A2161" s="1"/>
      <x:c r="B2161" s="1"/>
      <x:c r="C2161" s="1"/>
      <x:c r="D2161" s="1"/>
      <x:c r="E2161" s="1"/>
      <x:c r="F2161" s="1"/>
      <x:c r="G2161" s="1"/>
      <x:c r="H2161" s="1"/>
      <x:c r="I2161" s="1"/>
      <x:c r="J2161" s="1"/>
      <x:c r="K2161" s="1"/>
      <x:c r="L2161" s="1"/>
      <x:c r="M2161" s="1"/>
      <x:c r="N2161" s="1"/>
      <x:c r="O2161" s="1"/>
      <x:c r="P2161" s="1"/>
      <x:c r="Q2161" s="1"/>
      <x:c r="R2161" s="1"/>
      <x:c r="S2161" s="1"/>
      <x:c r="T2161" s="1"/>
      <x:c r="U2161" s="1"/>
      <x:c r="V2161" s="1"/>
      <x:c r="W2161" s="1"/>
      <x:c r="X2161" s="1"/>
      <x:c r="Y2161" s="1"/>
      <x:c r="Z2161" s="1"/>
    </x:row>
    <x:row r="2162">
      <x:c r="A2162" s="1"/>
      <x:c r="B2162" s="1"/>
      <x:c r="C2162" s="1"/>
      <x:c r="D2162" s="1"/>
      <x:c r="E2162" s="1"/>
      <x:c r="F2162" s="1"/>
      <x:c r="G2162" s="1"/>
      <x:c r="H2162" s="1"/>
      <x:c r="I2162" s="1"/>
      <x:c r="J2162" s="1"/>
      <x:c r="K2162" s="1"/>
      <x:c r="L2162" s="1"/>
      <x:c r="M2162" s="1"/>
      <x:c r="N2162" s="1"/>
      <x:c r="O2162" s="1"/>
      <x:c r="P2162" s="1"/>
      <x:c r="Q2162" s="1"/>
      <x:c r="R2162" s="1"/>
      <x:c r="S2162" s="1"/>
      <x:c r="T2162" s="1"/>
      <x:c r="U2162" s="1"/>
      <x:c r="V2162" s="1"/>
      <x:c r="W2162" s="1"/>
      <x:c r="X2162" s="1"/>
      <x:c r="Y2162" s="1"/>
      <x:c r="Z2162" s="1"/>
    </x:row>
    <x:row r="2163">
      <x:c r="A2163" s="1"/>
      <x:c r="B2163" s="1"/>
      <x:c r="C2163" s="1"/>
      <x:c r="D2163" s="1"/>
      <x:c r="E2163" s="1"/>
      <x:c r="F2163" s="1"/>
      <x:c r="G2163" s="1"/>
      <x:c r="H2163" s="1"/>
      <x:c r="I2163" s="1"/>
      <x:c r="J2163" s="1"/>
      <x:c r="K2163" s="1"/>
      <x:c r="L2163" s="1"/>
      <x:c r="M2163" s="1"/>
      <x:c r="N2163" s="1"/>
      <x:c r="O2163" s="1"/>
      <x:c r="P2163" s="1"/>
      <x:c r="Q2163" s="1"/>
      <x:c r="R2163" s="1"/>
      <x:c r="S2163" s="1"/>
      <x:c r="T2163" s="1"/>
      <x:c r="U2163" s="1"/>
      <x:c r="V2163" s="1"/>
      <x:c r="W2163" s="1"/>
      <x:c r="X2163" s="1"/>
      <x:c r="Y2163" s="1"/>
      <x:c r="Z2163" s="1"/>
    </x:row>
    <x:row r="2164">
      <x:c r="A2164" s="1"/>
      <x:c r="B2164" s="1"/>
      <x:c r="C2164" s="1"/>
      <x:c r="D2164" s="1"/>
      <x:c r="E2164" s="1"/>
      <x:c r="F2164" s="1"/>
      <x:c r="G2164" s="1"/>
      <x:c r="H2164" s="1"/>
      <x:c r="I2164" s="1"/>
      <x:c r="J2164" s="1"/>
      <x:c r="K2164" s="1"/>
      <x:c r="L2164" s="1"/>
      <x:c r="M2164" s="1"/>
      <x:c r="N2164" s="1"/>
      <x:c r="O2164" s="1"/>
      <x:c r="P2164" s="1"/>
      <x:c r="Q2164" s="1"/>
      <x:c r="R2164" s="1"/>
      <x:c r="S2164" s="1"/>
      <x:c r="T2164" s="1"/>
      <x:c r="U2164" s="1"/>
      <x:c r="V2164" s="1"/>
      <x:c r="W2164" s="1"/>
      <x:c r="X2164" s="1"/>
      <x:c r="Y2164" s="1"/>
      <x:c r="Z2164" s="1"/>
    </x:row>
    <x:row r="2165">
      <x:c r="A2165" s="1"/>
      <x:c r="B2165" s="1"/>
      <x:c r="C2165" s="1"/>
      <x:c r="D2165" s="1"/>
      <x:c r="E2165" s="1"/>
      <x:c r="F2165" s="1"/>
      <x:c r="G2165" s="1"/>
      <x:c r="H2165" s="1"/>
      <x:c r="I2165" s="1"/>
      <x:c r="J2165" s="1"/>
      <x:c r="K2165" s="1"/>
      <x:c r="L2165" s="1"/>
      <x:c r="M2165" s="1"/>
      <x:c r="N2165" s="1"/>
      <x:c r="O2165" s="1"/>
      <x:c r="P2165" s="1"/>
      <x:c r="Q2165" s="1"/>
      <x:c r="R2165" s="1"/>
      <x:c r="S2165" s="1"/>
      <x:c r="T2165" s="1"/>
      <x:c r="U2165" s="1"/>
      <x:c r="V2165" s="1"/>
      <x:c r="W2165" s="1"/>
      <x:c r="X2165" s="1"/>
      <x:c r="Y2165" s="1"/>
      <x:c r="Z2165" s="1"/>
    </x:row>
    <x:row r="2166">
      <x:c r="A2166" s="1"/>
      <x:c r="B2166" s="1"/>
      <x:c r="C2166" s="1"/>
      <x:c r="D2166" s="1"/>
      <x:c r="E2166" s="1"/>
      <x:c r="F2166" s="1"/>
      <x:c r="G2166" s="1"/>
      <x:c r="H2166" s="1"/>
      <x:c r="I2166" s="1"/>
      <x:c r="J2166" s="1"/>
      <x:c r="K2166" s="1"/>
      <x:c r="L2166" s="1"/>
      <x:c r="M2166" s="1"/>
      <x:c r="N2166" s="1"/>
      <x:c r="O2166" s="1"/>
      <x:c r="P2166" s="1"/>
      <x:c r="Q2166" s="1"/>
      <x:c r="R2166" s="1"/>
      <x:c r="S2166" s="1"/>
      <x:c r="T2166" s="1"/>
      <x:c r="U2166" s="1"/>
      <x:c r="V2166" s="1"/>
      <x:c r="W2166" s="1"/>
      <x:c r="X2166" s="1"/>
      <x:c r="Y2166" s="1"/>
      <x:c r="Z2166" s="1"/>
    </x:row>
    <x:row r="2167">
      <x:c r="A2167" s="1"/>
      <x:c r="B2167" s="1"/>
      <x:c r="C2167" s="1"/>
      <x:c r="D2167" s="1"/>
      <x:c r="E2167" s="1"/>
      <x:c r="F2167" s="1"/>
      <x:c r="G2167" s="1"/>
      <x:c r="H2167" s="1"/>
      <x:c r="I2167" s="1"/>
      <x:c r="J2167" s="1"/>
      <x:c r="K2167" s="1"/>
      <x:c r="L2167" s="1"/>
      <x:c r="M2167" s="1"/>
      <x:c r="N2167" s="1"/>
      <x:c r="O2167" s="1"/>
      <x:c r="P2167" s="1"/>
      <x:c r="Q2167" s="1"/>
      <x:c r="R2167" s="1"/>
      <x:c r="S2167" s="1"/>
      <x:c r="T2167" s="1"/>
      <x:c r="U2167" s="1"/>
      <x:c r="V2167" s="1"/>
      <x:c r="W2167" s="1"/>
      <x:c r="X2167" s="1"/>
      <x:c r="Y2167" s="1"/>
      <x:c r="Z2167" s="1"/>
    </x:row>
    <x:row r="2168">
      <x:c r="A2168" s="1"/>
      <x:c r="B2168" s="1"/>
      <x:c r="C2168" s="1"/>
      <x:c r="D2168" s="1"/>
      <x:c r="E2168" s="1"/>
      <x:c r="F2168" s="1"/>
      <x:c r="G2168" s="1"/>
      <x:c r="H2168" s="1"/>
      <x:c r="I2168" s="1"/>
      <x:c r="J2168" s="1"/>
      <x:c r="K2168" s="1"/>
      <x:c r="L2168" s="1"/>
      <x:c r="M2168" s="1"/>
      <x:c r="N2168" s="1"/>
      <x:c r="O2168" s="1"/>
      <x:c r="P2168" s="1"/>
      <x:c r="Q2168" s="1"/>
      <x:c r="R2168" s="1"/>
      <x:c r="S2168" s="1"/>
      <x:c r="T2168" s="1"/>
      <x:c r="U2168" s="1"/>
      <x:c r="V2168" s="1"/>
      <x:c r="W2168" s="1"/>
      <x:c r="X2168" s="1"/>
      <x:c r="Y2168" s="1"/>
      <x:c r="Z2168" s="1"/>
    </x:row>
    <x:row r="2169">
      <x:c r="A2169" s="1"/>
      <x:c r="B2169" s="1"/>
      <x:c r="C2169" s="1"/>
      <x:c r="D2169" s="1"/>
      <x:c r="E2169" s="1"/>
      <x:c r="F2169" s="1"/>
      <x:c r="G2169" s="1"/>
      <x:c r="H2169" s="1"/>
      <x:c r="I2169" s="1"/>
      <x:c r="J2169" s="1"/>
      <x:c r="K2169" s="1"/>
      <x:c r="L2169" s="1"/>
      <x:c r="M2169" s="1"/>
      <x:c r="N2169" s="1"/>
      <x:c r="O2169" s="1"/>
      <x:c r="P2169" s="1"/>
      <x:c r="Q2169" s="1"/>
      <x:c r="R2169" s="1"/>
      <x:c r="S2169" s="1"/>
      <x:c r="T2169" s="1"/>
      <x:c r="U2169" s="1"/>
      <x:c r="V2169" s="1"/>
      <x:c r="W2169" s="1"/>
      <x:c r="X2169" s="1"/>
      <x:c r="Y2169" s="1"/>
      <x:c r="Z2169" s="1"/>
    </x:row>
    <x:row r="2170">
      <x:c r="A2170" s="1"/>
      <x:c r="B2170" s="1"/>
      <x:c r="C2170" s="1"/>
      <x:c r="D2170" s="1"/>
      <x:c r="E2170" s="1"/>
      <x:c r="F2170" s="1"/>
      <x:c r="G2170" s="1"/>
      <x:c r="H2170" s="1"/>
      <x:c r="I2170" s="1"/>
      <x:c r="J2170" s="1"/>
      <x:c r="K2170" s="1"/>
      <x:c r="L2170" s="1"/>
      <x:c r="M2170" s="1"/>
      <x:c r="N2170" s="1"/>
      <x:c r="O2170" s="1"/>
      <x:c r="P2170" s="1"/>
      <x:c r="Q2170" s="1"/>
      <x:c r="R2170" s="1"/>
      <x:c r="S2170" s="1"/>
      <x:c r="T2170" s="1"/>
      <x:c r="U2170" s="1"/>
      <x:c r="V2170" s="1"/>
      <x:c r="W2170" s="1"/>
      <x:c r="X2170" s="1"/>
      <x:c r="Y2170" s="1"/>
      <x:c r="Z2170" s="1"/>
    </x:row>
    <x:row r="2171">
      <x:c r="A2171" s="1"/>
      <x:c r="B2171" s="1"/>
      <x:c r="C2171" s="1"/>
      <x:c r="D2171" s="1"/>
      <x:c r="E2171" s="1"/>
      <x:c r="F2171" s="1"/>
      <x:c r="G2171" s="1"/>
      <x:c r="H2171" s="1"/>
      <x:c r="I2171" s="1"/>
      <x:c r="J2171" s="1"/>
      <x:c r="K2171" s="1"/>
      <x:c r="L2171" s="1"/>
      <x:c r="M2171" s="1"/>
      <x:c r="N2171" s="1"/>
      <x:c r="O2171" s="1"/>
      <x:c r="P2171" s="1"/>
      <x:c r="Q2171" s="1"/>
      <x:c r="R2171" s="1"/>
      <x:c r="S2171" s="1"/>
      <x:c r="T2171" s="1"/>
      <x:c r="U2171" s="1"/>
      <x:c r="V2171" s="1"/>
      <x:c r="W2171" s="1"/>
      <x:c r="X2171" s="1"/>
      <x:c r="Y2171" s="1"/>
      <x:c r="Z2171" s="1"/>
    </x:row>
    <x:row r="2172">
      <x:c r="A2172" s="1"/>
      <x:c r="B2172" s="1"/>
      <x:c r="C2172" s="1"/>
      <x:c r="D2172" s="1"/>
      <x:c r="E2172" s="1"/>
      <x:c r="F2172" s="1"/>
      <x:c r="G2172" s="1"/>
      <x:c r="H2172" s="1"/>
      <x:c r="I2172" s="1"/>
      <x:c r="J2172" s="1"/>
      <x:c r="K2172" s="1"/>
      <x:c r="L2172" s="1"/>
      <x:c r="M2172" s="1"/>
      <x:c r="N2172" s="1"/>
      <x:c r="O2172" s="1"/>
      <x:c r="P2172" s="1"/>
      <x:c r="Q2172" s="1"/>
      <x:c r="R2172" s="1"/>
      <x:c r="S2172" s="1"/>
      <x:c r="T2172" s="1"/>
      <x:c r="U2172" s="1"/>
      <x:c r="V2172" s="1"/>
      <x:c r="W2172" s="1"/>
      <x:c r="X2172" s="1"/>
      <x:c r="Y2172" s="1"/>
      <x:c r="Z2172" s="1"/>
    </x:row>
    <x:row r="2173">
      <x:c r="A2173" s="1"/>
      <x:c r="B2173" s="1"/>
      <x:c r="C2173" s="1"/>
      <x:c r="D2173" s="1"/>
      <x:c r="E2173" s="1"/>
      <x:c r="F2173" s="1"/>
      <x:c r="G2173" s="1"/>
      <x:c r="H2173" s="1"/>
      <x:c r="I2173" s="1"/>
      <x:c r="J2173" s="1"/>
      <x:c r="K2173" s="1"/>
      <x:c r="L2173" s="1"/>
      <x:c r="M2173" s="1"/>
      <x:c r="N2173" s="1"/>
      <x:c r="O2173" s="1"/>
      <x:c r="P2173" s="1"/>
      <x:c r="Q2173" s="1"/>
      <x:c r="R2173" s="1"/>
      <x:c r="S2173" s="1"/>
      <x:c r="T2173" s="1"/>
      <x:c r="U2173" s="1"/>
      <x:c r="V2173" s="1"/>
      <x:c r="W2173" s="1"/>
      <x:c r="X2173" s="1"/>
      <x:c r="Y2173" s="1"/>
      <x:c r="Z2173" s="1"/>
    </x:row>
    <x:row r="2174">
      <x:c r="A2174" s="1"/>
      <x:c r="B2174" s="1"/>
      <x:c r="C2174" s="1"/>
      <x:c r="D2174" s="1"/>
      <x:c r="E2174" s="1"/>
      <x:c r="F2174" s="1"/>
      <x:c r="G2174" s="1"/>
      <x:c r="H2174" s="1"/>
      <x:c r="I2174" s="1"/>
      <x:c r="J2174" s="1"/>
      <x:c r="K2174" s="1"/>
      <x:c r="L2174" s="1"/>
      <x:c r="M2174" s="1"/>
      <x:c r="N2174" s="1"/>
      <x:c r="O2174" s="1"/>
      <x:c r="P2174" s="1"/>
      <x:c r="Q2174" s="1"/>
      <x:c r="R2174" s="1"/>
      <x:c r="S2174" s="1"/>
      <x:c r="T2174" s="1"/>
      <x:c r="U2174" s="1"/>
      <x:c r="V2174" s="1"/>
      <x:c r="W2174" s="1"/>
      <x:c r="X2174" s="1"/>
      <x:c r="Y2174" s="1"/>
      <x:c r="Z2174" s="1"/>
    </x:row>
    <x:row r="2175">
      <x:c r="A2175" s="1"/>
      <x:c r="B2175" s="1"/>
      <x:c r="C2175" s="1"/>
      <x:c r="D2175" s="1"/>
      <x:c r="E2175" s="1"/>
      <x:c r="F2175" s="1"/>
      <x:c r="G2175" s="1"/>
      <x:c r="H2175" s="1"/>
      <x:c r="I2175" s="1"/>
      <x:c r="J2175" s="1"/>
      <x:c r="K2175" s="1"/>
      <x:c r="L2175" s="1"/>
      <x:c r="M2175" s="1"/>
      <x:c r="N2175" s="1"/>
      <x:c r="O2175" s="1"/>
      <x:c r="P2175" s="1"/>
      <x:c r="Q2175" s="1"/>
      <x:c r="R2175" s="1"/>
      <x:c r="S2175" s="1"/>
      <x:c r="T2175" s="1"/>
      <x:c r="U2175" s="1"/>
      <x:c r="V2175" s="1"/>
      <x:c r="W2175" s="1"/>
      <x:c r="X2175" s="1"/>
      <x:c r="Y2175" s="1"/>
      <x:c r="Z2175" s="1"/>
    </x:row>
    <x:row r="2176">
      <x:c r="A2176" s="1"/>
      <x:c r="B2176" s="1"/>
      <x:c r="C2176" s="1"/>
      <x:c r="D2176" s="1"/>
      <x:c r="E2176" s="1"/>
      <x:c r="F2176" s="1"/>
      <x:c r="G2176" s="1"/>
      <x:c r="H2176" s="1"/>
      <x:c r="I2176" s="1"/>
      <x:c r="J2176" s="1"/>
      <x:c r="K2176" s="1"/>
      <x:c r="L2176" s="1"/>
      <x:c r="M2176" s="1"/>
      <x:c r="N2176" s="1"/>
      <x:c r="O2176" s="1"/>
      <x:c r="P2176" s="1"/>
      <x:c r="Q2176" s="1"/>
      <x:c r="R2176" s="1"/>
      <x:c r="S2176" s="1"/>
      <x:c r="T2176" s="1"/>
      <x:c r="U2176" s="1"/>
      <x:c r="V2176" s="1"/>
      <x:c r="W2176" s="1"/>
      <x:c r="X2176" s="1"/>
      <x:c r="Y2176" s="1"/>
      <x:c r="Z2176" s="1"/>
    </x:row>
    <x:row r="2177">
      <x:c r="A2177" s="1"/>
      <x:c r="B2177" s="1"/>
      <x:c r="C2177" s="1"/>
      <x:c r="D2177" s="1"/>
      <x:c r="E2177" s="1"/>
      <x:c r="F2177" s="1"/>
      <x:c r="G2177" s="1"/>
      <x:c r="H2177" s="1"/>
      <x:c r="I2177" s="1"/>
      <x:c r="J2177" s="1"/>
      <x:c r="K2177" s="1"/>
      <x:c r="L2177" s="1"/>
      <x:c r="M2177" s="1"/>
      <x:c r="N2177" s="1"/>
      <x:c r="O2177" s="1"/>
      <x:c r="P2177" s="1"/>
      <x:c r="Q2177" s="1"/>
      <x:c r="R2177" s="1"/>
      <x:c r="S2177" s="1"/>
      <x:c r="T2177" s="1"/>
      <x:c r="U2177" s="1"/>
      <x:c r="V2177" s="1"/>
      <x:c r="W2177" s="1"/>
      <x:c r="X2177" s="1"/>
      <x:c r="Y2177" s="1"/>
      <x:c r="Z2177" s="1"/>
    </x:row>
    <x:row r="2178">
      <x:c r="A2178" s="1"/>
      <x:c r="B2178" s="1"/>
      <x:c r="C2178" s="1"/>
      <x:c r="D2178" s="1"/>
      <x:c r="E2178" s="1"/>
      <x:c r="F2178" s="1"/>
      <x:c r="G2178" s="1"/>
      <x:c r="H2178" s="1"/>
      <x:c r="I2178" s="1"/>
      <x:c r="J2178" s="1"/>
      <x:c r="K2178" s="1"/>
      <x:c r="L2178" s="1"/>
      <x:c r="M2178" s="1"/>
      <x:c r="N2178" s="1"/>
      <x:c r="O2178" s="1"/>
      <x:c r="P2178" s="1"/>
      <x:c r="Q2178" s="1"/>
      <x:c r="R2178" s="1"/>
      <x:c r="S2178" s="1"/>
      <x:c r="T2178" s="1"/>
      <x:c r="U2178" s="1"/>
      <x:c r="V2178" s="1"/>
      <x:c r="W2178" s="1"/>
      <x:c r="X2178" s="1"/>
      <x:c r="Y2178" s="1"/>
      <x:c r="Z2178" s="1"/>
    </x:row>
    <x:row r="2179">
      <x:c r="A2179" s="1"/>
      <x:c r="B2179" s="1"/>
      <x:c r="C2179" s="1"/>
      <x:c r="D2179" s="1"/>
      <x:c r="E2179" s="1"/>
      <x:c r="F2179" s="1"/>
      <x:c r="G2179" s="1"/>
      <x:c r="H2179" s="1"/>
      <x:c r="I2179" s="1"/>
      <x:c r="J2179" s="1"/>
      <x:c r="K2179" s="1"/>
      <x:c r="L2179" s="1"/>
      <x:c r="M2179" s="1"/>
      <x:c r="N2179" s="1"/>
      <x:c r="O2179" s="1"/>
      <x:c r="P2179" s="1"/>
      <x:c r="Q2179" s="1"/>
      <x:c r="R2179" s="1"/>
      <x:c r="S2179" s="1"/>
      <x:c r="T2179" s="1"/>
      <x:c r="U2179" s="1"/>
      <x:c r="V2179" s="1"/>
      <x:c r="W2179" s="1"/>
      <x:c r="X2179" s="1"/>
      <x:c r="Y2179" s="1"/>
      <x:c r="Z2179" s="1"/>
    </x:row>
    <x:row r="2180">
      <x:c r="A2180" s="1"/>
      <x:c r="B2180" s="1"/>
      <x:c r="C2180" s="1"/>
      <x:c r="D2180" s="1"/>
      <x:c r="E2180" s="1"/>
      <x:c r="F2180" s="1"/>
      <x:c r="G2180" s="1"/>
      <x:c r="H2180" s="1"/>
      <x:c r="I2180" s="1"/>
      <x:c r="J2180" s="1"/>
      <x:c r="K2180" s="1"/>
      <x:c r="L2180" s="1"/>
      <x:c r="M2180" s="1"/>
      <x:c r="N2180" s="1"/>
      <x:c r="O2180" s="1"/>
      <x:c r="P2180" s="1"/>
      <x:c r="Q2180" s="1"/>
      <x:c r="R2180" s="1"/>
      <x:c r="S2180" s="1"/>
      <x:c r="T2180" s="1"/>
      <x:c r="U2180" s="1"/>
      <x:c r="V2180" s="1"/>
      <x:c r="W2180" s="1"/>
      <x:c r="X2180" s="1"/>
      <x:c r="Y2180" s="1"/>
      <x:c r="Z2180" s="1"/>
    </x:row>
    <x:row r="2181">
      <x:c r="A2181" s="1"/>
      <x:c r="B2181" s="1"/>
      <x:c r="C2181" s="1"/>
      <x:c r="D2181" s="1"/>
      <x:c r="E2181" s="1"/>
      <x:c r="F2181" s="1"/>
      <x:c r="G2181" s="1"/>
      <x:c r="H2181" s="1"/>
      <x:c r="I2181" s="1"/>
      <x:c r="J2181" s="1"/>
      <x:c r="K2181" s="1"/>
      <x:c r="L2181" s="1"/>
      <x:c r="M2181" s="1"/>
      <x:c r="N2181" s="1"/>
      <x:c r="O2181" s="1"/>
      <x:c r="P2181" s="1"/>
      <x:c r="Q2181" s="1"/>
      <x:c r="R2181" s="1"/>
      <x:c r="S2181" s="1"/>
      <x:c r="T2181" s="1"/>
      <x:c r="U2181" s="1"/>
      <x:c r="V2181" s="1"/>
      <x:c r="W2181" s="1"/>
      <x:c r="X2181" s="1"/>
      <x:c r="Y2181" s="1"/>
      <x:c r="Z2181" s="1"/>
    </x:row>
    <x:row r="2182">
      <x:c r="A2182" s="1"/>
      <x:c r="B2182" s="1"/>
      <x:c r="C2182" s="1"/>
      <x:c r="D2182" s="1"/>
      <x:c r="E2182" s="1"/>
      <x:c r="F2182" s="1"/>
      <x:c r="G2182" s="1"/>
      <x:c r="H2182" s="1"/>
      <x:c r="I2182" s="1"/>
      <x:c r="J2182" s="1"/>
      <x:c r="K2182" s="1"/>
      <x:c r="L2182" s="1"/>
      <x:c r="M2182" s="1"/>
      <x:c r="N2182" s="1"/>
      <x:c r="O2182" s="1"/>
      <x:c r="P2182" s="1"/>
      <x:c r="Q2182" s="1"/>
      <x:c r="R2182" s="1"/>
      <x:c r="S2182" s="1"/>
      <x:c r="T2182" s="1"/>
      <x:c r="U2182" s="1"/>
      <x:c r="V2182" s="1"/>
      <x:c r="W2182" s="1"/>
      <x:c r="X2182" s="1"/>
      <x:c r="Y2182" s="1"/>
      <x:c r="Z2182" s="1"/>
    </x:row>
    <x:row r="2183">
      <x:c r="A2183" s="1"/>
      <x:c r="B2183" s="1"/>
      <x:c r="C2183" s="1"/>
      <x:c r="D2183" s="1"/>
      <x:c r="E2183" s="1"/>
      <x:c r="F2183" s="1"/>
      <x:c r="G2183" s="1"/>
      <x:c r="H2183" s="1"/>
      <x:c r="I2183" s="1"/>
      <x:c r="J2183" s="1"/>
      <x:c r="K2183" s="1"/>
      <x:c r="L2183" s="1"/>
      <x:c r="M2183" s="1"/>
      <x:c r="N2183" s="1"/>
      <x:c r="O2183" s="1"/>
      <x:c r="P2183" s="1"/>
      <x:c r="Q2183" s="1"/>
      <x:c r="R2183" s="1"/>
      <x:c r="S2183" s="1"/>
      <x:c r="T2183" s="1"/>
      <x:c r="U2183" s="1"/>
      <x:c r="V2183" s="1"/>
      <x:c r="W2183" s="1"/>
      <x:c r="X2183" s="1"/>
      <x:c r="Y2183" s="1"/>
      <x:c r="Z2183" s="1"/>
    </x:row>
    <x:row r="2184">
      <x:c r="A2184" s="1"/>
      <x:c r="B2184" s="1"/>
      <x:c r="C2184" s="1"/>
      <x:c r="D2184" s="1"/>
      <x:c r="E2184" s="1"/>
      <x:c r="F2184" s="1"/>
      <x:c r="G2184" s="1"/>
      <x:c r="H2184" s="1"/>
      <x:c r="I2184" s="1"/>
      <x:c r="J2184" s="1"/>
      <x:c r="K2184" s="1"/>
      <x:c r="L2184" s="1"/>
      <x:c r="M2184" s="1"/>
      <x:c r="N2184" s="1"/>
      <x:c r="O2184" s="1"/>
      <x:c r="P2184" s="1"/>
      <x:c r="Q2184" s="1"/>
      <x:c r="R2184" s="1"/>
      <x:c r="S2184" s="1"/>
      <x:c r="T2184" s="1"/>
      <x:c r="U2184" s="1"/>
      <x:c r="V2184" s="1"/>
      <x:c r="W2184" s="1"/>
      <x:c r="X2184" s="1"/>
      <x:c r="Y2184" s="1"/>
      <x:c r="Z2184" s="1"/>
    </x:row>
    <x:row r="2185">
      <x:c r="A2185" s="1"/>
      <x:c r="B2185" s="1"/>
      <x:c r="C2185" s="1"/>
      <x:c r="D2185" s="1"/>
      <x:c r="E2185" s="1"/>
      <x:c r="F2185" s="1"/>
      <x:c r="G2185" s="1"/>
      <x:c r="H2185" s="1"/>
      <x:c r="I2185" s="1"/>
      <x:c r="J2185" s="1"/>
      <x:c r="K2185" s="1"/>
      <x:c r="L2185" s="1"/>
      <x:c r="M2185" s="1"/>
      <x:c r="N2185" s="1"/>
      <x:c r="O2185" s="1"/>
      <x:c r="P2185" s="1"/>
      <x:c r="Q2185" s="1"/>
      <x:c r="R2185" s="1"/>
      <x:c r="S2185" s="1"/>
      <x:c r="T2185" s="1"/>
      <x:c r="U2185" s="1"/>
      <x:c r="V2185" s="1"/>
      <x:c r="W2185" s="1"/>
      <x:c r="X2185" s="1"/>
      <x:c r="Y2185" s="1"/>
      <x:c r="Z2185" s="1"/>
    </x:row>
    <x:row r="2186">
      <x:c r="A2186" s="1"/>
      <x:c r="B2186" s="1"/>
      <x:c r="C2186" s="1"/>
      <x:c r="D2186" s="1"/>
      <x:c r="E2186" s="1"/>
      <x:c r="F2186" s="1"/>
      <x:c r="G2186" s="1"/>
      <x:c r="H2186" s="1"/>
      <x:c r="I2186" s="1"/>
      <x:c r="J2186" s="1"/>
      <x:c r="K2186" s="1"/>
      <x:c r="L2186" s="1"/>
      <x:c r="M2186" s="1"/>
      <x:c r="N2186" s="1"/>
      <x:c r="O2186" s="1"/>
      <x:c r="P2186" s="1"/>
      <x:c r="Q2186" s="1"/>
      <x:c r="R2186" s="1"/>
      <x:c r="S2186" s="1"/>
      <x:c r="T2186" s="1"/>
      <x:c r="U2186" s="1"/>
      <x:c r="V2186" s="1"/>
      <x:c r="W2186" s="1"/>
      <x:c r="X2186" s="1"/>
      <x:c r="Y2186" s="1"/>
      <x:c r="Z2186" s="1"/>
    </x:row>
    <x:row r="2187">
      <x:c r="A2187" s="1"/>
      <x:c r="B2187" s="1"/>
      <x:c r="C2187" s="1"/>
      <x:c r="D2187" s="1"/>
      <x:c r="E2187" s="1"/>
      <x:c r="F2187" s="1"/>
      <x:c r="G2187" s="1"/>
      <x:c r="H2187" s="1"/>
      <x:c r="I2187" s="1"/>
      <x:c r="J2187" s="1"/>
      <x:c r="K2187" s="1"/>
      <x:c r="L2187" s="1"/>
      <x:c r="M2187" s="1"/>
      <x:c r="N2187" s="1"/>
      <x:c r="O2187" s="1"/>
      <x:c r="P2187" s="1"/>
      <x:c r="Q2187" s="1"/>
      <x:c r="R2187" s="1"/>
      <x:c r="S2187" s="1"/>
      <x:c r="T2187" s="1"/>
      <x:c r="U2187" s="1"/>
      <x:c r="V2187" s="1"/>
      <x:c r="W2187" s="1"/>
      <x:c r="X2187" s="1"/>
      <x:c r="Y2187" s="1"/>
      <x:c r="Z2187" s="1"/>
    </x:row>
    <x:row r="2188">
      <x:c r="A2188" s="1"/>
      <x:c r="B2188" s="1"/>
      <x:c r="C2188" s="1"/>
      <x:c r="D2188" s="1"/>
      <x:c r="E2188" s="1"/>
      <x:c r="F2188" s="1"/>
      <x:c r="G2188" s="1"/>
      <x:c r="H2188" s="1"/>
      <x:c r="I2188" s="1"/>
      <x:c r="J2188" s="1"/>
      <x:c r="K2188" s="1"/>
      <x:c r="L2188" s="1"/>
      <x:c r="M2188" s="1"/>
      <x:c r="N2188" s="1"/>
      <x:c r="O2188" s="1"/>
      <x:c r="P2188" s="1"/>
      <x:c r="Q2188" s="1"/>
      <x:c r="R2188" s="1"/>
      <x:c r="S2188" s="1"/>
      <x:c r="T2188" s="1"/>
      <x:c r="U2188" s="1"/>
      <x:c r="V2188" s="1"/>
      <x:c r="W2188" s="1"/>
      <x:c r="X2188" s="1"/>
      <x:c r="Y2188" s="1"/>
      <x:c r="Z2188" s="1"/>
    </x:row>
    <x:row r="2189">
      <x:c r="A2189" s="1"/>
      <x:c r="B2189" s="1"/>
      <x:c r="C2189" s="1"/>
      <x:c r="D2189" s="1"/>
      <x:c r="E2189" s="1"/>
      <x:c r="F2189" s="1"/>
      <x:c r="G2189" s="1"/>
      <x:c r="H2189" s="1"/>
      <x:c r="I2189" s="1"/>
      <x:c r="J2189" s="1"/>
      <x:c r="K2189" s="1"/>
      <x:c r="L2189" s="1"/>
      <x:c r="M2189" s="1"/>
      <x:c r="N2189" s="1"/>
      <x:c r="O2189" s="1"/>
      <x:c r="P2189" s="1"/>
      <x:c r="Q2189" s="1"/>
      <x:c r="R2189" s="1"/>
      <x:c r="S2189" s="1"/>
      <x:c r="T2189" s="1"/>
      <x:c r="U2189" s="1"/>
      <x:c r="V2189" s="1"/>
      <x:c r="W2189" s="1"/>
      <x:c r="X2189" s="1"/>
      <x:c r="Y2189" s="1"/>
      <x:c r="Z2189" s="1"/>
    </x:row>
    <x:row r="2190">
      <x:c r="A2190" s="1"/>
      <x:c r="B2190" s="1"/>
      <x:c r="C2190" s="1"/>
      <x:c r="D2190" s="1"/>
      <x:c r="E2190" s="1"/>
      <x:c r="F2190" s="1"/>
      <x:c r="G2190" s="1"/>
      <x:c r="H2190" s="1"/>
      <x:c r="I2190" s="1"/>
      <x:c r="J2190" s="1"/>
      <x:c r="K2190" s="1"/>
      <x:c r="L2190" s="1"/>
      <x:c r="M2190" s="1"/>
      <x:c r="N2190" s="1"/>
      <x:c r="O2190" s="1"/>
      <x:c r="P2190" s="1"/>
      <x:c r="Q2190" s="1"/>
      <x:c r="R2190" s="1"/>
      <x:c r="S2190" s="1"/>
      <x:c r="T2190" s="1"/>
      <x:c r="U2190" s="1"/>
      <x:c r="V2190" s="1"/>
      <x:c r="W2190" s="1"/>
      <x:c r="X2190" s="1"/>
      <x:c r="Y2190" s="1"/>
      <x:c r="Z2190" s="1"/>
    </x:row>
    <x:row r="2191">
      <x:c r="A2191" s="1"/>
      <x:c r="B2191" s="1"/>
      <x:c r="C2191" s="1"/>
      <x:c r="D2191" s="1"/>
      <x:c r="E2191" s="1"/>
      <x:c r="F2191" s="1"/>
      <x:c r="G2191" s="1"/>
      <x:c r="H2191" s="1"/>
      <x:c r="I2191" s="1"/>
      <x:c r="J2191" s="1"/>
      <x:c r="K2191" s="1"/>
      <x:c r="L2191" s="1"/>
      <x:c r="M2191" s="1"/>
      <x:c r="N2191" s="1"/>
      <x:c r="O2191" s="1"/>
      <x:c r="P2191" s="1"/>
      <x:c r="Q2191" s="1"/>
      <x:c r="R2191" s="1"/>
      <x:c r="S2191" s="1"/>
      <x:c r="T2191" s="1"/>
      <x:c r="U2191" s="1"/>
      <x:c r="V2191" s="1"/>
      <x:c r="W2191" s="1"/>
      <x:c r="X2191" s="1"/>
      <x:c r="Y2191" s="1"/>
      <x:c r="Z2191" s="1"/>
    </x:row>
    <x:row r="2192">
      <x:c r="A2192" s="1"/>
      <x:c r="B2192" s="1"/>
      <x:c r="C2192" s="1"/>
      <x:c r="D2192" s="1"/>
      <x:c r="E2192" s="1"/>
      <x:c r="F2192" s="1"/>
      <x:c r="G2192" s="1"/>
      <x:c r="H2192" s="1"/>
      <x:c r="I2192" s="1"/>
      <x:c r="J2192" s="1"/>
      <x:c r="K2192" s="1"/>
      <x:c r="L2192" s="1"/>
      <x:c r="M2192" s="1"/>
      <x:c r="N2192" s="1"/>
      <x:c r="O2192" s="1"/>
      <x:c r="P2192" s="1"/>
      <x:c r="Q2192" s="1"/>
      <x:c r="R2192" s="1"/>
      <x:c r="S2192" s="1"/>
      <x:c r="T2192" s="1"/>
      <x:c r="U2192" s="1"/>
      <x:c r="V2192" s="1"/>
      <x:c r="W2192" s="1"/>
      <x:c r="X2192" s="1"/>
      <x:c r="Y2192" s="1"/>
      <x:c r="Z2192" s="1"/>
    </x:row>
    <x:row r="2193">
      <x:c r="A2193" s="1"/>
      <x:c r="B2193" s="1"/>
      <x:c r="C2193" s="1"/>
      <x:c r="D2193" s="1"/>
      <x:c r="E2193" s="1"/>
      <x:c r="F2193" s="1"/>
      <x:c r="G2193" s="1"/>
      <x:c r="H2193" s="1"/>
      <x:c r="I2193" s="1"/>
      <x:c r="J2193" s="1"/>
      <x:c r="K2193" s="1"/>
      <x:c r="L2193" s="1"/>
      <x:c r="M2193" s="1"/>
      <x:c r="N2193" s="1"/>
      <x:c r="O2193" s="1"/>
      <x:c r="P2193" s="1"/>
      <x:c r="Q2193" s="1"/>
      <x:c r="R2193" s="1"/>
      <x:c r="S2193" s="1"/>
      <x:c r="T2193" s="1"/>
      <x:c r="U2193" s="1"/>
      <x:c r="V2193" s="1"/>
      <x:c r="W2193" s="1"/>
      <x:c r="X2193" s="1"/>
      <x:c r="Y2193" s="1"/>
      <x:c r="Z2193" s="1"/>
    </x:row>
    <x:row r="2194">
      <x:c r="A2194" s="1"/>
      <x:c r="B2194" s="1"/>
      <x:c r="C2194" s="1"/>
      <x:c r="D2194" s="1"/>
      <x:c r="E2194" s="1"/>
      <x:c r="F2194" s="1"/>
      <x:c r="G2194" s="1"/>
      <x:c r="H2194" s="1"/>
      <x:c r="I2194" s="1"/>
      <x:c r="J2194" s="1"/>
      <x:c r="K2194" s="1"/>
      <x:c r="L2194" s="1"/>
      <x:c r="M2194" s="1"/>
      <x:c r="N2194" s="1"/>
      <x:c r="O2194" s="1"/>
      <x:c r="P2194" s="1"/>
      <x:c r="Q2194" s="1"/>
      <x:c r="R2194" s="1"/>
      <x:c r="S2194" s="1"/>
      <x:c r="T2194" s="1"/>
      <x:c r="U2194" s="1"/>
      <x:c r="V2194" s="1"/>
      <x:c r="W2194" s="1"/>
      <x:c r="X2194" s="1"/>
      <x:c r="Y2194" s="1"/>
      <x:c r="Z2194" s="1"/>
    </x:row>
    <x:row r="2195">
      <x:c r="A2195" s="1"/>
      <x:c r="B2195" s="1"/>
      <x:c r="C2195" s="1"/>
      <x:c r="D2195" s="1"/>
      <x:c r="E2195" s="1"/>
      <x:c r="F2195" s="1"/>
      <x:c r="G2195" s="1"/>
      <x:c r="H2195" s="1"/>
      <x:c r="I2195" s="1"/>
      <x:c r="J2195" s="1"/>
      <x:c r="K2195" s="1"/>
      <x:c r="L2195" s="1"/>
      <x:c r="M2195" s="1"/>
      <x:c r="N2195" s="1"/>
      <x:c r="O2195" s="1"/>
      <x:c r="P2195" s="1"/>
      <x:c r="Q2195" s="1"/>
      <x:c r="R2195" s="1"/>
      <x:c r="S2195" s="1"/>
      <x:c r="T2195" s="1"/>
      <x:c r="U2195" s="1"/>
      <x:c r="V2195" s="1"/>
      <x:c r="W2195" s="1"/>
      <x:c r="X2195" s="1"/>
      <x:c r="Y2195" s="1"/>
      <x:c r="Z2195" s="1"/>
    </x:row>
    <x:row r="2196">
      <x:c r="A2196" s="1"/>
      <x:c r="B2196" s="1"/>
      <x:c r="C2196" s="1"/>
      <x:c r="D2196" s="1"/>
      <x:c r="E2196" s="1"/>
      <x:c r="F2196" s="1"/>
      <x:c r="G2196" s="1"/>
      <x:c r="H2196" s="1"/>
      <x:c r="I2196" s="1"/>
      <x:c r="J2196" s="1"/>
      <x:c r="K2196" s="1"/>
      <x:c r="L2196" s="1"/>
      <x:c r="M2196" s="1"/>
      <x:c r="N2196" s="1"/>
      <x:c r="O2196" s="1"/>
      <x:c r="P2196" s="1"/>
      <x:c r="Q2196" s="1"/>
      <x:c r="R2196" s="1"/>
      <x:c r="S2196" s="1"/>
      <x:c r="T2196" s="1"/>
      <x:c r="U2196" s="1"/>
      <x:c r="V2196" s="1"/>
      <x:c r="W2196" s="1"/>
      <x:c r="X2196" s="1"/>
      <x:c r="Y2196" s="1"/>
      <x:c r="Z2196" s="1"/>
    </x:row>
    <x:row r="2197">
      <x:c r="A2197" s="1"/>
      <x:c r="B2197" s="1"/>
      <x:c r="C2197" s="1"/>
      <x:c r="D2197" s="1"/>
      <x:c r="E2197" s="1"/>
      <x:c r="F2197" s="1"/>
      <x:c r="G2197" s="1"/>
      <x:c r="H2197" s="1"/>
      <x:c r="I2197" s="1"/>
      <x:c r="J2197" s="1"/>
      <x:c r="K2197" s="1"/>
      <x:c r="L2197" s="1"/>
      <x:c r="M2197" s="1"/>
      <x:c r="N2197" s="1"/>
      <x:c r="O2197" s="1"/>
      <x:c r="P2197" s="1"/>
      <x:c r="Q2197" s="1"/>
      <x:c r="R2197" s="1"/>
      <x:c r="S2197" s="1"/>
      <x:c r="T2197" s="1"/>
      <x:c r="U2197" s="1"/>
      <x:c r="V2197" s="1"/>
      <x:c r="W2197" s="1"/>
      <x:c r="X2197" s="1"/>
      <x:c r="Y2197" s="1"/>
      <x:c r="Z2197" s="1"/>
    </x:row>
    <x:row r="2198">
      <x:c r="A2198" s="1"/>
      <x:c r="B2198" s="1"/>
      <x:c r="C2198" s="1"/>
      <x:c r="D2198" s="1"/>
      <x:c r="E2198" s="1"/>
      <x:c r="F2198" s="1"/>
      <x:c r="G2198" s="1"/>
      <x:c r="H2198" s="1"/>
      <x:c r="I2198" s="1"/>
      <x:c r="J2198" s="1"/>
      <x:c r="K2198" s="1"/>
      <x:c r="L2198" s="1"/>
      <x:c r="M2198" s="1"/>
      <x:c r="N2198" s="1"/>
      <x:c r="O2198" s="1"/>
      <x:c r="P2198" s="1"/>
      <x:c r="Q2198" s="1"/>
      <x:c r="R2198" s="1"/>
      <x:c r="S2198" s="1"/>
      <x:c r="T2198" s="1"/>
      <x:c r="U2198" s="1"/>
      <x:c r="V2198" s="1"/>
      <x:c r="W2198" s="1"/>
      <x:c r="X2198" s="1"/>
      <x:c r="Y2198" s="1"/>
      <x:c r="Z2198" s="1"/>
    </x:row>
    <x:row r="2199">
      <x:c r="A2199" s="1"/>
      <x:c r="B2199" s="1"/>
      <x:c r="C2199" s="1"/>
      <x:c r="D2199" s="1"/>
      <x:c r="E2199" s="1"/>
      <x:c r="F2199" s="1"/>
      <x:c r="G2199" s="1"/>
      <x:c r="H2199" s="1"/>
      <x:c r="I2199" s="1"/>
      <x:c r="J2199" s="1"/>
      <x:c r="K2199" s="1"/>
      <x:c r="L2199" s="1"/>
      <x:c r="M2199" s="1"/>
      <x:c r="N2199" s="1"/>
      <x:c r="O2199" s="1"/>
      <x:c r="P2199" s="1"/>
      <x:c r="Q2199" s="1"/>
      <x:c r="R2199" s="1"/>
      <x:c r="S2199" s="1"/>
      <x:c r="T2199" s="1"/>
      <x:c r="U2199" s="1"/>
      <x:c r="V2199" s="1"/>
      <x:c r="W2199" s="1"/>
      <x:c r="X2199" s="1"/>
      <x:c r="Y2199" s="1"/>
      <x:c r="Z2199" s="1"/>
    </x:row>
    <x:row r="2200">
      <x:c r="A2200" s="1"/>
      <x:c r="B2200" s="1"/>
      <x:c r="C2200" s="1"/>
      <x:c r="D2200" s="1"/>
      <x:c r="E2200" s="1"/>
      <x:c r="F2200" s="1"/>
      <x:c r="G2200" s="1"/>
      <x:c r="H2200" s="1"/>
      <x:c r="I2200" s="1"/>
      <x:c r="J2200" s="1"/>
      <x:c r="K2200" s="1"/>
      <x:c r="L2200" s="1"/>
      <x:c r="M2200" s="1"/>
      <x:c r="N2200" s="1"/>
      <x:c r="O2200" s="1"/>
      <x:c r="P2200" s="1"/>
      <x:c r="Q2200" s="1"/>
      <x:c r="R2200" s="1"/>
      <x:c r="S2200" s="1"/>
      <x:c r="T2200" s="1"/>
      <x:c r="U2200" s="1"/>
      <x:c r="V2200" s="1"/>
      <x:c r="W2200" s="1"/>
      <x:c r="X2200" s="1"/>
      <x:c r="Y2200" s="1"/>
      <x:c r="Z2200" s="1"/>
    </x:row>
  </x:sheetData>
  <x:conditionalFormatting sqref="E5:E12">
    <x:cfRule type="dataBar" priority="1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{5BAF68C2-3DDB-CEE9-D912-D74D77F33377}</x14:id>
        </x:ext>
      </x:extLst>
    </x:cfRule>
  </x:conditionalFormatting>
  <x:conditionalFormatting sqref="F16:F27">
    <x:cfRule type="dataBar" priority="2">
      <x:dataBar>
        <x:cfvo type="min"/>
        <x:cfvo type="max"/>
        <x:color rgb="FFED7D31"/>
      </x:dataBar>
      <x:extLst>
        <x:ext xmlns:x14="http://schemas.microsoft.com/office/spreadsheetml/2009/9/main" uri="{B025F937-C7B1-47D3-B67F-A62EFF666E3E}">
          <x14:id>{F1C06692-B112-8FBF-B633-94A6E2462F88}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BAF68C2-3DDB-CEE9-D912-D74D77F33377}">
            <x14:dataBar gradient="1">
              <x14:cfvo type="min"/>
              <x14:cfvo type="max"/>
              <x14:fillColor rgb="FF2F75B5"/>
            </x14:dataBar>
          </x14:cfRule>
          <xm:sqref>E5:E12</xm:sqref>
        </x14:conditionalFormatting>
        <x14:conditionalFormatting>
          <x14:cfRule type="dataBar" priority="2" id="{F1C06692-B112-8FBF-B633-94A6E2462F88}">
            <x14:dataBar gradient="1">
              <x14:cfvo type="min"/>
              <x14:cfvo type="max"/>
              <x14:fillColor rgb="FFED7D31"/>
            </x14:dataBar>
          </x14:cfRule>
          <xm:sqref>F16:F27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5" hidden="0" customWidth="1"/>
    <x:col min="2" max="2" width="13" hidden="0" customWidth="1"/>
    <x:col min="3" max="3" width="15" hidden="0" customWidth="1"/>
    <x:col min="4" max="4" width="12" hidden="0" customWidth="1"/>
    <x:col min="5" max="5" width="29" hidden="0" customWidth="1"/>
    <x:col min="6" max="6" width="19" hidden="0" customWidth="1"/>
    <x:col min="7" max="7" width="10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7" hidden="0" customWidth="1"/>
    <x:col min="15" max="15" width="17" hidden="0" customWidth="1"/>
    <x:col min="16" max="16" width="17" hidden="0" customWidth="1"/>
    <x:col min="17" max="17" width="10" hidden="0" customWidth="1"/>
    <x:col min="18" max="18" width="10" hidden="0" customWidth="1"/>
  </x:cols>
  <x:sheetData>
    <x:row r="1" ht="32" customHeight="1">
      <x:c r="A1" s="39" t="str">
        <x:v>Order ID</x:v>
      </x:c>
      <x:c r="B1" s="40" t="str">
        <x:v>Date</x:v>
      </x:c>
      <x:c r="C1" s="40" t="str">
        <x:v>Customer ID</x:v>
      </x:c>
      <x:c r="D1" s="40" t="str">
        <x:v>Item Code</x:v>
      </x:c>
      <x:c r="E1" s="40" t="str">
        <x:v>Dish</x:v>
      </x:c>
      <x:c r="F1" s="40" t="str">
        <x:v>Category</x:v>
      </x:c>
      <x:c r="G1" s="40" t="str">
        <x:v>Quantity</x:v>
      </x:c>
      <x:c r="H1" s="40" t="str">
        <x:v>Unit Price (₦)</x:v>
      </x:c>
      <x:c r="I1" s="40" t="str">
        <x:v>Discount %</x:v>
      </x:c>
      <x:c r="J1" s="40" t="str">
        <x:v>Revenue (₦)</x:v>
      </x:c>
      <x:c r="K1" s="40" t="str">
        <x:v>Unit Cost (₦)</x:v>
      </x:c>
      <x:c r="L1" s="40" t="str">
        <x:v>Total Cost (₦)</x:v>
      </x:c>
      <x:c r="M1" s="40" t="str">
        <x:v>Gross Profit (₦)</x:v>
      </x:c>
      <x:c r="N1" s="40" t="str">
        <x:v>Order Channel</x:v>
      </x:c>
      <x:c r="O1" s="40" t="str">
        <x:v>Payment Method</x:v>
      </x:c>
      <x:c r="P1" s="40" t="str">
        <x:v>Meal Period</x:v>
      </x:c>
      <x:c r="Q1" s="40" t="str">
        <x:v>Hour</x:v>
      </x:c>
      <x:c r="R1" s="41" t="str">
        <x:v>Rating</x:v>
      </x:c>
      <x:c r="S1" s="1"/>
      <x:c r="T1" s="1"/>
      <x:c r="U1" s="1"/>
      <x:c r="V1" s="1"/>
      <x:c r="W1" s="1"/>
      <x:c r="X1" s="1"/>
      <x:c r="Y1" s="1"/>
      <x:c r="Z1" s="1"/>
    </x:row>
    <x:row r="2">
      <x:c r="A2" s="5" t="str">
        <x:v>ORD-00091</x:v>
      </x:c>
      <x:c r="B2" s="43" t="n">
        <x:v>46023</x:v>
      </x:c>
      <x:c r="C2" s="5" t="str">
        <x:v>CUST-0083</x:v>
      </x:c>
      <x:c r="D2" s="5" t="str">
        <x:v>FD003</x:v>
      </x:c>
      <x:c r="E2" s="5" t="str">
        <x:v>Fried Rice &amp; Chicken</x:v>
      </x:c>
      <x:c r="F2" s="5" t="str">
        <x:v>Rice Meals</x:v>
      </x:c>
      <x:c r="G2" s="44" t="n">
        <x:v>2</x:v>
      </x:c>
      <x:c r="H2" s="45" t="n">
        <x:v>3000</x:v>
      </x:c>
      <x:c r="I2" s="46" t="n">
        <x:v>0</x:v>
      </x:c>
      <x:c r="J2" s="47" t="n">
        <x:f>G2*H2*(1-I2)</x:f>
        <x:v>6000</x:v>
      </x:c>
      <x:c r="K2" s="47" t="n">
        <x:v>1580</x:v>
      </x:c>
      <x:c r="L2" s="47" t="n">
        <x:f>G2*K2</x:f>
        <x:v>3160</x:v>
      </x:c>
      <x:c r="M2" s="47" t="n">
        <x:f>J2-L2</x:f>
        <x:v>2840</x:v>
      </x:c>
      <x:c r="N2" s="5" t="str">
        <x:v>Takeaway</x:v>
      </x:c>
      <x:c r="O2" s="5" t="str">
        <x:v>POS</x:v>
      </x:c>
      <x:c r="P2" s="5" t="str">
        <x:v>Dinner</x:v>
      </x:c>
      <x:c r="Q2" s="48" t="n">
        <x:v>20</x:v>
      </x:c>
      <x:c r="R2" s="5"/>
      <x:c r="S2" s="1"/>
      <x:c r="T2" s="1"/>
      <x:c r="U2" s="1"/>
      <x:c r="V2" s="1"/>
      <x:c r="W2" s="1"/>
      <x:c r="X2" s="1"/>
      <x:c r="Y2" s="1"/>
      <x:c r="Z2" s="1"/>
    </x:row>
    <x:row r="3">
      <x:c r="A3" s="5" t="str">
        <x:v>ORD-00465</x:v>
      </x:c>
      <x:c r="B3" s="43" t="n">
        <x:v>46023</x:v>
      </x:c>
      <x:c r="C3" s="5" t="str">
        <x:v>CUST-0299</x:v>
      </x:c>
      <x:c r="D3" s="5" t="str">
        <x:v>FD002</x:v>
      </x:c>
      <x:c r="E3" s="5" t="str">
        <x:v>Jollof Rice &amp; Chicken</x:v>
      </x:c>
      <x:c r="F3" s="5" t="str">
        <x:v>Rice Meals</x:v>
      </x:c>
      <x:c r="G3" s="44" t="n">
        <x:v>1</x:v>
      </x:c>
      <x:c r="H3" s="45" t="n">
        <x:v>2800</x:v>
      </x:c>
      <x:c r="I3" s="46" t="n">
        <x:v>0</x:v>
      </x:c>
      <x:c r="J3" s="47" t="n">
        <x:f>G3*H3*(1-I3)</x:f>
        <x:v>2800</x:v>
      </x:c>
      <x:c r="K3" s="47" t="n">
        <x:v>1450</x:v>
      </x:c>
      <x:c r="L3" s="47" t="n">
        <x:f>G3*K3</x:f>
        <x:v>1450</x:v>
      </x:c>
      <x:c r="M3" s="47" t="n">
        <x:f>J3-L3</x:f>
        <x:v>1350</x:v>
      </x:c>
      <x:c r="N3" s="5" t="str">
        <x:v>Walk-in</x:v>
      </x:c>
      <x:c r="O3" s="5" t="str">
        <x:v>Cash</x:v>
      </x:c>
      <x:c r="P3" s="5" t="str">
        <x:v>Breakfast</x:v>
      </x:c>
      <x:c r="Q3" s="48" t="n">
        <x:v>9</x:v>
      </x:c>
      <x:c r="R3" s="5" t="n">
        <x:v>3</x:v>
      </x:c>
      <x:c r="S3" s="1"/>
      <x:c r="T3" s="1"/>
      <x:c r="U3" s="1"/>
      <x:c r="V3" s="1"/>
      <x:c r="W3" s="1"/>
      <x:c r="X3" s="1"/>
      <x:c r="Y3" s="1"/>
      <x:c r="Z3" s="1"/>
    </x:row>
    <x:row r="4">
      <x:c r="A4" s="5" t="str">
        <x:v>ORD-00525</x:v>
      </x:c>
      <x:c r="B4" s="43" t="n">
        <x:v>46023</x:v>
      </x:c>
      <x:c r="C4" s="5" t="str">
        <x:v>CUST-0359</x:v>
      </x:c>
      <x:c r="D4" s="5" t="str">
        <x:v>FD002</x:v>
      </x:c>
      <x:c r="E4" s="5" t="str">
        <x:v>Jollof Rice &amp; Chicken</x:v>
      </x:c>
      <x:c r="F4" s="5" t="str">
        <x:v>Rice Meals</x:v>
      </x:c>
      <x:c r="G4" s="44" t="n">
        <x:v>2</x:v>
      </x:c>
      <x:c r="H4" s="45" t="n">
        <x:v>2800</x:v>
      </x:c>
      <x:c r="I4" s="46" t="n">
        <x:v>0</x:v>
      </x:c>
      <x:c r="J4" s="47" t="n">
        <x:f>G4*H4*(1-I4)</x:f>
        <x:v>5600</x:v>
      </x:c>
      <x:c r="K4" s="47" t="n">
        <x:v>1450</x:v>
      </x:c>
      <x:c r="L4" s="47" t="n">
        <x:f>G4*K4</x:f>
        <x:v>2900</x:v>
      </x:c>
      <x:c r="M4" s="47" t="n">
        <x:f>J4-L4</x:f>
        <x:v>2700</x:v>
      </x:c>
      <x:c r="N4" s="5" t="str">
        <x:v>Takeaway</x:v>
      </x:c>
      <x:c r="O4" s="5" t="str">
        <x:v>Transfer</x:v>
      </x:c>
      <x:c r="P4" s="5" t="str">
        <x:v>Dinner</x:v>
      </x:c>
      <x:c r="Q4" s="48" t="n">
        <x:v>18</x:v>
      </x:c>
      <x:c r="R4" s="5" t="n">
        <x:v>4</x:v>
      </x:c>
      <x:c r="S4" s="1"/>
      <x:c r="T4" s="1"/>
      <x:c r="U4" s="1"/>
      <x:c r="V4" s="1"/>
      <x:c r="W4" s="1"/>
      <x:c r="X4" s="1"/>
      <x:c r="Y4" s="1"/>
      <x:c r="Z4" s="1"/>
    </x:row>
    <x:row r="5">
      <x:c r="A5" s="5" t="str">
        <x:v>ORD-00664</x:v>
      </x:c>
      <x:c r="B5" s="43" t="n">
        <x:v>46023</x:v>
      </x:c>
      <x:c r="C5" s="5" t="str">
        <x:v>CUST-0399</x:v>
      </x:c>
      <x:c r="D5" s="5" t="str">
        <x:v>FD003</x:v>
      </x:c>
      <x:c r="E5" s="5" t="str">
        <x:v>Fried Rice &amp; Chicken</x:v>
      </x:c>
      <x:c r="F5" s="5" t="str">
        <x:v>Rice Meals</x:v>
      </x:c>
      <x:c r="G5" s="44" t="n">
        <x:v>3</x:v>
      </x:c>
      <x:c r="H5" s="45" t="n">
        <x:v>3000</x:v>
      </x:c>
      <x:c r="I5" s="46" t="n">
        <x:v>0</x:v>
      </x:c>
      <x:c r="J5" s="47" t="n">
        <x:f>G5*H5*(1-I5)</x:f>
        <x:v>9000</x:v>
      </x:c>
      <x:c r="K5" s="47" t="n">
        <x:v>1580</x:v>
      </x:c>
      <x:c r="L5" s="47" t="n">
        <x:f>G5*K5</x:f>
        <x:v>4740</x:v>
      </x:c>
      <x:c r="M5" s="47" t="n">
        <x:f>J5-L5</x:f>
        <x:v>4260</x:v>
      </x:c>
      <x:c r="N5" s="5" t="str">
        <x:v>Walk-in</x:v>
      </x:c>
      <x:c r="O5" s="5" t="str">
        <x:v>POS</x:v>
      </x:c>
      <x:c r="P5" s="5" t="str">
        <x:v>Lunch</x:v>
      </x:c>
      <x:c r="Q5" s="48" t="n">
        <x:v>11</x:v>
      </x:c>
      <x:c r="R5" s="5" t="n">
        <x:v>5</x:v>
      </x:c>
      <x:c r="S5" s="1"/>
      <x:c r="T5" s="1"/>
      <x:c r="U5" s="1"/>
      <x:c r="V5" s="1"/>
      <x:c r="W5" s="1"/>
      <x:c r="X5" s="1"/>
      <x:c r="Y5" s="1"/>
      <x:c r="Z5" s="1"/>
    </x:row>
    <x:row r="6">
      <x:c r="A6" s="5" t="str">
        <x:v>ORD-00696</x:v>
      </x:c>
      <x:c r="B6" s="43" t="n">
        <x:v>46023</x:v>
      </x:c>
      <x:c r="C6" s="5" t="str">
        <x:v>CUST-0184</x:v>
      </x:c>
      <x:c r="D6" s="5" t="str">
        <x:v>FD011</x:v>
      </x:c>
      <x:c r="E6" s="5" t="str">
        <x:v>Bottled Water</x:v>
      </x:c>
      <x:c r="F6" s="5" t="str">
        <x:v>Beverages</x:v>
      </x:c>
      <x:c r="G6" s="44" t="n">
        <x:v>1</x:v>
      </x:c>
      <x:c r="H6" s="45" t="n">
        <x:v>300</x:v>
      </x:c>
      <x:c r="I6" s="46" t="n">
        <x:v>0</x:v>
      </x:c>
      <x:c r="J6" s="47" t="n">
        <x:f>G6*H6*(1-I6)</x:f>
        <x:v>300</x:v>
      </x:c>
      <x:c r="K6" s="47" t="n">
        <x:v>120</x:v>
      </x:c>
      <x:c r="L6" s="47" t="n">
        <x:f>G6*K6</x:f>
        <x:v>120</x:v>
      </x:c>
      <x:c r="M6" s="47" t="n">
        <x:f>J6-L6</x:f>
        <x:v>180</x:v>
      </x:c>
      <x:c r="N6" s="5" t="str">
        <x:v>Walk-in</x:v>
      </x:c>
      <x:c r="O6" s="5" t="str">
        <x:v>POS</x:v>
      </x:c>
      <x:c r="P6" s="5" t="str">
        <x:v>Dinner</x:v>
      </x:c>
      <x:c r="Q6" s="48" t="n">
        <x:v>20</x:v>
      </x:c>
      <x:c r="R6" s="5" t="n">
        <x:v>3</x:v>
      </x:c>
      <x:c r="S6" s="1"/>
      <x:c r="T6" s="1"/>
      <x:c r="U6" s="1"/>
      <x:c r="V6" s="1"/>
      <x:c r="W6" s="1"/>
      <x:c r="X6" s="1"/>
      <x:c r="Y6" s="1"/>
      <x:c r="Z6" s="1"/>
    </x:row>
    <x:row r="7">
      <x:c r="A7" s="5" t="str">
        <x:v>ORD-00793</x:v>
      </x:c>
      <x:c r="B7" s="43" t="n">
        <x:v>46023</x:v>
      </x:c>
      <x:c r="C7" s="5" t="str">
        <x:v>CUST-0382</x:v>
      </x:c>
      <x:c r="D7" s="5" t="str">
        <x:v>FD002</x:v>
      </x:c>
      <x:c r="E7" s="5" t="str">
        <x:v>Jollof Rice &amp; Chicken</x:v>
      </x:c>
      <x:c r="F7" s="5" t="str">
        <x:v>Rice Meals</x:v>
      </x:c>
      <x:c r="G7" s="44" t="n">
        <x:v>1</x:v>
      </x:c>
      <x:c r="H7" s="45" t="n">
        <x:v>2800</x:v>
      </x:c>
      <x:c r="I7" s="46" t="n">
        <x:v>0</x:v>
      </x:c>
      <x:c r="J7" s="47" t="n">
        <x:f>G7*H7*(1-I7)</x:f>
        <x:v>2800</x:v>
      </x:c>
      <x:c r="K7" s="47" t="n">
        <x:v>1450</x:v>
      </x:c>
      <x:c r="L7" s="47" t="n">
        <x:f>G7*K7</x:f>
        <x:v>1450</x:v>
      </x:c>
      <x:c r="M7" s="47" t="n">
        <x:f>J7-L7</x:f>
        <x:v>1350</x:v>
      </x:c>
      <x:c r="N7" s="5" t="str">
        <x:v>Walk-in</x:v>
      </x:c>
      <x:c r="O7" s="5" t="str">
        <x:v>Transfer</x:v>
      </x:c>
      <x:c r="P7" s="5" t="str">
        <x:v>Dinner</x:v>
      </x:c>
      <x:c r="Q7" s="48" t="n">
        <x:v>18</x:v>
      </x:c>
      <x:c r="R7" s="5"/>
      <x:c r="S7" s="1"/>
      <x:c r="T7" s="1"/>
      <x:c r="U7" s="1"/>
      <x:c r="V7" s="1"/>
      <x:c r="W7" s="1"/>
      <x:c r="X7" s="1"/>
      <x:c r="Y7" s="1"/>
      <x:c r="Z7" s="1"/>
    </x:row>
    <x:row r="8">
      <x:c r="A8" s="5" t="str">
        <x:v>ORD-01035</x:v>
      </x:c>
      <x:c r="B8" s="43" t="n">
        <x:v>46023</x:v>
      </x:c>
      <x:c r="C8" s="5" t="str">
        <x:v>CUST-0636</x:v>
      </x:c>
      <x:c r="D8" s="5" t="str">
        <x:v>FD001</x:v>
      </x:c>
      <x:c r="E8" s="5" t="str">
        <x:v>White Rice &amp; Stew</x:v>
      </x:c>
      <x:c r="F8" s="5" t="str">
        <x:v>Rice Meals</x:v>
      </x:c>
      <x:c r="G8" s="44" t="n">
        <x:v>1</x:v>
      </x:c>
      <x:c r="H8" s="45" t="n">
        <x:v>1800</x:v>
      </x:c>
      <x:c r="I8" s="46" t="n">
        <x:v>0</x:v>
      </x:c>
      <x:c r="J8" s="47" t="n">
        <x:f>G8*H8*(1-I8)</x:f>
        <x:v>1800</x:v>
      </x:c>
      <x:c r="K8" s="47" t="n">
        <x:v>820</x:v>
      </x:c>
      <x:c r="L8" s="47" t="n">
        <x:f>G8*K8</x:f>
        <x:v>820</x:v>
      </x:c>
      <x:c r="M8" s="47" t="n">
        <x:f>J8-L8</x:f>
        <x:v>980</x:v>
      </x:c>
      <x:c r="N8" s="5" t="str">
        <x:v>Walk-in</x:v>
      </x:c>
      <x:c r="O8" s="5" t="str">
        <x:v>POS</x:v>
      </x:c>
      <x:c r="P8" s="5" t="str">
        <x:v>Lunch</x:v>
      </x:c>
      <x:c r="Q8" s="48" t="n">
        <x:v>14</x:v>
      </x:c>
      <x:c r="R8" s="5" t="n">
        <x:v>5</x:v>
      </x:c>
      <x:c r="S8" s="1"/>
      <x:c r="T8" s="1"/>
      <x:c r="U8" s="1"/>
      <x:c r="V8" s="1"/>
      <x:c r="W8" s="1"/>
      <x:c r="X8" s="1"/>
      <x:c r="Y8" s="1"/>
      <x:c r="Z8" s="1"/>
    </x:row>
    <x:row r="9">
      <x:c r="A9" s="5" t="str">
        <x:v>ORD-01098</x:v>
      </x:c>
      <x:c r="B9" s="43" t="n">
        <x:v>46023</x:v>
      </x:c>
      <x:c r="C9" s="5" t="str">
        <x:v>CUST-0060</x:v>
      </x:c>
      <x:c r="D9" s="5" t="str">
        <x:v>FD008</x:v>
      </x:c>
      <x:c r="E9" s="5" t="str">
        <x:v>Pounded Yam &amp; Vegetable Soup</x:v>
      </x:c>
      <x:c r="F9" s="5" t="str">
        <x:v>Swallow</x:v>
      </x:c>
      <x:c r="G9" s="44" t="n">
        <x:v>2</x:v>
      </x:c>
      <x:c r="H9" s="45" t="n">
        <x:v>3200</x:v>
      </x:c>
      <x:c r="I9" s="46" t="n">
        <x:v>0</x:v>
      </x:c>
      <x:c r="J9" s="47" t="n">
        <x:f>G9*H9*(1-I9)</x:f>
        <x:v>6400</x:v>
      </x:c>
      <x:c r="K9" s="47" t="n">
        <x:v>1710</x:v>
      </x:c>
      <x:c r="L9" s="47" t="n">
        <x:f>G9*K9</x:f>
        <x:v>3420</x:v>
      </x:c>
      <x:c r="M9" s="47" t="n">
        <x:f>J9-L9</x:f>
        <x:v>2980</x:v>
      </x:c>
      <x:c r="N9" s="5" t="str">
        <x:v>Walk-in</x:v>
      </x:c>
      <x:c r="O9" s="5" t="str">
        <x:v>Transfer</x:v>
      </x:c>
      <x:c r="P9" s="5" t="str">
        <x:v>Dinner</x:v>
      </x:c>
      <x:c r="Q9" s="48" t="n">
        <x:v>20</x:v>
      </x:c>
      <x:c r="R9" s="5"/>
      <x:c r="S9" s="1"/>
      <x:c r="T9" s="1"/>
      <x:c r="U9" s="1"/>
      <x:c r="V9" s="1"/>
      <x:c r="W9" s="1"/>
      <x:c r="X9" s="1"/>
      <x:c r="Y9" s="1"/>
      <x:c r="Z9" s="1"/>
    </x:row>
    <x:row r="10">
      <x:c r="A10" s="5" t="str">
        <x:v>ORD-01118</x:v>
      </x:c>
      <x:c r="B10" s="43" t="n">
        <x:v>46023</x:v>
      </x:c>
      <x:c r="C10" s="5" t="str">
        <x:v>CUST-0567</x:v>
      </x:c>
      <x:c r="D10" s="5" t="str">
        <x:v>FD003</x:v>
      </x:c>
      <x:c r="E10" s="5" t="str">
        <x:v>Fried Rice &amp; Chicken</x:v>
      </x:c>
      <x:c r="F10" s="5" t="str">
        <x:v>Rice Meals</x:v>
      </x:c>
      <x:c r="G10" s="44" t="n">
        <x:v>2</x:v>
      </x:c>
      <x:c r="H10" s="45" t="n">
        <x:v>3000</x:v>
      </x:c>
      <x:c r="I10" s="46" t="n">
        <x:v>0</x:v>
      </x:c>
      <x:c r="J10" s="47" t="n">
        <x:f>G10*H10*(1-I10)</x:f>
        <x:v>6000</x:v>
      </x:c>
      <x:c r="K10" s="47" t="n">
        <x:v>1580</x:v>
      </x:c>
      <x:c r="L10" s="47" t="n">
        <x:f>G10*K10</x:f>
        <x:v>3160</x:v>
      </x:c>
      <x:c r="M10" s="47" t="n">
        <x:f>J10-L10</x:f>
        <x:v>2840</x:v>
      </x:c>
      <x:c r="N10" s="5" t="str">
        <x:v>Walk-in</x:v>
      </x:c>
      <x:c r="O10" s="5" t="str">
        <x:v>Transfer</x:v>
      </x:c>
      <x:c r="P10" s="5" t="str">
        <x:v>Lunch</x:v>
      </x:c>
      <x:c r="Q10" s="48" t="n">
        <x:v>13</x:v>
      </x:c>
      <x:c r="R10" s="5" t="n">
        <x:v>4</x:v>
      </x:c>
      <x:c r="S10" s="1"/>
      <x:c r="T10" s="1"/>
      <x:c r="U10" s="1"/>
      <x:c r="V10" s="1"/>
      <x:c r="W10" s="1"/>
      <x:c r="X10" s="1"/>
      <x:c r="Y10" s="1"/>
      <x:c r="Z10" s="1"/>
    </x:row>
    <x:row r="11">
      <x:c r="A11" s="5" t="str">
        <x:v>ORD-01419</x:v>
      </x:c>
      <x:c r="B11" s="43" t="n">
        <x:v>46023</x:v>
      </x:c>
      <x:c r="C11" s="5" t="str">
        <x:v>CUST-0551</x:v>
      </x:c>
      <x:c r="D11" s="5" t="str">
        <x:v>FD001</x:v>
      </x:c>
      <x:c r="E11" s="5" t="str">
        <x:v>White Rice &amp; Stew</x:v>
      </x:c>
      <x:c r="F11" s="5" t="str">
        <x:v>Rice Meals</x:v>
      </x:c>
      <x:c r="G11" s="44" t="n">
        <x:v>2</x:v>
      </x:c>
      <x:c r="H11" s="45" t="n">
        <x:v>1800</x:v>
      </x:c>
      <x:c r="I11" s="46" t="n">
        <x:v>0</x:v>
      </x:c>
      <x:c r="J11" s="47" t="n">
        <x:f>G11*H11*(1-I11)</x:f>
        <x:v>3600</x:v>
      </x:c>
      <x:c r="K11" s="47" t="n">
        <x:v>820</x:v>
      </x:c>
      <x:c r="L11" s="47" t="n">
        <x:f>G11*K11</x:f>
        <x:v>1640</x:v>
      </x:c>
      <x:c r="M11" s="47" t="n">
        <x:f>J11-L11</x:f>
        <x:v>1960</x:v>
      </x:c>
      <x:c r="N11" s="5" t="str">
        <x:v>Walk-in</x:v>
      </x:c>
      <x:c r="O11" s="5" t="str">
        <x:v>Transfer</x:v>
      </x:c>
      <x:c r="P11" s="5" t="str">
        <x:v>Lunch</x:v>
      </x:c>
      <x:c r="Q11" s="48" t="n">
        <x:v>15</x:v>
      </x:c>
      <x:c r="R11" s="5" t="n">
        <x:v>5</x:v>
      </x:c>
      <x:c r="S11" s="1"/>
      <x:c r="T11" s="1"/>
      <x:c r="U11" s="1"/>
      <x:c r="V11" s="1"/>
      <x:c r="W11" s="1"/>
      <x:c r="X11" s="1"/>
      <x:c r="Y11" s="1"/>
      <x:c r="Z11" s="1"/>
    </x:row>
    <x:row r="12">
      <x:c r="A12" s="5" t="str">
        <x:v>ORD-01666</x:v>
      </x:c>
      <x:c r="B12" s="43" t="n">
        <x:v>46023</x:v>
      </x:c>
      <x:c r="C12" s="5" t="str">
        <x:v>CUST-0194</x:v>
      </x:c>
      <x:c r="D12" s="5" t="str">
        <x:v>FD011</x:v>
      </x:c>
      <x:c r="E12" s="5" t="str">
        <x:v>Bottled Water</x:v>
      </x:c>
      <x:c r="F12" s="5" t="str">
        <x:v>Beverages</x:v>
      </x:c>
      <x:c r="G12" s="44" t="n">
        <x:v>2</x:v>
      </x:c>
      <x:c r="H12" s="45" t="n">
        <x:v>300</x:v>
      </x:c>
      <x:c r="I12" s="46" t="n">
        <x:v>0</x:v>
      </x:c>
      <x:c r="J12" s="47" t="n">
        <x:f>G12*H12*(1-I12)</x:f>
        <x:v>600</x:v>
      </x:c>
      <x:c r="K12" s="47" t="n">
        <x:v>120</x:v>
      </x:c>
      <x:c r="L12" s="47" t="n">
        <x:f>G12*K12</x:f>
        <x:v>240</x:v>
      </x:c>
      <x:c r="M12" s="47" t="n">
        <x:f>J12-L12</x:f>
        <x:v>360</x:v>
      </x:c>
      <x:c r="N12" s="5" t="str">
        <x:v>Takeaway</x:v>
      </x:c>
      <x:c r="O12" s="5" t="str">
        <x:v>POS</x:v>
      </x:c>
      <x:c r="P12" s="5" t="str">
        <x:v>Lunch</x:v>
      </x:c>
      <x:c r="Q12" s="48" t="n">
        <x:v>12</x:v>
      </x:c>
      <x:c r="R12" s="5" t="n">
        <x:v>4</x:v>
      </x:c>
      <x:c r="S12" s="1"/>
      <x:c r="T12" s="1"/>
      <x:c r="U12" s="1"/>
      <x:c r="V12" s="1"/>
      <x:c r="W12" s="1"/>
      <x:c r="X12" s="1"/>
      <x:c r="Y12" s="1"/>
      <x:c r="Z12" s="1"/>
    </x:row>
    <x:row r="13">
      <x:c r="A13" s="5" t="str">
        <x:v>ORD-01680</x:v>
      </x:c>
      <x:c r="B13" s="43" t="n">
        <x:v>46023</x:v>
      </x:c>
      <x:c r="C13" s="5" t="str">
        <x:v>CUST-0363</x:v>
      </x:c>
      <x:c r="D13" s="5" t="str">
        <x:v>FD002</x:v>
      </x:c>
      <x:c r="E13" s="5" t="str">
        <x:v>Jollof Rice &amp; Chicken</x:v>
      </x:c>
      <x:c r="F13" s="5" t="str">
        <x:v>Rice Meals</x:v>
      </x:c>
      <x:c r="G13" s="44" t="n">
        <x:v>4</x:v>
      </x:c>
      <x:c r="H13" s="45" t="n">
        <x:v>2800</x:v>
      </x:c>
      <x:c r="I13" s="46" t="n">
        <x:v>0</x:v>
      </x:c>
      <x:c r="J13" s="47" t="n">
        <x:f>G13*H13*(1-I13)</x:f>
        <x:v>11200</x:v>
      </x:c>
      <x:c r="K13" s="47" t="n">
        <x:v>1450</x:v>
      </x:c>
      <x:c r="L13" s="47" t="n">
        <x:f>G13*K13</x:f>
        <x:v>5800</x:v>
      </x:c>
      <x:c r="M13" s="47" t="n">
        <x:f>J13-L13</x:f>
        <x:v>5400</x:v>
      </x:c>
      <x:c r="N13" s="5" t="str">
        <x:v>Delivery</x:v>
      </x:c>
      <x:c r="O13" s="5" t="str">
        <x:v>POS</x:v>
      </x:c>
      <x:c r="P13" s="5" t="str">
        <x:v>Dinner</x:v>
      </x:c>
      <x:c r="Q13" s="48" t="n">
        <x:v>20</x:v>
      </x:c>
      <x:c r="R13" s="5" t="n">
        <x:v>5</x:v>
      </x:c>
      <x:c r="S13" s="1"/>
      <x:c r="T13" s="1"/>
      <x:c r="U13" s="1"/>
      <x:c r="V13" s="1"/>
      <x:c r="W13" s="1"/>
      <x:c r="X13" s="1"/>
      <x:c r="Y13" s="1"/>
      <x:c r="Z13" s="1"/>
    </x:row>
    <x:row r="14">
      <x:c r="A14" s="5" t="str">
        <x:v>ORD-00250</x:v>
      </x:c>
      <x:c r="B14" s="43" t="n">
        <x:v>46024</x:v>
      </x:c>
      <x:c r="C14" s="5" t="str">
        <x:v>CUST-0529</x:v>
      </x:c>
      <x:c r="D14" s="5" t="str">
        <x:v>FD007</x:v>
      </x:c>
      <x:c r="E14" s="5" t="str">
        <x:v>Amala &amp; Ewedu</x:v>
      </x:c>
      <x:c r="F14" s="5" t="str">
        <x:v>Swallow</x:v>
      </x:c>
      <x:c r="G14" s="44" t="n">
        <x:v>2</x:v>
      </x:c>
      <x:c r="H14" s="45" t="n">
        <x:v>2500</x:v>
      </x:c>
      <x:c r="I14" s="46" t="n">
        <x:v>0</x:v>
      </x:c>
      <x:c r="J14" s="47" t="n">
        <x:f>G14*H14*(1-I14)</x:f>
        <x:v>5000</x:v>
      </x:c>
      <x:c r="K14" s="47" t="n">
        <x:v>1250</x:v>
      </x:c>
      <x:c r="L14" s="47" t="n">
        <x:f>G14*K14</x:f>
        <x:v>2500</x:v>
      </x:c>
      <x:c r="M14" s="47" t="n">
        <x:f>J14-L14</x:f>
        <x:v>2500</x:v>
      </x:c>
      <x:c r="N14" s="5" t="str">
        <x:v>Walk-in</x:v>
      </x:c>
      <x:c r="O14" s="5" t="str">
        <x:v>Cash</x:v>
      </x:c>
      <x:c r="P14" s="5" t="str">
        <x:v>Lunch</x:v>
      </x:c>
      <x:c r="Q14" s="48" t="n">
        <x:v>15</x:v>
      </x:c>
      <x:c r="R14" s="5" t="n">
        <x:v>3</x:v>
      </x:c>
      <x:c r="S14" s="1"/>
      <x:c r="T14" s="1"/>
      <x:c r="U14" s="1"/>
      <x:c r="V14" s="1"/>
      <x:c r="W14" s="1"/>
      <x:c r="X14" s="1"/>
      <x:c r="Y14" s="1"/>
      <x:c r="Z14" s="1"/>
    </x:row>
    <x:row r="15">
      <x:c r="A15" s="5" t="str">
        <x:v>ORD-00263</x:v>
      </x:c>
      <x:c r="B15" s="43" t="n">
        <x:v>46024</x:v>
      </x:c>
      <x:c r="C15" s="5" t="str">
        <x:v>CUST-0548</x:v>
      </x:c>
      <x:c r="D15" s="5" t="str">
        <x:v>FD001</x:v>
      </x:c>
      <x:c r="E15" s="5" t="str">
        <x:v>White Rice &amp; Stew</x:v>
      </x:c>
      <x:c r="F15" s="5" t="str">
        <x:v>Rice Meals</x:v>
      </x:c>
      <x:c r="G15" s="44" t="n">
        <x:v>2</x:v>
      </x:c>
      <x:c r="H15" s="45" t="n">
        <x:v>1800</x:v>
      </x:c>
      <x:c r="I15" s="46" t="n">
        <x:v>0</x:v>
      </x:c>
      <x:c r="J15" s="47" t="n">
        <x:f>G15*H15*(1-I15)</x:f>
        <x:v>3600</x:v>
      </x:c>
      <x:c r="K15" s="47" t="n">
        <x:v>820</x:v>
      </x:c>
      <x:c r="L15" s="47" t="n">
        <x:f>G15*K15</x:f>
        <x:v>1640</x:v>
      </x:c>
      <x:c r="M15" s="47" t="n">
        <x:f>J15-L15</x:f>
        <x:v>1960</x:v>
      </x:c>
      <x:c r="N15" s="5" t="str">
        <x:v>Walk-in</x:v>
      </x:c>
      <x:c r="O15" s="5" t="str">
        <x:v>POS</x:v>
      </x:c>
      <x:c r="P15" s="5" t="str">
        <x:v>Dinner</x:v>
      </x:c>
      <x:c r="Q15" s="48" t="n">
        <x:v>17</x:v>
      </x:c>
      <x:c r="R15" s="5" t="n">
        <x:v>4</x:v>
      </x:c>
      <x:c r="S15" s="1"/>
      <x:c r="T15" s="1"/>
      <x:c r="U15" s="1"/>
      <x:c r="V15" s="1"/>
      <x:c r="W15" s="1"/>
      <x:c r="X15" s="1"/>
      <x:c r="Y15" s="1"/>
      <x:c r="Z15" s="1"/>
    </x:row>
    <x:row r="16">
      <x:c r="A16" s="5" t="str">
        <x:v>ORD-00720</x:v>
      </x:c>
      <x:c r="B16" s="43" t="n">
        <x:v>46024</x:v>
      </x:c>
      <x:c r="C16" s="5" t="str">
        <x:v>CUST-0253</x:v>
      </x:c>
      <x:c r="D16" s="5" t="str">
        <x:v>FD001</x:v>
      </x:c>
      <x:c r="E16" s="5" t="str">
        <x:v>White Rice &amp; Stew</x:v>
      </x:c>
      <x:c r="F16" s="5" t="str">
        <x:v>Rice Meals</x:v>
      </x:c>
      <x:c r="G16" s="44" t="n">
        <x:v>4</x:v>
      </x:c>
      <x:c r="H16" s="45" t="n">
        <x:v>1800</x:v>
      </x:c>
      <x:c r="I16" s="46" t="n">
        <x:v>0</x:v>
      </x:c>
      <x:c r="J16" s="47" t="n">
        <x:f>G16*H16*(1-I16)</x:f>
        <x:v>7200</x:v>
      </x:c>
      <x:c r="K16" s="47" t="n">
        <x:v>820</x:v>
      </x:c>
      <x:c r="L16" s="47" t="n">
        <x:f>G16*K16</x:f>
        <x:v>3280</x:v>
      </x:c>
      <x:c r="M16" s="47" t="n">
        <x:f>J16-L16</x:f>
        <x:v>3920</x:v>
      </x:c>
      <x:c r="N16" s="5" t="str">
        <x:v>Walk-in</x:v>
      </x:c>
      <x:c r="O16" s="5" t="str">
        <x:v>Transfer</x:v>
      </x:c>
      <x:c r="P16" s="5" t="str">
        <x:v>Lunch</x:v>
      </x:c>
      <x:c r="Q16" s="48" t="n">
        <x:v>12</x:v>
      </x:c>
      <x:c r="R16" s="5"/>
      <x:c r="S16" s="1"/>
      <x:c r="T16" s="1"/>
      <x:c r="U16" s="1"/>
      <x:c r="V16" s="1"/>
      <x:c r="W16" s="1"/>
      <x:c r="X16" s="1"/>
      <x:c r="Y16" s="1"/>
      <x:c r="Z16" s="1"/>
    </x:row>
    <x:row r="17">
      <x:c r="A17" s="5" t="str">
        <x:v>ORD-00755</x:v>
      </x:c>
      <x:c r="B17" s="43" t="n">
        <x:v>46024</x:v>
      </x:c>
      <x:c r="C17" s="5" t="str">
        <x:v>CUST-0031</x:v>
      </x:c>
      <x:c r="D17" s="5" t="str">
        <x:v>FD004</x:v>
      </x:c>
      <x:c r="E17" s="5" t="str">
        <x:v>Beans &amp; Plantain</x:v>
      </x:c>
      <x:c r="F17" s="5" t="str">
        <x:v>Traditional Meals</x:v>
      </x:c>
      <x:c r="G17" s="44" t="n">
        <x:v>3</x:v>
      </x:c>
      <x:c r="H17" s="45" t="n">
        <x:v>2000</x:v>
      </x:c>
      <x:c r="I17" s="46" t="n">
        <x:v>0</x:v>
      </x:c>
      <x:c r="J17" s="47" t="n">
        <x:f>G17*H17*(1-I17)</x:f>
        <x:v>6000</x:v>
      </x:c>
      <x:c r="K17" s="47" t="n">
        <x:v>960</x:v>
      </x:c>
      <x:c r="L17" s="47" t="n">
        <x:f>G17*K17</x:f>
        <x:v>2880</x:v>
      </x:c>
      <x:c r="M17" s="47" t="n">
        <x:f>J17-L17</x:f>
        <x:v>3120</x:v>
      </x:c>
      <x:c r="N17" s="5" t="str">
        <x:v>Delivery</x:v>
      </x:c>
      <x:c r="O17" s="5" t="str">
        <x:v>POS</x:v>
      </x:c>
      <x:c r="P17" s="5" t="str">
        <x:v>Lunch</x:v>
      </x:c>
      <x:c r="Q17" s="48" t="n">
        <x:v>13</x:v>
      </x:c>
      <x:c r="R17" s="5" t="n">
        <x:v>5</x:v>
      </x:c>
      <x:c r="S17" s="1"/>
      <x:c r="T17" s="1"/>
      <x:c r="U17" s="1"/>
      <x:c r="V17" s="1"/>
      <x:c r="W17" s="1"/>
      <x:c r="X17" s="1"/>
      <x:c r="Y17" s="1"/>
      <x:c r="Z17" s="1"/>
    </x:row>
    <x:row r="18">
      <x:c r="A18" s="5" t="str">
        <x:v>ORD-00816</x:v>
      </x:c>
      <x:c r="B18" s="43" t="n">
        <x:v>46024</x:v>
      </x:c>
      <x:c r="C18" s="5" t="str">
        <x:v>CUST-0203</x:v>
      </x:c>
      <x:c r="D18" s="5" t="str">
        <x:v>FD003</x:v>
      </x:c>
      <x:c r="E18" s="5" t="str">
        <x:v>Fried Rice &amp; Chicken</x:v>
      </x:c>
      <x:c r="F18" s="5" t="str">
        <x:v>Rice Meals</x:v>
      </x:c>
      <x:c r="G18" s="44" t="n">
        <x:v>3</x:v>
      </x:c>
      <x:c r="H18" s="45" t="n">
        <x:v>3000</x:v>
      </x:c>
      <x:c r="I18" s="46" t="n">
        <x:v>0</x:v>
      </x:c>
      <x:c r="J18" s="47" t="n">
        <x:f>G18*H18*(1-I18)</x:f>
        <x:v>9000</x:v>
      </x:c>
      <x:c r="K18" s="47" t="n">
        <x:v>1580</x:v>
      </x:c>
      <x:c r="L18" s="47" t="n">
        <x:f>G18*K18</x:f>
        <x:v>4740</x:v>
      </x:c>
      <x:c r="M18" s="47" t="n">
        <x:f>J18-L18</x:f>
        <x:v>4260</x:v>
      </x:c>
      <x:c r="N18" s="5" t="str">
        <x:v>Walk-in</x:v>
      </x:c>
      <x:c r="O18" s="5" t="str">
        <x:v>Transfer</x:v>
      </x:c>
      <x:c r="P18" s="5" t="str">
        <x:v>Dinner</x:v>
      </x:c>
      <x:c r="Q18" s="48" t="n">
        <x:v>17</x:v>
      </x:c>
      <x:c r="R18" s="5" t="n">
        <x:v>4</x:v>
      </x:c>
      <x:c r="S18" s="1"/>
      <x:c r="T18" s="1"/>
      <x:c r="U18" s="1"/>
      <x:c r="V18" s="1"/>
      <x:c r="W18" s="1"/>
      <x:c r="X18" s="1"/>
      <x:c r="Y18" s="1"/>
      <x:c r="Z18" s="1"/>
    </x:row>
    <x:row r="19">
      <x:c r="A19" s="5" t="str">
        <x:v>ORD-00980</x:v>
      </x:c>
      <x:c r="B19" s="43" t="n">
        <x:v>46024</x:v>
      </x:c>
      <x:c r="C19" s="5" t="str">
        <x:v>CUST-0528</x:v>
      </x:c>
      <x:c r="D19" s="5" t="str">
        <x:v>FD001</x:v>
      </x:c>
      <x:c r="E19" s="5" t="str">
        <x:v>White Rice &amp; Stew</x:v>
      </x:c>
      <x:c r="F19" s="5" t="str">
        <x:v>Rice Meals</x:v>
      </x:c>
      <x:c r="G19" s="44" t="n">
        <x:v>3</x:v>
      </x:c>
      <x:c r="H19" s="45" t="n">
        <x:v>1800</x:v>
      </x:c>
      <x:c r="I19" s="46" t="n">
        <x:v>0.05</x:v>
      </x:c>
      <x:c r="J19" s="47" t="n">
        <x:f>G19*H19*(1-I19)</x:f>
        <x:v>5130</x:v>
      </x:c>
      <x:c r="K19" s="47" t="n">
        <x:v>820</x:v>
      </x:c>
      <x:c r="L19" s="47" t="n">
        <x:f>G19*K19</x:f>
        <x:v>2460</x:v>
      </x:c>
      <x:c r="M19" s="47" t="n">
        <x:f>J19-L19</x:f>
        <x:v>2670</x:v>
      </x:c>
      <x:c r="N19" s="5" t="str">
        <x:v>Walk-in</x:v>
      </x:c>
      <x:c r="O19" s="5" t="str">
        <x:v>Transfer</x:v>
      </x:c>
      <x:c r="P19" s="5" t="str">
        <x:v>Breakfast</x:v>
      </x:c>
      <x:c r="Q19" s="48" t="n">
        <x:v>9</x:v>
      </x:c>
      <x:c r="R19" s="5" t="n">
        <x:v>4</x:v>
      </x:c>
      <x:c r="S19" s="1"/>
      <x:c r="T19" s="1"/>
      <x:c r="U19" s="1"/>
      <x:c r="V19" s="1"/>
      <x:c r="W19" s="1"/>
      <x:c r="X19" s="1"/>
      <x:c r="Y19" s="1"/>
      <x:c r="Z19" s="1"/>
    </x:row>
    <x:row r="20">
      <x:c r="A20" s="5" t="str">
        <x:v>ORD-01483</x:v>
      </x:c>
      <x:c r="B20" s="43" t="n">
        <x:v>46024</x:v>
      </x:c>
      <x:c r="C20" s="5" t="str">
        <x:v>CUST-0058</x:v>
      </x:c>
      <x:c r="D20" s="5" t="str">
        <x:v>FD002</x:v>
      </x:c>
      <x:c r="E20" s="5" t="str">
        <x:v>Jollof Rice &amp; Chicken</x:v>
      </x:c>
      <x:c r="F20" s="5" t="str">
        <x:v>Rice Meals</x:v>
      </x:c>
      <x:c r="G20" s="44" t="n">
        <x:v>3</x:v>
      </x:c>
      <x:c r="H20" s="45" t="n">
        <x:v>2800</x:v>
      </x:c>
      <x:c r="I20" s="46" t="n">
        <x:v>0</x:v>
      </x:c>
      <x:c r="J20" s="47" t="n">
        <x:f>G20*H20*(1-I20)</x:f>
        <x:v>8400</x:v>
      </x:c>
      <x:c r="K20" s="47" t="n">
        <x:v>1450</x:v>
      </x:c>
      <x:c r="L20" s="47" t="n">
        <x:f>G20*K20</x:f>
        <x:v>4350</x:v>
      </x:c>
      <x:c r="M20" s="47" t="n">
        <x:f>J20-L20</x:f>
        <x:v>4050</x:v>
      </x:c>
      <x:c r="N20" s="5" t="str">
        <x:v>Walk-in</x:v>
      </x:c>
      <x:c r="O20" s="5" t="str">
        <x:v>Cash</x:v>
      </x:c>
      <x:c r="P20" s="5" t="str">
        <x:v>Breakfast</x:v>
      </x:c>
      <x:c r="Q20" s="48" t="n">
        <x:v>10</x:v>
      </x:c>
      <x:c r="R20" s="5" t="n">
        <x:v>5</x:v>
      </x:c>
      <x:c r="S20" s="1"/>
      <x:c r="T20" s="1"/>
      <x:c r="U20" s="1"/>
      <x:c r="V20" s="1"/>
      <x:c r="W20" s="1"/>
      <x:c r="X20" s="1"/>
      <x:c r="Y20" s="1"/>
      <x:c r="Z20" s="1"/>
    </x:row>
    <x:row r="21">
      <x:c r="A21" s="5" t="str">
        <x:v>ORD-00568</x:v>
      </x:c>
      <x:c r="B21" s="43" t="n">
        <x:v>46025</x:v>
      </x:c>
      <x:c r="C21" s="5" t="str">
        <x:v>CUST-0221</x:v>
      </x:c>
      <x:c r="D21" s="5" t="str">
        <x:v>FD002</x:v>
      </x:c>
      <x:c r="E21" s="5" t="str">
        <x:v>Jollof Rice &amp; Chicken</x:v>
      </x:c>
      <x:c r="F21" s="5" t="str">
        <x:v>Rice Meals</x:v>
      </x:c>
      <x:c r="G21" s="44" t="n">
        <x:v>2</x:v>
      </x:c>
      <x:c r="H21" s="45" t="n">
        <x:v>2800</x:v>
      </x:c>
      <x:c r="I21" s="46" t="n">
        <x:v>0</x:v>
      </x:c>
      <x:c r="J21" s="47" t="n">
        <x:f>G21*H21*(1-I21)</x:f>
        <x:v>5600</x:v>
      </x:c>
      <x:c r="K21" s="47" t="n">
        <x:v>1450</x:v>
      </x:c>
      <x:c r="L21" s="47" t="n">
        <x:f>G21*K21</x:f>
        <x:v>2900</x:v>
      </x:c>
      <x:c r="M21" s="47" t="n">
        <x:f>J21-L21</x:f>
        <x:v>2700</x:v>
      </x:c>
      <x:c r="N21" s="5" t="str">
        <x:v>Walk-in</x:v>
      </x:c>
      <x:c r="O21" s="5" t="str">
        <x:v>POS</x:v>
      </x:c>
      <x:c r="P21" s="5" t="str">
        <x:v>Lunch</x:v>
      </x:c>
      <x:c r="Q21" s="48" t="n">
        <x:v>15</x:v>
      </x:c>
      <x:c r="R21" s="5" t="n">
        <x:v>5</x:v>
      </x:c>
      <x:c r="S21" s="1"/>
      <x:c r="T21" s="1"/>
      <x:c r="U21" s="1"/>
      <x:c r="V21" s="1"/>
      <x:c r="W21" s="1"/>
      <x:c r="X21" s="1"/>
      <x:c r="Y21" s="1"/>
      <x:c r="Z21" s="1"/>
    </x:row>
    <x:row r="22">
      <x:c r="A22" s="5" t="str">
        <x:v>ORD-00599</x:v>
      </x:c>
      <x:c r="B22" s="43" t="n">
        <x:v>46025</x:v>
      </x:c>
      <x:c r="C22" s="5" t="str">
        <x:v>CUST-0442</x:v>
      </x:c>
      <x:c r="D22" s="5" t="str">
        <x:v>FD002</x:v>
      </x:c>
      <x:c r="E22" s="5" t="str">
        <x:v>Jollof Rice &amp; Chicken</x:v>
      </x:c>
      <x:c r="F22" s="5" t="str">
        <x:v>Rice Meals</x:v>
      </x:c>
      <x:c r="G22" s="44" t="n">
        <x:v>1</x:v>
      </x:c>
      <x:c r="H22" s="45" t="n">
        <x:v>2800</x:v>
      </x:c>
      <x:c r="I22" s="46" t="n">
        <x:v>0</x:v>
      </x:c>
      <x:c r="J22" s="47" t="n">
        <x:f>G22*H22*(1-I22)</x:f>
        <x:v>2800</x:v>
      </x:c>
      <x:c r="K22" s="47" t="n">
        <x:v>1450</x:v>
      </x:c>
      <x:c r="L22" s="47" t="n">
        <x:f>G22*K22</x:f>
        <x:v>1450</x:v>
      </x:c>
      <x:c r="M22" s="47" t="n">
        <x:f>J22-L22</x:f>
        <x:v>1350</x:v>
      </x:c>
      <x:c r="N22" s="5" t="str">
        <x:v>Delivery</x:v>
      </x:c>
      <x:c r="O22" s="5" t="str">
        <x:v>POS</x:v>
      </x:c>
      <x:c r="P22" s="5" t="str">
        <x:v>Lunch</x:v>
      </x:c>
      <x:c r="Q22" s="48" t="n">
        <x:v>12</x:v>
      </x:c>
      <x:c r="R22" s="5" t="n">
        <x:v>4</x:v>
      </x:c>
      <x:c r="S22" s="1"/>
      <x:c r="T22" s="1"/>
      <x:c r="U22" s="1"/>
      <x:c r="V22" s="1"/>
      <x:c r="W22" s="1"/>
      <x:c r="X22" s="1"/>
      <x:c r="Y22" s="1"/>
      <x:c r="Z22" s="1"/>
    </x:row>
    <x:row r="23">
      <x:c r="A23" s="5" t="str">
        <x:v>ORD-00669</x:v>
      </x:c>
      <x:c r="B23" s="43" t="n">
        <x:v>46025</x:v>
      </x:c>
      <x:c r="C23" s="5" t="str">
        <x:v>CUST-0602</x:v>
      </x:c>
      <x:c r="D23" s="5" t="str">
        <x:v>FD003</x:v>
      </x:c>
      <x:c r="E23" s="5" t="str">
        <x:v>Fried Rice &amp; Chicken</x:v>
      </x:c>
      <x:c r="F23" s="5" t="str">
        <x:v>Rice Meals</x:v>
      </x:c>
      <x:c r="G23" s="44" t="n">
        <x:v>4</x:v>
      </x:c>
      <x:c r="H23" s="45" t="n">
        <x:v>3000</x:v>
      </x:c>
      <x:c r="I23" s="46" t="n">
        <x:v>0</x:v>
      </x:c>
      <x:c r="J23" s="47" t="n">
        <x:f>G23*H23*(1-I23)</x:f>
        <x:v>12000</x:v>
      </x:c>
      <x:c r="K23" s="47" t="n">
        <x:v>1580</x:v>
      </x:c>
      <x:c r="L23" s="47" t="n">
        <x:f>G23*K23</x:f>
        <x:v>6320</x:v>
      </x:c>
      <x:c r="M23" s="47" t="n">
        <x:f>J23-L23</x:f>
        <x:v>5680</x:v>
      </x:c>
      <x:c r="N23" s="5" t="str">
        <x:v>Takeaway</x:v>
      </x:c>
      <x:c r="O23" s="5" t="str">
        <x:v>POS</x:v>
      </x:c>
      <x:c r="P23" s="5" t="str">
        <x:v>Dinner</x:v>
      </x:c>
      <x:c r="Q23" s="48" t="n">
        <x:v>19</x:v>
      </x:c>
      <x:c r="R23" s="5" t="n">
        <x:v>4</x:v>
      </x:c>
      <x:c r="S23" s="1"/>
      <x:c r="T23" s="1"/>
      <x:c r="U23" s="1"/>
      <x:c r="V23" s="1"/>
      <x:c r="W23" s="1"/>
      <x:c r="X23" s="1"/>
      <x:c r="Y23" s="1"/>
      <x:c r="Z23" s="1"/>
    </x:row>
    <x:row r="24">
      <x:c r="A24" s="5" t="str">
        <x:v>ORD-00711</x:v>
      </x:c>
      <x:c r="B24" s="43" t="n">
        <x:v>46025</x:v>
      </x:c>
      <x:c r="C24" s="5" t="str">
        <x:v>CUST-0359</x:v>
      </x:c>
      <x:c r="D24" s="5" t="str">
        <x:v>FD004</x:v>
      </x:c>
      <x:c r="E24" s="5" t="str">
        <x:v>Beans &amp; Plantain</x:v>
      </x:c>
      <x:c r="F24" s="5" t="str">
        <x:v>Traditional Meals</x:v>
      </x:c>
      <x:c r="G24" s="44" t="n">
        <x:v>1</x:v>
      </x:c>
      <x:c r="H24" s="45" t="n">
        <x:v>2000</x:v>
      </x:c>
      <x:c r="I24" s="46" t="n">
        <x:v>0</x:v>
      </x:c>
      <x:c r="J24" s="47" t="n">
        <x:f>G24*H24*(1-I24)</x:f>
        <x:v>2000</x:v>
      </x:c>
      <x:c r="K24" s="47" t="n">
        <x:v>960</x:v>
      </x:c>
      <x:c r="L24" s="47" t="n">
        <x:f>G24*K24</x:f>
        <x:v>960</x:v>
      </x:c>
      <x:c r="M24" s="47" t="n">
        <x:f>J24-L24</x:f>
        <x:v>1040</x:v>
      </x:c>
      <x:c r="N24" s="5" t="str">
        <x:v>Walk-in</x:v>
      </x:c>
      <x:c r="O24" s="5" t="str">
        <x:v>Transfer</x:v>
      </x:c>
      <x:c r="P24" s="5" t="str">
        <x:v>Dinner</x:v>
      </x:c>
      <x:c r="Q24" s="48" t="n">
        <x:v>18</x:v>
      </x:c>
      <x:c r="R24" s="5" t="n">
        <x:v>4</x:v>
      </x:c>
      <x:c r="S24" s="1"/>
      <x:c r="T24" s="1"/>
      <x:c r="U24" s="1"/>
      <x:c r="V24" s="1"/>
      <x:c r="W24" s="1"/>
      <x:c r="X24" s="1"/>
      <x:c r="Y24" s="1"/>
      <x:c r="Z24" s="1"/>
    </x:row>
    <x:row r="25">
      <x:c r="A25" s="5" t="str">
        <x:v>ORD-01577</x:v>
      </x:c>
      <x:c r="B25" s="43" t="n">
        <x:v>46025</x:v>
      </x:c>
      <x:c r="C25" s="5" t="str">
        <x:v>CUST-0113</x:v>
      </x:c>
      <x:c r="D25" s="5" t="str">
        <x:v>FD008</x:v>
      </x:c>
      <x:c r="E25" s="5" t="str">
        <x:v>Pounded Yam &amp; Vegetable Soup</x:v>
      </x:c>
      <x:c r="F25" s="5" t="str">
        <x:v>Swallow</x:v>
      </x:c>
      <x:c r="G25" s="44" t="n">
        <x:v>2</x:v>
      </x:c>
      <x:c r="H25" s="45" t="n">
        <x:v>3200</x:v>
      </x:c>
      <x:c r="I25" s="46" t="n">
        <x:v>0</x:v>
      </x:c>
      <x:c r="J25" s="47" t="n">
        <x:f>G25*H25*(1-I25)</x:f>
        <x:v>6400</x:v>
      </x:c>
      <x:c r="K25" s="47" t="n">
        <x:v>1710</x:v>
      </x:c>
      <x:c r="L25" s="47" t="n">
        <x:f>G25*K25</x:f>
        <x:v>3420</x:v>
      </x:c>
      <x:c r="M25" s="47" t="n">
        <x:f>J25-L25</x:f>
        <x:v>2980</x:v>
      </x:c>
      <x:c r="N25" s="5" t="str">
        <x:v>Takeaway</x:v>
      </x:c>
      <x:c r="O25" s="5" t="str">
        <x:v>POS</x:v>
      </x:c>
      <x:c r="P25" s="5" t="str">
        <x:v>Breakfast</x:v>
      </x:c>
      <x:c r="Q25" s="48" t="n">
        <x:v>8</x:v>
      </x:c>
      <x:c r="R25" s="5" t="n">
        <x:v>5</x:v>
      </x:c>
      <x:c r="S25" s="1"/>
      <x:c r="T25" s="1"/>
      <x:c r="U25" s="1"/>
      <x:c r="V25" s="1"/>
      <x:c r="W25" s="1"/>
      <x:c r="X25" s="1"/>
      <x:c r="Y25" s="1"/>
      <x:c r="Z25" s="1"/>
    </x:row>
    <x:row r="26">
      <x:c r="A26" s="5" t="str">
        <x:v>ORD-00323</x:v>
      </x:c>
      <x:c r="B26" s="43" t="n">
        <x:v>46026</x:v>
      </x:c>
      <x:c r="C26" s="5" t="str">
        <x:v>CUST-0599</x:v>
      </x:c>
      <x:c r="D26" s="5" t="str">
        <x:v>FD008</x:v>
      </x:c>
      <x:c r="E26" s="5" t="str">
        <x:v>Pounded Yam &amp; Vegetable Soup</x:v>
      </x:c>
      <x:c r="F26" s="5" t="str">
        <x:v>Swallow</x:v>
      </x:c>
      <x:c r="G26" s="44" t="n">
        <x:v>4</x:v>
      </x:c>
      <x:c r="H26" s="45" t="n">
        <x:v>3200</x:v>
      </x:c>
      <x:c r="I26" s="46" t="n">
        <x:v>0</x:v>
      </x:c>
      <x:c r="J26" s="47" t="n">
        <x:f>G26*H26*(1-I26)</x:f>
        <x:v>12800</x:v>
      </x:c>
      <x:c r="K26" s="47" t="n">
        <x:v>1710</x:v>
      </x:c>
      <x:c r="L26" s="47" t="n">
        <x:f>G26*K26</x:f>
        <x:v>6840</x:v>
      </x:c>
      <x:c r="M26" s="47" t="n">
        <x:f>J26-L26</x:f>
        <x:v>5960</x:v>
      </x:c>
      <x:c r="N26" s="5" t="str">
        <x:v>Delivery</x:v>
      </x:c>
      <x:c r="O26" s="5" t="str">
        <x:v>Transfer</x:v>
      </x:c>
      <x:c r="P26" s="5" t="str">
        <x:v>Breakfast</x:v>
      </x:c>
      <x:c r="Q26" s="48" t="n">
        <x:v>9</x:v>
      </x:c>
      <x:c r="R26" s="5" t="n">
        <x:v>3</x:v>
      </x:c>
      <x:c r="S26" s="1"/>
      <x:c r="T26" s="1"/>
      <x:c r="U26" s="1"/>
      <x:c r="V26" s="1"/>
      <x:c r="W26" s="1"/>
      <x:c r="X26" s="1"/>
      <x:c r="Y26" s="1"/>
      <x:c r="Z26" s="1"/>
    </x:row>
    <x:row r="27">
      <x:c r="A27" s="5" t="str">
        <x:v>ORD-00378</x:v>
      </x:c>
      <x:c r="B27" s="43" t="n">
        <x:v>46026</x:v>
      </x:c>
      <x:c r="C27" s="5" t="str">
        <x:v>CUST-0607</x:v>
      </x:c>
      <x:c r="D27" s="5" t="str">
        <x:v>FD002</x:v>
      </x:c>
      <x:c r="E27" s="5" t="str">
        <x:v>Jollof Rice &amp; Chicken</x:v>
      </x:c>
      <x:c r="F27" s="5" t="str">
        <x:v>Rice Meals</x:v>
      </x:c>
      <x:c r="G27" s="44" t="n">
        <x:v>4</x:v>
      </x:c>
      <x:c r="H27" s="45" t="n">
        <x:v>2800</x:v>
      </x:c>
      <x:c r="I27" s="46" t="n">
        <x:v>0</x:v>
      </x:c>
      <x:c r="J27" s="47" t="n">
        <x:f>G27*H27*(1-I27)</x:f>
        <x:v>11200</x:v>
      </x:c>
      <x:c r="K27" s="47" t="n">
        <x:v>1450</x:v>
      </x:c>
      <x:c r="L27" s="47" t="n">
        <x:f>G27*K27</x:f>
        <x:v>5800</x:v>
      </x:c>
      <x:c r="M27" s="47" t="n">
        <x:f>J27-L27</x:f>
        <x:v>5400</x:v>
      </x:c>
      <x:c r="N27" s="5" t="str">
        <x:v>Walk-in</x:v>
      </x:c>
      <x:c r="O27" s="5" t="str">
        <x:v>Cash</x:v>
      </x:c>
      <x:c r="P27" s="5" t="str">
        <x:v>Lunch</x:v>
      </x:c>
      <x:c r="Q27" s="48" t="n">
        <x:v>13</x:v>
      </x:c>
      <x:c r="R27" s="5" t="n">
        <x:v>3</x:v>
      </x:c>
      <x:c r="S27" s="1"/>
      <x:c r="T27" s="1"/>
      <x:c r="U27" s="1"/>
      <x:c r="V27" s="1"/>
      <x:c r="W27" s="1"/>
      <x:c r="X27" s="1"/>
      <x:c r="Y27" s="1"/>
      <x:c r="Z27" s="1"/>
    </x:row>
    <x:row r="28">
      <x:c r="A28" s="5" t="str">
        <x:v>ORD-00666</x:v>
      </x:c>
      <x:c r="B28" s="43" t="n">
        <x:v>46026</x:v>
      </x:c>
      <x:c r="C28" s="5" t="str">
        <x:v>CUST-0615</x:v>
      </x:c>
      <x:c r="D28" s="5" t="str">
        <x:v>FD004</x:v>
      </x:c>
      <x:c r="E28" s="5" t="str">
        <x:v>Beans &amp; Plantain</x:v>
      </x:c>
      <x:c r="F28" s="5" t="str">
        <x:v>Traditional Meals</x:v>
      </x:c>
      <x:c r="G28" s="44" t="n">
        <x:v>1</x:v>
      </x:c>
      <x:c r="H28" s="45" t="n">
        <x:v>2000</x:v>
      </x:c>
      <x:c r="I28" s="46" t="n">
        <x:v>0</x:v>
      </x:c>
      <x:c r="J28" s="47" t="n">
        <x:f>G28*H28*(1-I28)</x:f>
        <x:v>2000</x:v>
      </x:c>
      <x:c r="K28" s="47" t="n">
        <x:v>960</x:v>
      </x:c>
      <x:c r="L28" s="47" t="n">
        <x:f>G28*K28</x:f>
        <x:v>960</x:v>
      </x:c>
      <x:c r="M28" s="47" t="n">
        <x:f>J28-L28</x:f>
        <x:v>1040</x:v>
      </x:c>
      <x:c r="N28" s="5" t="str">
        <x:v>Delivery</x:v>
      </x:c>
      <x:c r="O28" s="5" t="str">
        <x:v>Transfer</x:v>
      </x:c>
      <x:c r="P28" s="5" t="str">
        <x:v>Lunch</x:v>
      </x:c>
      <x:c r="Q28" s="48" t="n">
        <x:v>14</x:v>
      </x:c>
      <x:c r="R28" s="5" t="n">
        <x:v>5</x:v>
      </x:c>
      <x:c r="S28" s="1"/>
      <x:c r="T28" s="1"/>
      <x:c r="U28" s="1"/>
      <x:c r="V28" s="1"/>
      <x:c r="W28" s="1"/>
      <x:c r="X28" s="1"/>
      <x:c r="Y28" s="1"/>
      <x:c r="Z28" s="1"/>
    </x:row>
    <x:row r="29">
      <x:c r="A29" s="5" t="str">
        <x:v>ORD-00678</x:v>
      </x:c>
      <x:c r="B29" s="43" t="n">
        <x:v>46026</x:v>
      </x:c>
      <x:c r="C29" s="5" t="str">
        <x:v>CUST-0086</x:v>
      </x:c>
      <x:c r="D29" s="5" t="str">
        <x:v>FD001</x:v>
      </x:c>
      <x:c r="E29" s="5" t="str">
        <x:v>White Rice &amp; Stew</x:v>
      </x:c>
      <x:c r="F29" s="5" t="str">
        <x:v>Rice Meals</x:v>
      </x:c>
      <x:c r="G29" s="44" t="n">
        <x:v>2</x:v>
      </x:c>
      <x:c r="H29" s="45" t="n">
        <x:v>1800</x:v>
      </x:c>
      <x:c r="I29" s="46" t="n">
        <x:v>0</x:v>
      </x:c>
      <x:c r="J29" s="47" t="n">
        <x:f>G29*H29*(1-I29)</x:f>
        <x:v>3600</x:v>
      </x:c>
      <x:c r="K29" s="47" t="n">
        <x:v>820</x:v>
      </x:c>
      <x:c r="L29" s="47" t="n">
        <x:f>G29*K29</x:f>
        <x:v>1640</x:v>
      </x:c>
      <x:c r="M29" s="47" t="n">
        <x:f>J29-L29</x:f>
        <x:v>1960</x:v>
      </x:c>
      <x:c r="N29" s="5" t="str">
        <x:v>Walk-in</x:v>
      </x:c>
      <x:c r="O29" s="5" t="str">
        <x:v>POS</x:v>
      </x:c>
      <x:c r="P29" s="5" t="str">
        <x:v>Dinner</x:v>
      </x:c>
      <x:c r="Q29" s="48" t="n">
        <x:v>19</x:v>
      </x:c>
      <x:c r="R29" s="5"/>
      <x:c r="S29" s="1"/>
      <x:c r="T29" s="1"/>
      <x:c r="U29" s="1"/>
      <x:c r="V29" s="1"/>
      <x:c r="W29" s="1"/>
      <x:c r="X29" s="1"/>
      <x:c r="Y29" s="1"/>
      <x:c r="Z29" s="1"/>
    </x:row>
    <x:row r="30">
      <x:c r="A30" s="5" t="str">
        <x:v>ORD-01350</x:v>
      </x:c>
      <x:c r="B30" s="43" t="n">
        <x:v>46026</x:v>
      </x:c>
      <x:c r="C30" s="5" t="str">
        <x:v>CUST-0310</x:v>
      </x:c>
      <x:c r="D30" s="5" t="str">
        <x:v>FD003</x:v>
      </x:c>
      <x:c r="E30" s="5" t="str">
        <x:v>Fried Rice &amp; Chicken</x:v>
      </x:c>
      <x:c r="F30" s="5" t="str">
        <x:v>Rice Meals</x:v>
      </x:c>
      <x:c r="G30" s="44" t="n">
        <x:v>1</x:v>
      </x:c>
      <x:c r="H30" s="45" t="n">
        <x:v>3000</x:v>
      </x:c>
      <x:c r="I30" s="46" t="n">
        <x:v>0</x:v>
      </x:c>
      <x:c r="J30" s="47" t="n">
        <x:f>G30*H30*(1-I30)</x:f>
        <x:v>3000</x:v>
      </x:c>
      <x:c r="K30" s="47" t="n">
        <x:v>1580</x:v>
      </x:c>
      <x:c r="L30" s="47" t="n">
        <x:f>G30*K30</x:f>
        <x:v>1580</x:v>
      </x:c>
      <x:c r="M30" s="47" t="n">
        <x:f>J30-L30</x:f>
        <x:v>1420</x:v>
      </x:c>
      <x:c r="N30" s="5" t="str">
        <x:v>Delivery</x:v>
      </x:c>
      <x:c r="O30" s="5" t="str">
        <x:v>POS</x:v>
      </x:c>
      <x:c r="P30" s="5" t="str">
        <x:v>Dinner</x:v>
      </x:c>
      <x:c r="Q30" s="48" t="n">
        <x:v>16</x:v>
      </x:c>
      <x:c r="R30" s="5" t="n">
        <x:v>5</x:v>
      </x:c>
      <x:c r="S30" s="1"/>
      <x:c r="T30" s="1"/>
      <x:c r="U30" s="1"/>
      <x:c r="V30" s="1"/>
      <x:c r="W30" s="1"/>
      <x:c r="X30" s="1"/>
      <x:c r="Y30" s="1"/>
      <x:c r="Z30" s="1"/>
    </x:row>
    <x:row r="31">
      <x:c r="A31" s="5" t="str">
        <x:v>ORD-01753</x:v>
      </x:c>
      <x:c r="B31" s="43" t="n">
        <x:v>46026</x:v>
      </x:c>
      <x:c r="C31" s="5" t="str">
        <x:v>CUST-0460</x:v>
      </x:c>
      <x:c r="D31" s="5" t="str">
        <x:v>FD003</x:v>
      </x:c>
      <x:c r="E31" s="5" t="str">
        <x:v>Fried Rice &amp; Chicken</x:v>
      </x:c>
      <x:c r="F31" s="5" t="str">
        <x:v>Rice Meals</x:v>
      </x:c>
      <x:c r="G31" s="44" t="n">
        <x:v>1</x:v>
      </x:c>
      <x:c r="H31" s="45" t="n">
        <x:v>3000</x:v>
      </x:c>
      <x:c r="I31" s="46" t="n">
        <x:v>0</x:v>
      </x:c>
      <x:c r="J31" s="47" t="n">
        <x:f>G31*H31*(1-I31)</x:f>
        <x:v>3000</x:v>
      </x:c>
      <x:c r="K31" s="47" t="n">
        <x:v>1580</x:v>
      </x:c>
      <x:c r="L31" s="47" t="n">
        <x:f>G31*K31</x:f>
        <x:v>1580</x:v>
      </x:c>
      <x:c r="M31" s="47" t="n">
        <x:f>J31-L31</x:f>
        <x:v>1420</x:v>
      </x:c>
      <x:c r="N31" s="5" t="str">
        <x:v>Walk-in</x:v>
      </x:c>
      <x:c r="O31" s="5" t="str">
        <x:v>Transfer</x:v>
      </x:c>
      <x:c r="P31" s="5" t="str">
        <x:v>Breakfast</x:v>
      </x:c>
      <x:c r="Q31" s="48" t="n">
        <x:v>10</x:v>
      </x:c>
      <x:c r="R31" s="5" t="n">
        <x:v>5</x:v>
      </x:c>
      <x:c r="S31" s="1"/>
      <x:c r="T31" s="1"/>
      <x:c r="U31" s="1"/>
      <x:c r="V31" s="1"/>
      <x:c r="W31" s="1"/>
      <x:c r="X31" s="1"/>
      <x:c r="Y31" s="1"/>
      <x:c r="Z31" s="1"/>
    </x:row>
    <x:row r="32">
      <x:c r="A32" s="5" t="str">
        <x:v>ORD-01788</x:v>
      </x:c>
      <x:c r="B32" s="43" t="n">
        <x:v>46026</x:v>
      </x:c>
      <x:c r="C32" s="5" t="str">
        <x:v>CUST-0574</x:v>
      </x:c>
      <x:c r="D32" s="5" t="str">
        <x:v>FD002</x:v>
      </x:c>
      <x:c r="E32" s="5" t="str">
        <x:v>Jollof Rice &amp; Chicken</x:v>
      </x:c>
      <x:c r="F32" s="5" t="str">
        <x:v>Rice Meals</x:v>
      </x:c>
      <x:c r="G32" s="44" t="n">
        <x:v>1</x:v>
      </x:c>
      <x:c r="H32" s="45" t="n">
        <x:v>2800</x:v>
      </x:c>
      <x:c r="I32" s="46" t="n">
        <x:v>0</x:v>
      </x:c>
      <x:c r="J32" s="47" t="n">
        <x:f>G32*H32*(1-I32)</x:f>
        <x:v>2800</x:v>
      </x:c>
      <x:c r="K32" s="47" t="n">
        <x:v>1450</x:v>
      </x:c>
      <x:c r="L32" s="47" t="n">
        <x:f>G32*K32</x:f>
        <x:v>1450</x:v>
      </x:c>
      <x:c r="M32" s="47" t="n">
        <x:f>J32-L32</x:f>
        <x:v>1350</x:v>
      </x:c>
      <x:c r="N32" s="5" t="str">
        <x:v>Walk-in</x:v>
      </x:c>
      <x:c r="O32" s="5" t="str">
        <x:v>Cash</x:v>
      </x:c>
      <x:c r="P32" s="5" t="str">
        <x:v>Lunch</x:v>
      </x:c>
      <x:c r="Q32" s="48" t="n">
        <x:v>13</x:v>
      </x:c>
      <x:c r="R32" s="5" t="n">
        <x:v>5</x:v>
      </x:c>
      <x:c r="S32" s="1"/>
      <x:c r="T32" s="1"/>
      <x:c r="U32" s="1"/>
      <x:c r="V32" s="1"/>
      <x:c r="W32" s="1"/>
      <x:c r="X32" s="1"/>
      <x:c r="Y32" s="1"/>
      <x:c r="Z32" s="1"/>
    </x:row>
    <x:row r="33">
      <x:c r="A33" s="5" t="str">
        <x:v>ORD-00672</x:v>
      </x:c>
      <x:c r="B33" s="43" t="n">
        <x:v>46027</x:v>
      </x:c>
      <x:c r="C33" s="5" t="str">
        <x:v>CUST-0281</x:v>
      </x:c>
      <x:c r="D33" s="5" t="str">
        <x:v>FD002</x:v>
      </x:c>
      <x:c r="E33" s="5" t="str">
        <x:v>Jollof Rice &amp; Chicken</x:v>
      </x:c>
      <x:c r="F33" s="5" t="str">
        <x:v>Rice Meals</x:v>
      </x:c>
      <x:c r="G33" s="44" t="n">
        <x:v>3</x:v>
      </x:c>
      <x:c r="H33" s="45" t="n">
        <x:v>2800</x:v>
      </x:c>
      <x:c r="I33" s="46" t="n">
        <x:v>0</x:v>
      </x:c>
      <x:c r="J33" s="47" t="n">
        <x:f>G33*H33*(1-I33)</x:f>
        <x:v>8400</x:v>
      </x:c>
      <x:c r="K33" s="47" t="n">
        <x:v>1450</x:v>
      </x:c>
      <x:c r="L33" s="47" t="n">
        <x:f>G33*K33</x:f>
        <x:v>4350</x:v>
      </x:c>
      <x:c r="M33" s="47" t="n">
        <x:f>J33-L33</x:f>
        <x:v>4050</x:v>
      </x:c>
      <x:c r="N33" s="5" t="str">
        <x:v>Takeaway</x:v>
      </x:c>
      <x:c r="O33" s="5" t="str">
        <x:v>Cash</x:v>
      </x:c>
      <x:c r="P33" s="5" t="str">
        <x:v>Lunch</x:v>
      </x:c>
      <x:c r="Q33" s="48" t="n">
        <x:v>13</x:v>
      </x:c>
      <x:c r="R33" s="5" t="n">
        <x:v>5</x:v>
      </x:c>
      <x:c r="S33" s="1"/>
      <x:c r="T33" s="1"/>
      <x:c r="U33" s="1"/>
      <x:c r="V33" s="1"/>
      <x:c r="W33" s="1"/>
      <x:c r="X33" s="1"/>
      <x:c r="Y33" s="1"/>
      <x:c r="Z33" s="1"/>
    </x:row>
    <x:row r="34">
      <x:c r="A34" s="5" t="str">
        <x:v>ORD-00712</x:v>
      </x:c>
      <x:c r="B34" s="43" t="n">
        <x:v>46027</x:v>
      </x:c>
      <x:c r="C34" s="5" t="str">
        <x:v>CUST-0049</x:v>
      </x:c>
      <x:c r="D34" s="5" t="str">
        <x:v>FD005</x:v>
      </x:c>
      <x:c r="E34" s="5" t="str">
        <x:v>Yam Porridge</x:v>
      </x:c>
      <x:c r="F34" s="5" t="str">
        <x:v>Traditional Meals</x:v>
      </x:c>
      <x:c r="G34" s="44" t="n">
        <x:v>3</x:v>
      </x:c>
      <x:c r="H34" s="45" t="n">
        <x:v>2200</x:v>
      </x:c>
      <x:c r="I34" s="46" t="n">
        <x:v>0</x:v>
      </x:c>
      <x:c r="J34" s="47" t="n">
        <x:f>G34*H34*(1-I34)</x:f>
        <x:v>6600</x:v>
      </x:c>
      <x:c r="K34" s="47" t="n">
        <x:v>1050</x:v>
      </x:c>
      <x:c r="L34" s="47" t="n">
        <x:f>G34*K34</x:f>
        <x:v>3150</x:v>
      </x:c>
      <x:c r="M34" s="47" t="n">
        <x:f>J34-L34</x:f>
        <x:v>3450</x:v>
      </x:c>
      <x:c r="N34" s="5" t="str">
        <x:v>Walk-in</x:v>
      </x:c>
      <x:c r="O34" s="5" t="str">
        <x:v>POS</x:v>
      </x:c>
      <x:c r="P34" s="5" t="str">
        <x:v>Breakfast</x:v>
      </x:c>
      <x:c r="Q34" s="48" t="n">
        <x:v>9</x:v>
      </x:c>
      <x:c r="R34" s="5" t="n">
        <x:v>4</x:v>
      </x:c>
      <x:c r="S34" s="1"/>
      <x:c r="T34" s="1"/>
      <x:c r="U34" s="1"/>
      <x:c r="V34" s="1"/>
      <x:c r="W34" s="1"/>
      <x:c r="X34" s="1"/>
      <x:c r="Y34" s="1"/>
      <x:c r="Z34" s="1"/>
    </x:row>
    <x:row r="35">
      <x:c r="A35" s="5" t="str">
        <x:v>ORD-01381</x:v>
      </x:c>
      <x:c r="B35" s="43" t="n">
        <x:v>46027</x:v>
      </x:c>
      <x:c r="C35" s="5" t="str">
        <x:v>CUST-0035</x:v>
      </x:c>
      <x:c r="D35" s="5" t="str">
        <x:v>FD005</x:v>
      </x:c>
      <x:c r="E35" s="5" t="str">
        <x:v>Yam Porridge</x:v>
      </x:c>
      <x:c r="F35" s="5" t="str">
        <x:v>Traditional Meals</x:v>
      </x:c>
      <x:c r="G35" s="44" t="n">
        <x:v>1</x:v>
      </x:c>
      <x:c r="H35" s="45" t="n">
        <x:v>2200</x:v>
      </x:c>
      <x:c r="I35" s="46" t="n">
        <x:v>0</x:v>
      </x:c>
      <x:c r="J35" s="47" t="n">
        <x:f>G35*H35*(1-I35)</x:f>
        <x:v>2200</x:v>
      </x:c>
      <x:c r="K35" s="47" t="n">
        <x:v>1050</x:v>
      </x:c>
      <x:c r="L35" s="47" t="n">
        <x:f>G35*K35</x:f>
        <x:v>1050</x:v>
      </x:c>
      <x:c r="M35" s="47" t="n">
        <x:f>J35-L35</x:f>
        <x:v>1150</x:v>
      </x:c>
      <x:c r="N35" s="5" t="str">
        <x:v>Walk-in</x:v>
      </x:c>
      <x:c r="O35" s="5" t="str">
        <x:v>Transfer</x:v>
      </x:c>
      <x:c r="P35" s="5" t="str">
        <x:v>Lunch</x:v>
      </x:c>
      <x:c r="Q35" s="48" t="n">
        <x:v>13</x:v>
      </x:c>
      <x:c r="R35" s="5" t="n">
        <x:v>5</x:v>
      </x:c>
      <x:c r="S35" s="1"/>
      <x:c r="T35" s="1"/>
      <x:c r="U35" s="1"/>
      <x:c r="V35" s="1"/>
      <x:c r="W35" s="1"/>
      <x:c r="X35" s="1"/>
      <x:c r="Y35" s="1"/>
      <x:c r="Z35" s="1"/>
    </x:row>
    <x:row r="36">
      <x:c r="A36" s="5" t="str">
        <x:v>ORD-01490</x:v>
      </x:c>
      <x:c r="B36" s="43" t="n">
        <x:v>46027</x:v>
      </x:c>
      <x:c r="C36" s="5" t="str">
        <x:v>CUST-0425</x:v>
      </x:c>
      <x:c r="D36" s="5" t="str">
        <x:v>FD003</x:v>
      </x:c>
      <x:c r="E36" s="5" t="str">
        <x:v>Fried Rice &amp; Chicken</x:v>
      </x:c>
      <x:c r="F36" s="5" t="str">
        <x:v>Rice Meals</x:v>
      </x:c>
      <x:c r="G36" s="44" t="n">
        <x:v>2</x:v>
      </x:c>
      <x:c r="H36" s="45" t="n">
        <x:v>3000</x:v>
      </x:c>
      <x:c r="I36" s="46" t="n">
        <x:v>0</x:v>
      </x:c>
      <x:c r="J36" s="47" t="n">
        <x:f>G36*H36*(1-I36)</x:f>
        <x:v>6000</x:v>
      </x:c>
      <x:c r="K36" s="47" t="n">
        <x:v>1580</x:v>
      </x:c>
      <x:c r="L36" s="47" t="n">
        <x:f>G36*K36</x:f>
        <x:v>3160</x:v>
      </x:c>
      <x:c r="M36" s="47" t="n">
        <x:f>J36-L36</x:f>
        <x:v>2840</x:v>
      </x:c>
      <x:c r="N36" s="5" t="str">
        <x:v>Walk-in</x:v>
      </x:c>
      <x:c r="O36" s="5" t="str">
        <x:v>Cash</x:v>
      </x:c>
      <x:c r="P36" s="5" t="str">
        <x:v>Dinner</x:v>
      </x:c>
      <x:c r="Q36" s="48" t="n">
        <x:v>18</x:v>
      </x:c>
      <x:c r="R36" s="5" t="n">
        <x:v>4</x:v>
      </x:c>
      <x:c r="S36" s="1"/>
      <x:c r="T36" s="1"/>
      <x:c r="U36" s="1"/>
      <x:c r="V36" s="1"/>
      <x:c r="W36" s="1"/>
      <x:c r="X36" s="1"/>
      <x:c r="Y36" s="1"/>
      <x:c r="Z36" s="1"/>
    </x:row>
    <x:row r="37">
      <x:c r="A37" s="5" t="str">
        <x:v>ORD-01668</x:v>
      </x:c>
      <x:c r="B37" s="43" t="n">
        <x:v>46027</x:v>
      </x:c>
      <x:c r="C37" s="5" t="str">
        <x:v>CUST-0167</x:v>
      </x:c>
      <x:c r="D37" s="5" t="str">
        <x:v>FD004</x:v>
      </x:c>
      <x:c r="E37" s="5" t="str">
        <x:v>Beans &amp; Plantain</x:v>
      </x:c>
      <x:c r="F37" s="5" t="str">
        <x:v>Traditional Meals</x:v>
      </x:c>
      <x:c r="G37" s="44" t="n">
        <x:v>3</x:v>
      </x:c>
      <x:c r="H37" s="45" t="n">
        <x:v>2000</x:v>
      </x:c>
      <x:c r="I37" s="46" t="n">
        <x:v>0</x:v>
      </x:c>
      <x:c r="J37" s="47" t="n">
        <x:f>G37*H37*(1-I37)</x:f>
        <x:v>6000</x:v>
      </x:c>
      <x:c r="K37" s="47" t="n">
        <x:v>960</x:v>
      </x:c>
      <x:c r="L37" s="47" t="n">
        <x:f>G37*K37</x:f>
        <x:v>2880</x:v>
      </x:c>
      <x:c r="M37" s="47" t="n">
        <x:f>J37-L37</x:f>
        <x:v>3120</x:v>
      </x:c>
      <x:c r="N37" s="5" t="str">
        <x:v>Walk-in</x:v>
      </x:c>
      <x:c r="O37" s="5" t="str">
        <x:v>POS</x:v>
      </x:c>
      <x:c r="P37" s="5" t="str">
        <x:v>Breakfast</x:v>
      </x:c>
      <x:c r="Q37" s="48" t="n">
        <x:v>10</x:v>
      </x:c>
      <x:c r="R37" s="5" t="n">
        <x:v>4</x:v>
      </x:c>
      <x:c r="S37" s="1"/>
      <x:c r="T37" s="1"/>
      <x:c r="U37" s="1"/>
      <x:c r="V37" s="1"/>
      <x:c r="W37" s="1"/>
      <x:c r="X37" s="1"/>
      <x:c r="Y37" s="1"/>
      <x:c r="Z37" s="1"/>
    </x:row>
    <x:row r="38">
      <x:c r="A38" s="5" t="str">
        <x:v>ORD-00004</x:v>
      </x:c>
      <x:c r="B38" s="43" t="n">
        <x:v>46028</x:v>
      </x:c>
      <x:c r="C38" s="5" t="str">
        <x:v>CUST-0167</x:v>
      </x:c>
      <x:c r="D38" s="5" t="str">
        <x:v>FD001</x:v>
      </x:c>
      <x:c r="E38" s="5" t="str">
        <x:v>White Rice &amp; Stew</x:v>
      </x:c>
      <x:c r="F38" s="5" t="str">
        <x:v>Rice Meals</x:v>
      </x:c>
      <x:c r="G38" s="44" t="n">
        <x:v>2</x:v>
      </x:c>
      <x:c r="H38" s="45" t="n">
        <x:v>1800</x:v>
      </x:c>
      <x:c r="I38" s="46" t="n">
        <x:v>0</x:v>
      </x:c>
      <x:c r="J38" s="47" t="n">
        <x:f>G38*H38*(1-I38)</x:f>
        <x:v>3600</x:v>
      </x:c>
      <x:c r="K38" s="47" t="n">
        <x:v>820</x:v>
      </x:c>
      <x:c r="L38" s="47" t="n">
        <x:f>G38*K38</x:f>
        <x:v>1640</x:v>
      </x:c>
      <x:c r="M38" s="47" t="n">
        <x:f>J38-L38</x:f>
        <x:v>1960</x:v>
      </x:c>
      <x:c r="N38" s="5" t="str">
        <x:v>Takeaway</x:v>
      </x:c>
      <x:c r="O38" s="5" t="str">
        <x:v>Transfer</x:v>
      </x:c>
      <x:c r="P38" s="5" t="str">
        <x:v>Lunch</x:v>
      </x:c>
      <x:c r="Q38" s="48" t="n">
        <x:v>13</x:v>
      </x:c>
      <x:c r="R38" s="5" t="n">
        <x:v>4</x:v>
      </x:c>
      <x:c r="S38" s="1"/>
      <x:c r="T38" s="1"/>
      <x:c r="U38" s="1"/>
      <x:c r="V38" s="1"/>
      <x:c r="W38" s="1"/>
      <x:c r="X38" s="1"/>
      <x:c r="Y38" s="1"/>
      <x:c r="Z38" s="1"/>
    </x:row>
    <x:row r="39">
      <x:c r="A39" s="5" t="str">
        <x:v>ORD-00017</x:v>
      </x:c>
      <x:c r="B39" s="43" t="n">
        <x:v>46028</x:v>
      </x:c>
      <x:c r="C39" s="5" t="str">
        <x:v>CUST-0618</x:v>
      </x:c>
      <x:c r="D39" s="5" t="str">
        <x:v>FD003</x:v>
      </x:c>
      <x:c r="E39" s="5" t="str">
        <x:v>Fried Rice &amp; Chicken</x:v>
      </x:c>
      <x:c r="F39" s="5" t="str">
        <x:v>Rice Meals</x:v>
      </x:c>
      <x:c r="G39" s="44" t="n">
        <x:v>4</x:v>
      </x:c>
      <x:c r="H39" s="45" t="n">
        <x:v>3000</x:v>
      </x:c>
      <x:c r="I39" s="46" t="n">
        <x:v>0</x:v>
      </x:c>
      <x:c r="J39" s="47" t="n">
        <x:f>G39*H39*(1-I39)</x:f>
        <x:v>12000</x:v>
      </x:c>
      <x:c r="K39" s="47" t="n">
        <x:v>1580</x:v>
      </x:c>
      <x:c r="L39" s="47" t="n">
        <x:f>G39*K39</x:f>
        <x:v>6320</x:v>
      </x:c>
      <x:c r="M39" s="47" t="n">
        <x:f>J39-L39</x:f>
        <x:v>5680</x:v>
      </x:c>
      <x:c r="N39" s="5" t="str">
        <x:v>Takeaway</x:v>
      </x:c>
      <x:c r="O39" s="5" t="str">
        <x:v>POS</x:v>
      </x:c>
      <x:c r="P39" s="5" t="str">
        <x:v>Lunch</x:v>
      </x:c>
      <x:c r="Q39" s="48" t="n">
        <x:v>11</x:v>
      </x:c>
      <x:c r="R39" s="5" t="n">
        <x:v>3</x:v>
      </x:c>
      <x:c r="S39" s="1"/>
      <x:c r="T39" s="1"/>
      <x:c r="U39" s="1"/>
      <x:c r="V39" s="1"/>
      <x:c r="W39" s="1"/>
      <x:c r="X39" s="1"/>
      <x:c r="Y39" s="1"/>
      <x:c r="Z39" s="1"/>
    </x:row>
    <x:row r="40">
      <x:c r="A40" s="5" t="str">
        <x:v>ORD-00077</x:v>
      </x:c>
      <x:c r="B40" s="43" t="n">
        <x:v>46028</x:v>
      </x:c>
      <x:c r="C40" s="5" t="str">
        <x:v>CUST-0562</x:v>
      </x:c>
      <x:c r="D40" s="5" t="str">
        <x:v>FD002</x:v>
      </x:c>
      <x:c r="E40" s="5" t="str">
        <x:v>Jollof Rice &amp; Chicken</x:v>
      </x:c>
      <x:c r="F40" s="5" t="str">
        <x:v>Rice Meals</x:v>
      </x:c>
      <x:c r="G40" s="44" t="n">
        <x:v>2</x:v>
      </x:c>
      <x:c r="H40" s="45" t="n">
        <x:v>2800</x:v>
      </x:c>
      <x:c r="I40" s="46" t="n">
        <x:v>0</x:v>
      </x:c>
      <x:c r="J40" s="47" t="n">
        <x:f>G40*H40*(1-I40)</x:f>
        <x:v>5600</x:v>
      </x:c>
      <x:c r="K40" s="47" t="n">
        <x:v>1450</x:v>
      </x:c>
      <x:c r="L40" s="47" t="n">
        <x:f>G40*K40</x:f>
        <x:v>2900</x:v>
      </x:c>
      <x:c r="M40" s="47" t="n">
        <x:f>J40-L40</x:f>
        <x:v>2700</x:v>
      </x:c>
      <x:c r="N40" s="5" t="str">
        <x:v>Walk-in</x:v>
      </x:c>
      <x:c r="O40" s="5" t="str">
        <x:v>POS</x:v>
      </x:c>
      <x:c r="P40" s="5" t="str">
        <x:v>Lunch</x:v>
      </x:c>
      <x:c r="Q40" s="48" t="n">
        <x:v>11</x:v>
      </x:c>
      <x:c r="R40" s="5" t="n">
        <x:v>4</x:v>
      </x:c>
      <x:c r="S40" s="1"/>
      <x:c r="T40" s="1"/>
      <x:c r="U40" s="1"/>
      <x:c r="V40" s="1"/>
      <x:c r="W40" s="1"/>
      <x:c r="X40" s="1"/>
      <x:c r="Y40" s="1"/>
      <x:c r="Z40" s="1"/>
    </x:row>
    <x:row r="41">
      <x:c r="A41" s="5" t="str">
        <x:v>ORD-00314</x:v>
      </x:c>
      <x:c r="B41" s="43" t="n">
        <x:v>46028</x:v>
      </x:c>
      <x:c r="C41" s="5" t="str">
        <x:v>CUST-0015</x:v>
      </x:c>
      <x:c r="D41" s="5" t="str">
        <x:v>FD004</x:v>
      </x:c>
      <x:c r="E41" s="5" t="str">
        <x:v>Beans &amp; Plantain</x:v>
      </x:c>
      <x:c r="F41" s="5" t="str">
        <x:v>Traditional Meals</x:v>
      </x:c>
      <x:c r="G41" s="44" t="n">
        <x:v>2</x:v>
      </x:c>
      <x:c r="H41" s="45" t="n">
        <x:v>2000</x:v>
      </x:c>
      <x:c r="I41" s="46" t="n">
        <x:v>0</x:v>
      </x:c>
      <x:c r="J41" s="47" t="n">
        <x:f>G41*H41*(1-I41)</x:f>
        <x:v>4000</x:v>
      </x:c>
      <x:c r="K41" s="47" t="n">
        <x:v>960</x:v>
      </x:c>
      <x:c r="L41" s="47" t="n">
        <x:f>G41*K41</x:f>
        <x:v>1920</x:v>
      </x:c>
      <x:c r="M41" s="47" t="n">
        <x:f>J41-L41</x:f>
        <x:v>2080</x:v>
      </x:c>
      <x:c r="N41" s="5" t="str">
        <x:v>Delivery</x:v>
      </x:c>
      <x:c r="O41" s="5" t="str">
        <x:v>Transfer</x:v>
      </x:c>
      <x:c r="P41" s="5" t="str">
        <x:v>Dinner</x:v>
      </x:c>
      <x:c r="Q41" s="48" t="n">
        <x:v>20</x:v>
      </x:c>
      <x:c r="R41" s="5" t="n">
        <x:v>4</x:v>
      </x:c>
      <x:c r="S41" s="1"/>
      <x:c r="T41" s="1"/>
      <x:c r="U41" s="1"/>
      <x:c r="V41" s="1"/>
      <x:c r="W41" s="1"/>
      <x:c r="X41" s="1"/>
      <x:c r="Y41" s="1"/>
      <x:c r="Z41" s="1"/>
    </x:row>
    <x:row r="42">
      <x:c r="A42" s="5" t="str">
        <x:v>ORD-00641</x:v>
      </x:c>
      <x:c r="B42" s="43" t="n">
        <x:v>46028</x:v>
      </x:c>
      <x:c r="C42" s="5" t="str">
        <x:v>CUST-0093</x:v>
      </x:c>
      <x:c r="D42" s="5" t="str">
        <x:v>FD008</x:v>
      </x:c>
      <x:c r="E42" s="5" t="str">
        <x:v>Pounded Yam &amp; Vegetable Soup</x:v>
      </x:c>
      <x:c r="F42" s="5" t="str">
        <x:v>Swallow</x:v>
      </x:c>
      <x:c r="G42" s="44" t="n">
        <x:v>4</x:v>
      </x:c>
      <x:c r="H42" s="45" t="n">
        <x:v>3200</x:v>
      </x:c>
      <x:c r="I42" s="46" t="n">
        <x:v>0</x:v>
      </x:c>
      <x:c r="J42" s="47" t="n">
        <x:f>G42*H42*(1-I42)</x:f>
        <x:v>12800</x:v>
      </x:c>
      <x:c r="K42" s="47" t="n">
        <x:v>1710</x:v>
      </x:c>
      <x:c r="L42" s="47" t="n">
        <x:f>G42*K42</x:f>
        <x:v>6840</x:v>
      </x:c>
      <x:c r="M42" s="47" t="n">
        <x:f>J42-L42</x:f>
        <x:v>5960</x:v>
      </x:c>
      <x:c r="N42" s="5" t="str">
        <x:v>Walk-in</x:v>
      </x:c>
      <x:c r="O42" s="5" t="str">
        <x:v>Cash</x:v>
      </x:c>
      <x:c r="P42" s="5" t="str">
        <x:v>Lunch</x:v>
      </x:c>
      <x:c r="Q42" s="48" t="n">
        <x:v>12</x:v>
      </x:c>
      <x:c r="R42" s="5" t="n">
        <x:v>3</x:v>
      </x:c>
      <x:c r="S42" s="1"/>
      <x:c r="T42" s="1"/>
      <x:c r="U42" s="1"/>
      <x:c r="V42" s="1"/>
      <x:c r="W42" s="1"/>
      <x:c r="X42" s="1"/>
      <x:c r="Y42" s="1"/>
      <x:c r="Z42" s="1"/>
    </x:row>
    <x:row r="43">
      <x:c r="A43" s="5" t="str">
        <x:v>ORD-00751</x:v>
      </x:c>
      <x:c r="B43" s="43" t="n">
        <x:v>46028</x:v>
      </x:c>
      <x:c r="C43" s="5" t="str">
        <x:v>CUST-0221</x:v>
      </x:c>
      <x:c r="D43" s="5" t="str">
        <x:v>FD004</x:v>
      </x:c>
      <x:c r="E43" s="5" t="str">
        <x:v>Beans &amp; Plantain</x:v>
      </x:c>
      <x:c r="F43" s="5" t="str">
        <x:v>Traditional Meals</x:v>
      </x:c>
      <x:c r="G43" s="44" t="n">
        <x:v>1</x:v>
      </x:c>
      <x:c r="H43" s="45" t="n">
        <x:v>2000</x:v>
      </x:c>
      <x:c r="I43" s="46" t="n">
        <x:v>0</x:v>
      </x:c>
      <x:c r="J43" s="47" t="n">
        <x:f>G43*H43*(1-I43)</x:f>
        <x:v>2000</x:v>
      </x:c>
      <x:c r="K43" s="47" t="n">
        <x:v>960</x:v>
      </x:c>
      <x:c r="L43" s="47" t="n">
        <x:f>G43*K43</x:f>
        <x:v>960</x:v>
      </x:c>
      <x:c r="M43" s="47" t="n">
        <x:f>J43-L43</x:f>
        <x:v>1040</x:v>
      </x:c>
      <x:c r="N43" s="5" t="str">
        <x:v>Delivery</x:v>
      </x:c>
      <x:c r="O43" s="5" t="str">
        <x:v>Cash</x:v>
      </x:c>
      <x:c r="P43" s="5" t="str">
        <x:v>Lunch</x:v>
      </x:c>
      <x:c r="Q43" s="48" t="n">
        <x:v>11</x:v>
      </x:c>
      <x:c r="R43" s="5" t="n">
        <x:v>3</x:v>
      </x:c>
      <x:c r="S43" s="1"/>
      <x:c r="T43" s="1"/>
      <x:c r="U43" s="1"/>
      <x:c r="V43" s="1"/>
      <x:c r="W43" s="1"/>
      <x:c r="X43" s="1"/>
      <x:c r="Y43" s="1"/>
      <x:c r="Z43" s="1"/>
    </x:row>
    <x:row r="44">
      <x:c r="A44" s="5" t="str">
        <x:v>ORD-00769</x:v>
      </x:c>
      <x:c r="B44" s="43" t="n">
        <x:v>46028</x:v>
      </x:c>
      <x:c r="C44" s="5" t="str">
        <x:v>CUST-0385</x:v>
      </x:c>
      <x:c r="D44" s="5" t="str">
        <x:v>FD001</x:v>
      </x:c>
      <x:c r="E44" s="5" t="str">
        <x:v>White Rice &amp; Stew</x:v>
      </x:c>
      <x:c r="F44" s="5" t="str">
        <x:v>Rice Meals</x:v>
      </x:c>
      <x:c r="G44" s="44" t="n">
        <x:v>1</x:v>
      </x:c>
      <x:c r="H44" s="45" t="n">
        <x:v>1800</x:v>
      </x:c>
      <x:c r="I44" s="46" t="n">
        <x:v>0</x:v>
      </x:c>
      <x:c r="J44" s="47" t="n">
        <x:f>G44*H44*(1-I44)</x:f>
        <x:v>1800</x:v>
      </x:c>
      <x:c r="K44" s="47" t="n">
        <x:v>820</x:v>
      </x:c>
      <x:c r="L44" s="47" t="n">
        <x:f>G44*K44</x:f>
        <x:v>820</x:v>
      </x:c>
      <x:c r="M44" s="47" t="n">
        <x:f>J44-L44</x:f>
        <x:v>980</x:v>
      </x:c>
      <x:c r="N44" s="5" t="str">
        <x:v>Takeaway</x:v>
      </x:c>
      <x:c r="O44" s="5" t="str">
        <x:v>POS</x:v>
      </x:c>
      <x:c r="P44" s="5" t="str">
        <x:v>Lunch</x:v>
      </x:c>
      <x:c r="Q44" s="48" t="n">
        <x:v>12</x:v>
      </x:c>
      <x:c r="R44" s="5" t="n">
        <x:v>3</x:v>
      </x:c>
      <x:c r="S44" s="1"/>
      <x:c r="T44" s="1"/>
      <x:c r="U44" s="1"/>
      <x:c r="V44" s="1"/>
      <x:c r="W44" s="1"/>
      <x:c r="X44" s="1"/>
      <x:c r="Y44" s="1"/>
      <x:c r="Z44" s="1"/>
    </x:row>
    <x:row r="45">
      <x:c r="A45" s="5" t="str">
        <x:v>ORD-01030</x:v>
      </x:c>
      <x:c r="B45" s="43" t="n">
        <x:v>46028</x:v>
      </x:c>
      <x:c r="C45" s="5" t="str">
        <x:v>CUST-0503</x:v>
      </x:c>
      <x:c r="D45" s="5" t="str">
        <x:v>FD002</x:v>
      </x:c>
      <x:c r="E45" s="5" t="str">
        <x:v>Jollof Rice &amp; Chicken</x:v>
      </x:c>
      <x:c r="F45" s="5" t="str">
        <x:v>Rice Meals</x:v>
      </x:c>
      <x:c r="G45" s="44" t="n">
        <x:v>4</x:v>
      </x:c>
      <x:c r="H45" s="45" t="n">
        <x:v>2800</x:v>
      </x:c>
      <x:c r="I45" s="46" t="n">
        <x:v>0</x:v>
      </x:c>
      <x:c r="J45" s="47" t="n">
        <x:f>G45*H45*(1-I45)</x:f>
        <x:v>11200</x:v>
      </x:c>
      <x:c r="K45" s="47" t="n">
        <x:v>1450</x:v>
      </x:c>
      <x:c r="L45" s="47" t="n">
        <x:f>G45*K45</x:f>
        <x:v>5800</x:v>
      </x:c>
      <x:c r="M45" s="47" t="n">
        <x:f>J45-L45</x:f>
        <x:v>5400</x:v>
      </x:c>
      <x:c r="N45" s="5" t="str">
        <x:v>Delivery</x:v>
      </x:c>
      <x:c r="O45" s="5" t="str">
        <x:v>POS</x:v>
      </x:c>
      <x:c r="P45" s="5" t="str">
        <x:v>Lunch</x:v>
      </x:c>
      <x:c r="Q45" s="48" t="n">
        <x:v>12</x:v>
      </x:c>
      <x:c r="R45" s="5" t="n">
        <x:v>5</x:v>
      </x:c>
      <x:c r="S45" s="1"/>
      <x:c r="T45" s="1"/>
      <x:c r="U45" s="1"/>
      <x:c r="V45" s="1"/>
      <x:c r="W45" s="1"/>
      <x:c r="X45" s="1"/>
      <x:c r="Y45" s="1"/>
      <x:c r="Z45" s="1"/>
    </x:row>
    <x:row r="46">
      <x:c r="A46" s="5" t="str">
        <x:v>ORD-01048</x:v>
      </x:c>
      <x:c r="B46" s="43" t="n">
        <x:v>46028</x:v>
      </x:c>
      <x:c r="C46" s="5" t="str">
        <x:v>CUST-0089</x:v>
      </x:c>
      <x:c r="D46" s="5" t="str">
        <x:v>FD004</x:v>
      </x:c>
      <x:c r="E46" s="5" t="str">
        <x:v>Beans &amp; Plantain</x:v>
      </x:c>
      <x:c r="F46" s="5" t="str">
        <x:v>Traditional Meals</x:v>
      </x:c>
      <x:c r="G46" s="44" t="n">
        <x:v>2</x:v>
      </x:c>
      <x:c r="H46" s="45" t="n">
        <x:v>2000</x:v>
      </x:c>
      <x:c r="I46" s="46" t="n">
        <x:v>0</x:v>
      </x:c>
      <x:c r="J46" s="47" t="n">
        <x:f>G46*H46*(1-I46)</x:f>
        <x:v>4000</x:v>
      </x:c>
      <x:c r="K46" s="47" t="n">
        <x:v>960</x:v>
      </x:c>
      <x:c r="L46" s="47" t="n">
        <x:f>G46*K46</x:f>
        <x:v>1920</x:v>
      </x:c>
      <x:c r="M46" s="47" t="n">
        <x:f>J46-L46</x:f>
        <x:v>2080</x:v>
      </x:c>
      <x:c r="N46" s="5" t="str">
        <x:v>Walk-in</x:v>
      </x:c>
      <x:c r="O46" s="5" t="str">
        <x:v>Transfer</x:v>
      </x:c>
      <x:c r="P46" s="5" t="str">
        <x:v>Breakfast</x:v>
      </x:c>
      <x:c r="Q46" s="48" t="n">
        <x:v>10</x:v>
      </x:c>
      <x:c r="R46" s="5" t="n">
        <x:v>3</x:v>
      </x:c>
      <x:c r="S46" s="1"/>
      <x:c r="T46" s="1"/>
      <x:c r="U46" s="1"/>
      <x:c r="V46" s="1"/>
      <x:c r="W46" s="1"/>
      <x:c r="X46" s="1"/>
      <x:c r="Y46" s="1"/>
      <x:c r="Z46" s="1"/>
    </x:row>
    <x:row r="47">
      <x:c r="A47" s="5" t="str">
        <x:v>ORD-01383</x:v>
      </x:c>
      <x:c r="B47" s="43" t="n">
        <x:v>46028</x:v>
      </x:c>
      <x:c r="C47" s="5" t="str">
        <x:v>CUST-0038</x:v>
      </x:c>
      <x:c r="D47" s="5" t="str">
        <x:v>FD005</x:v>
      </x:c>
      <x:c r="E47" s="5" t="str">
        <x:v>Yam Porridge</x:v>
      </x:c>
      <x:c r="F47" s="5" t="str">
        <x:v>Traditional Meals</x:v>
      </x:c>
      <x:c r="G47" s="44" t="n">
        <x:v>4</x:v>
      </x:c>
      <x:c r="H47" s="45" t="n">
        <x:v>2200</x:v>
      </x:c>
      <x:c r="I47" s="46" t="n">
        <x:v>0</x:v>
      </x:c>
      <x:c r="J47" s="47" t="n">
        <x:f>G47*H47*(1-I47)</x:f>
        <x:v>8800</x:v>
      </x:c>
      <x:c r="K47" s="47" t="n">
        <x:v>1050</x:v>
      </x:c>
      <x:c r="L47" s="47" t="n">
        <x:f>G47*K47</x:f>
        <x:v>4200</x:v>
      </x:c>
      <x:c r="M47" s="47" t="n">
        <x:f>J47-L47</x:f>
        <x:v>4600</x:v>
      </x:c>
      <x:c r="N47" s="5" t="str">
        <x:v>Takeaway</x:v>
      </x:c>
      <x:c r="O47" s="5" t="str">
        <x:v>Cash</x:v>
      </x:c>
      <x:c r="P47" s="5" t="str">
        <x:v>Dinner</x:v>
      </x:c>
      <x:c r="Q47" s="48" t="n">
        <x:v>17</x:v>
      </x:c>
      <x:c r="R47" s="5" t="n">
        <x:v>5</x:v>
      </x:c>
      <x:c r="S47" s="1"/>
      <x:c r="T47" s="1"/>
      <x:c r="U47" s="1"/>
      <x:c r="V47" s="1"/>
      <x:c r="W47" s="1"/>
      <x:c r="X47" s="1"/>
      <x:c r="Y47" s="1"/>
      <x:c r="Z47" s="1"/>
    </x:row>
    <x:row r="48">
      <x:c r="A48" s="5" t="str">
        <x:v>ORD-01394</x:v>
      </x:c>
      <x:c r="B48" s="43" t="n">
        <x:v>46028</x:v>
      </x:c>
      <x:c r="C48" s="5" t="str">
        <x:v>CUST-0020</x:v>
      </x:c>
      <x:c r="D48" s="5" t="str">
        <x:v>FD003</x:v>
      </x:c>
      <x:c r="E48" s="5" t="str">
        <x:v>Fried Rice &amp; Chicken</x:v>
      </x:c>
      <x:c r="F48" s="5" t="str">
        <x:v>Rice Meals</x:v>
      </x:c>
      <x:c r="G48" s="44" t="n">
        <x:v>3</x:v>
      </x:c>
      <x:c r="H48" s="45" t="n">
        <x:v>3000</x:v>
      </x:c>
      <x:c r="I48" s="46" t="n">
        <x:v>0</x:v>
      </x:c>
      <x:c r="J48" s="47" t="n">
        <x:f>G48*H48*(1-I48)</x:f>
        <x:v>9000</x:v>
      </x:c>
      <x:c r="K48" s="47" t="n">
        <x:v>1580</x:v>
      </x:c>
      <x:c r="L48" s="47" t="n">
        <x:f>G48*K48</x:f>
        <x:v>4740</x:v>
      </x:c>
      <x:c r="M48" s="47" t="n">
        <x:f>J48-L48</x:f>
        <x:v>4260</x:v>
      </x:c>
      <x:c r="N48" s="5" t="str">
        <x:v>Takeaway</x:v>
      </x:c>
      <x:c r="O48" s="5" t="str">
        <x:v>POS</x:v>
      </x:c>
      <x:c r="P48" s="5" t="str">
        <x:v>Lunch</x:v>
      </x:c>
      <x:c r="Q48" s="48" t="n">
        <x:v>14</x:v>
      </x:c>
      <x:c r="R48" s="5" t="n">
        <x:v>5</x:v>
      </x:c>
      <x:c r="S48" s="1"/>
      <x:c r="T48" s="1"/>
      <x:c r="U48" s="1"/>
      <x:c r="V48" s="1"/>
      <x:c r="W48" s="1"/>
      <x:c r="X48" s="1"/>
      <x:c r="Y48" s="1"/>
      <x:c r="Z48" s="1"/>
    </x:row>
    <x:row r="49">
      <x:c r="A49" s="5" t="str">
        <x:v>ORD-01484</x:v>
      </x:c>
      <x:c r="B49" s="43" t="n">
        <x:v>46028</x:v>
      </x:c>
      <x:c r="C49" s="5" t="str">
        <x:v>CUST-0211</x:v>
      </x:c>
      <x:c r="D49" s="5" t="str">
        <x:v>FD008</x:v>
      </x:c>
      <x:c r="E49" s="5" t="str">
        <x:v>Pounded Yam &amp; Vegetable Soup</x:v>
      </x:c>
      <x:c r="F49" s="5" t="str">
        <x:v>Swallow</x:v>
      </x:c>
      <x:c r="G49" s="44" t="n">
        <x:v>2</x:v>
      </x:c>
      <x:c r="H49" s="45" t="n">
        <x:v>3200</x:v>
      </x:c>
      <x:c r="I49" s="46" t="n">
        <x:v>0</x:v>
      </x:c>
      <x:c r="J49" s="47" t="n">
        <x:f>G49*H49*(1-I49)</x:f>
        <x:v>6400</x:v>
      </x:c>
      <x:c r="K49" s="47" t="n">
        <x:v>1710</x:v>
      </x:c>
      <x:c r="L49" s="47" t="n">
        <x:f>G49*K49</x:f>
        <x:v>3420</x:v>
      </x:c>
      <x:c r="M49" s="47" t="n">
        <x:f>J49-L49</x:f>
        <x:v>2980</x:v>
      </x:c>
      <x:c r="N49" s="5" t="str">
        <x:v>Walk-in</x:v>
      </x:c>
      <x:c r="O49" s="5" t="str">
        <x:v>Transfer</x:v>
      </x:c>
      <x:c r="P49" s="5" t="str">
        <x:v>Breakfast</x:v>
      </x:c>
      <x:c r="Q49" s="48" t="n">
        <x:v>10</x:v>
      </x:c>
      <x:c r="R49" s="5" t="n">
        <x:v>3</x:v>
      </x:c>
      <x:c r="S49" s="1"/>
      <x:c r="T49" s="1"/>
      <x:c r="U49" s="1"/>
      <x:c r="V49" s="1"/>
      <x:c r="W49" s="1"/>
      <x:c r="X49" s="1"/>
      <x:c r="Y49" s="1"/>
      <x:c r="Z49" s="1"/>
    </x:row>
    <x:row r="50">
      <x:c r="A50" s="5" t="str">
        <x:v>ORD-01500</x:v>
      </x:c>
      <x:c r="B50" s="43" t="n">
        <x:v>46028</x:v>
      </x:c>
      <x:c r="C50" s="5" t="str">
        <x:v>CUST-0319</x:v>
      </x:c>
      <x:c r="D50" s="5" t="str">
        <x:v>FD006</x:v>
      </x:c>
      <x:c r="E50" s="5" t="str">
        <x:v>Eba &amp; Egusi Soup</x:v>
      </x:c>
      <x:c r="F50" s="5" t="str">
        <x:v>Swallow</x:v>
      </x:c>
      <x:c r="G50" s="44" t="n">
        <x:v>4</x:v>
      </x:c>
      <x:c r="H50" s="45" t="n">
        <x:v>2600</x:v>
      </x:c>
      <x:c r="I50" s="46" t="n">
        <x:v>0</x:v>
      </x:c>
      <x:c r="J50" s="47" t="n">
        <x:f>G50*H50*(1-I50)</x:f>
        <x:v>10400</x:v>
      </x:c>
      <x:c r="K50" s="47" t="n">
        <x:v>1320</x:v>
      </x:c>
      <x:c r="L50" s="47" t="n">
        <x:f>G50*K50</x:f>
        <x:v>5280</x:v>
      </x:c>
      <x:c r="M50" s="47" t="n">
        <x:f>J50-L50</x:f>
        <x:v>5120</x:v>
      </x:c>
      <x:c r="N50" s="5" t="str">
        <x:v>Delivery</x:v>
      </x:c>
      <x:c r="O50" s="5" t="str">
        <x:v>Transfer</x:v>
      </x:c>
      <x:c r="P50" s="5" t="str">
        <x:v>Breakfast</x:v>
      </x:c>
      <x:c r="Q50" s="48" t="n">
        <x:v>10</x:v>
      </x:c>
      <x:c r="R50" s="5" t="n">
        <x:v>5</x:v>
      </x:c>
      <x:c r="S50" s="1"/>
      <x:c r="T50" s="1"/>
      <x:c r="U50" s="1"/>
      <x:c r="V50" s="1"/>
      <x:c r="W50" s="1"/>
      <x:c r="X50" s="1"/>
      <x:c r="Y50" s="1"/>
      <x:c r="Z50" s="1"/>
    </x:row>
    <x:row r="51">
      <x:c r="A51" s="5" t="str">
        <x:v>ORD-01585</x:v>
      </x:c>
      <x:c r="B51" s="43" t="n">
        <x:v>46028</x:v>
      </x:c>
      <x:c r="C51" s="5" t="str">
        <x:v>CUST-0437</x:v>
      </x:c>
      <x:c r="D51" s="5" t="str">
        <x:v>FD007</x:v>
      </x:c>
      <x:c r="E51" s="5" t="str">
        <x:v>Amala &amp; Ewedu</x:v>
      </x:c>
      <x:c r="F51" s="5" t="str">
        <x:v>Swallow</x:v>
      </x:c>
      <x:c r="G51" s="44" t="n">
        <x:v>3</x:v>
      </x:c>
      <x:c r="H51" s="45" t="n">
        <x:v>2500</x:v>
      </x:c>
      <x:c r="I51" s="46" t="n">
        <x:v>0</x:v>
      </x:c>
      <x:c r="J51" s="47" t="n">
        <x:f>G51*H51*(1-I51)</x:f>
        <x:v>7500</x:v>
      </x:c>
      <x:c r="K51" s="47" t="n">
        <x:v>1250</x:v>
      </x:c>
      <x:c r="L51" s="47" t="n">
        <x:f>G51*K51</x:f>
        <x:v>3750</x:v>
      </x:c>
      <x:c r="M51" s="47" t="n">
        <x:f>J51-L51</x:f>
        <x:v>3750</x:v>
      </x:c>
      <x:c r="N51" s="5" t="str">
        <x:v>Walk-in</x:v>
      </x:c>
      <x:c r="O51" s="5" t="str">
        <x:v>POS</x:v>
      </x:c>
      <x:c r="P51" s="5" t="str">
        <x:v>Lunch</x:v>
      </x:c>
      <x:c r="Q51" s="48" t="n">
        <x:v>13</x:v>
      </x:c>
      <x:c r="R51" s="5"/>
      <x:c r="S51" s="1"/>
      <x:c r="T51" s="1"/>
      <x:c r="U51" s="1"/>
      <x:c r="V51" s="1"/>
      <x:c r="W51" s="1"/>
      <x:c r="X51" s="1"/>
      <x:c r="Y51" s="1"/>
      <x:c r="Z51" s="1"/>
    </x:row>
    <x:row r="52">
      <x:c r="A52" s="5" t="str">
        <x:v>ORD-00018</x:v>
      </x:c>
      <x:c r="B52" s="43" t="n">
        <x:v>46029</x:v>
      </x:c>
      <x:c r="C52" s="5" t="str">
        <x:v>CUST-0473</x:v>
      </x:c>
      <x:c r="D52" s="5" t="str">
        <x:v>FD001</x:v>
      </x:c>
      <x:c r="E52" s="5" t="str">
        <x:v>White Rice &amp; Stew</x:v>
      </x:c>
      <x:c r="F52" s="5" t="str">
        <x:v>Rice Meals</x:v>
      </x:c>
      <x:c r="G52" s="44" t="n">
        <x:v>4</x:v>
      </x:c>
      <x:c r="H52" s="45" t="n">
        <x:v>1800</x:v>
      </x:c>
      <x:c r="I52" s="46" t="n">
        <x:v>0</x:v>
      </x:c>
      <x:c r="J52" s="47" t="n">
        <x:f>G52*H52*(1-I52)</x:f>
        <x:v>7200</x:v>
      </x:c>
      <x:c r="K52" s="47" t="n">
        <x:v>820</x:v>
      </x:c>
      <x:c r="L52" s="47" t="n">
        <x:f>G52*K52</x:f>
        <x:v>3280</x:v>
      </x:c>
      <x:c r="M52" s="47" t="n">
        <x:f>J52-L52</x:f>
        <x:v>3920</x:v>
      </x:c>
      <x:c r="N52" s="5" t="str">
        <x:v>Takeaway</x:v>
      </x:c>
      <x:c r="O52" s="5" t="str">
        <x:v>POS</x:v>
      </x:c>
      <x:c r="P52" s="5" t="str">
        <x:v>Lunch</x:v>
      </x:c>
      <x:c r="Q52" s="48" t="n">
        <x:v>11</x:v>
      </x:c>
      <x:c r="R52" s="5" t="n">
        <x:v>4</x:v>
      </x:c>
      <x:c r="S52" s="1"/>
      <x:c r="T52" s="1"/>
      <x:c r="U52" s="1"/>
      <x:c r="V52" s="1"/>
      <x:c r="W52" s="1"/>
      <x:c r="X52" s="1"/>
      <x:c r="Y52" s="1"/>
      <x:c r="Z52" s="1"/>
    </x:row>
    <x:row r="53">
      <x:c r="A53" s="5" t="str">
        <x:v>ORD-00392</x:v>
      </x:c>
      <x:c r="B53" s="43" t="n">
        <x:v>46029</x:v>
      </x:c>
      <x:c r="C53" s="5" t="str">
        <x:v>CUST-0582</x:v>
      </x:c>
      <x:c r="D53" s="5" t="str">
        <x:v>FD002</x:v>
      </x:c>
      <x:c r="E53" s="5" t="str">
        <x:v>Jollof Rice &amp; Chicken</x:v>
      </x:c>
      <x:c r="F53" s="5" t="str">
        <x:v>Rice Meals</x:v>
      </x:c>
      <x:c r="G53" s="44" t="n">
        <x:v>2</x:v>
      </x:c>
      <x:c r="H53" s="45" t="n">
        <x:v>2800</x:v>
      </x:c>
      <x:c r="I53" s="46" t="n">
        <x:v>0</x:v>
      </x:c>
      <x:c r="J53" s="47" t="n">
        <x:f>G53*H53*(1-I53)</x:f>
        <x:v>5600</x:v>
      </x:c>
      <x:c r="K53" s="47" t="n">
        <x:v>1450</x:v>
      </x:c>
      <x:c r="L53" s="47" t="n">
        <x:f>G53*K53</x:f>
        <x:v>2900</x:v>
      </x:c>
      <x:c r="M53" s="47" t="n">
        <x:f>J53-L53</x:f>
        <x:v>2700</x:v>
      </x:c>
      <x:c r="N53" s="5" t="str">
        <x:v>Walk-in</x:v>
      </x:c>
      <x:c r="O53" s="5" t="str">
        <x:v>Transfer</x:v>
      </x:c>
      <x:c r="P53" s="5" t="str">
        <x:v>Lunch</x:v>
      </x:c>
      <x:c r="Q53" s="48" t="n">
        <x:v>15</x:v>
      </x:c>
      <x:c r="R53" s="5" t="n">
        <x:v>5</x:v>
      </x:c>
      <x:c r="S53" s="1"/>
      <x:c r="T53" s="1"/>
      <x:c r="U53" s="1"/>
      <x:c r="V53" s="1"/>
      <x:c r="W53" s="1"/>
      <x:c r="X53" s="1"/>
      <x:c r="Y53" s="1"/>
      <x:c r="Z53" s="1"/>
    </x:row>
    <x:row r="54">
      <x:c r="A54" s="5" t="str">
        <x:v>ORD-00556</x:v>
      </x:c>
      <x:c r="B54" s="43" t="n">
        <x:v>46029</x:v>
      </x:c>
      <x:c r="C54" s="5" t="str">
        <x:v>CUST-0503</x:v>
      </x:c>
      <x:c r="D54" s="5" t="str">
        <x:v>FD004</x:v>
      </x:c>
      <x:c r="E54" s="5" t="str">
        <x:v>Beans &amp; Plantain</x:v>
      </x:c>
      <x:c r="F54" s="5" t="str">
        <x:v>Traditional Meals</x:v>
      </x:c>
      <x:c r="G54" s="44" t="n">
        <x:v>3</x:v>
      </x:c>
      <x:c r="H54" s="45" t="n">
        <x:v>2000</x:v>
      </x:c>
      <x:c r="I54" s="46" t="n">
        <x:v>0</x:v>
      </x:c>
      <x:c r="J54" s="47" t="n">
        <x:f>G54*H54*(1-I54)</x:f>
        <x:v>6000</x:v>
      </x:c>
      <x:c r="K54" s="47" t="n">
        <x:v>960</x:v>
      </x:c>
      <x:c r="L54" s="47" t="n">
        <x:f>G54*K54</x:f>
        <x:v>2880</x:v>
      </x:c>
      <x:c r="M54" s="47" t="n">
        <x:f>J54-L54</x:f>
        <x:v>3120</x:v>
      </x:c>
      <x:c r="N54" s="5" t="str">
        <x:v>Walk-in</x:v>
      </x:c>
      <x:c r="O54" s="5" t="str">
        <x:v>Transfer</x:v>
      </x:c>
      <x:c r="P54" s="5" t="str">
        <x:v>Lunch</x:v>
      </x:c>
      <x:c r="Q54" s="48" t="n">
        <x:v>13</x:v>
      </x:c>
      <x:c r="R54" s="5" t="n">
        <x:v>4</x:v>
      </x:c>
      <x:c r="S54" s="1"/>
      <x:c r="T54" s="1"/>
      <x:c r="U54" s="1"/>
      <x:c r="V54" s="1"/>
      <x:c r="W54" s="1"/>
      <x:c r="X54" s="1"/>
      <x:c r="Y54" s="1"/>
      <x:c r="Z54" s="1"/>
    </x:row>
    <x:row r="55">
      <x:c r="A55" s="5" t="str">
        <x:v>ORD-00918</x:v>
      </x:c>
      <x:c r="B55" s="43" t="n">
        <x:v>46029</x:v>
      </x:c>
      <x:c r="C55" s="5" t="str">
        <x:v>CUST-0496</x:v>
      </x:c>
      <x:c r="D55" s="5" t="str">
        <x:v>FD003</x:v>
      </x:c>
      <x:c r="E55" s="5" t="str">
        <x:v>Fried Rice &amp; Chicken</x:v>
      </x:c>
      <x:c r="F55" s="5" t="str">
        <x:v>Rice Meals</x:v>
      </x:c>
      <x:c r="G55" s="44" t="n">
        <x:v>4</x:v>
      </x:c>
      <x:c r="H55" s="45" t="n">
        <x:v>3000</x:v>
      </x:c>
      <x:c r="I55" s="46" t="n">
        <x:v>0.05</x:v>
      </x:c>
      <x:c r="J55" s="47" t="n">
        <x:f>G55*H55*(1-I55)</x:f>
        <x:v>11400</x:v>
      </x:c>
      <x:c r="K55" s="47" t="n">
        <x:v>1580</x:v>
      </x:c>
      <x:c r="L55" s="47" t="n">
        <x:f>G55*K55</x:f>
        <x:v>6320</x:v>
      </x:c>
      <x:c r="M55" s="47" t="n">
        <x:f>J55-L55</x:f>
        <x:v>5080</x:v>
      </x:c>
      <x:c r="N55" s="5" t="str">
        <x:v>Takeaway</x:v>
      </x:c>
      <x:c r="O55" s="5" t="str">
        <x:v>Transfer</x:v>
      </x:c>
      <x:c r="P55" s="5" t="str">
        <x:v>Lunch</x:v>
      </x:c>
      <x:c r="Q55" s="48" t="n">
        <x:v>11</x:v>
      </x:c>
      <x:c r="R55" s="5" t="n">
        <x:v>5</x:v>
      </x:c>
      <x:c r="S55" s="1"/>
      <x:c r="T55" s="1"/>
      <x:c r="U55" s="1"/>
      <x:c r="V55" s="1"/>
      <x:c r="W55" s="1"/>
      <x:c r="X55" s="1"/>
      <x:c r="Y55" s="1"/>
      <x:c r="Z55" s="1"/>
    </x:row>
    <x:row r="56">
      <x:c r="A56" s="5" t="str">
        <x:v>ORD-01006</x:v>
      </x:c>
      <x:c r="B56" s="43" t="n">
        <x:v>46029</x:v>
      </x:c>
      <x:c r="C56" s="5" t="str">
        <x:v>CUST-0218</x:v>
      </x:c>
      <x:c r="D56" s="5" t="str">
        <x:v>FD002</x:v>
      </x:c>
      <x:c r="E56" s="5" t="str">
        <x:v>Jollof Rice &amp; Chicken</x:v>
      </x:c>
      <x:c r="F56" s="5" t="str">
        <x:v>Rice Meals</x:v>
      </x:c>
      <x:c r="G56" s="44" t="n">
        <x:v>3</x:v>
      </x:c>
      <x:c r="H56" s="45" t="n">
        <x:v>2800</x:v>
      </x:c>
      <x:c r="I56" s="46" t="n">
        <x:v>0</x:v>
      </x:c>
      <x:c r="J56" s="47" t="n">
        <x:f>G56*H56*(1-I56)</x:f>
        <x:v>8400</x:v>
      </x:c>
      <x:c r="K56" s="47" t="n">
        <x:v>1450</x:v>
      </x:c>
      <x:c r="L56" s="47" t="n">
        <x:f>G56*K56</x:f>
        <x:v>4350</x:v>
      </x:c>
      <x:c r="M56" s="47" t="n">
        <x:f>J56-L56</x:f>
        <x:v>4050</x:v>
      </x:c>
      <x:c r="N56" s="5" t="str">
        <x:v>Delivery</x:v>
      </x:c>
      <x:c r="O56" s="5" t="str">
        <x:v>Cash</x:v>
      </x:c>
      <x:c r="P56" s="5" t="str">
        <x:v>Lunch</x:v>
      </x:c>
      <x:c r="Q56" s="48" t="n">
        <x:v>12</x:v>
      </x:c>
      <x:c r="R56" s="5" t="n">
        <x:v>4</x:v>
      </x:c>
      <x:c r="S56" s="1"/>
      <x:c r="T56" s="1"/>
      <x:c r="U56" s="1"/>
      <x:c r="V56" s="1"/>
      <x:c r="W56" s="1"/>
      <x:c r="X56" s="1"/>
      <x:c r="Y56" s="1"/>
      <x:c r="Z56" s="1"/>
    </x:row>
    <x:row r="57">
      <x:c r="A57" s="5" t="str">
        <x:v>ORD-01604</x:v>
      </x:c>
      <x:c r="B57" s="43" t="n">
        <x:v>46029</x:v>
      </x:c>
      <x:c r="C57" s="5" t="str">
        <x:v>CUST-0145</x:v>
      </x:c>
      <x:c r="D57" s="5" t="str">
        <x:v>FD004</x:v>
      </x:c>
      <x:c r="E57" s="5" t="str">
        <x:v>Beans &amp; Plantain</x:v>
      </x:c>
      <x:c r="F57" s="5" t="str">
        <x:v>Traditional Meals</x:v>
      </x:c>
      <x:c r="G57" s="44" t="n">
        <x:v>2</x:v>
      </x:c>
      <x:c r="H57" s="45" t="n">
        <x:v>2000</x:v>
      </x:c>
      <x:c r="I57" s="46" t="n">
        <x:v>0</x:v>
      </x:c>
      <x:c r="J57" s="47" t="n">
        <x:f>G57*H57*(1-I57)</x:f>
        <x:v>4000</x:v>
      </x:c>
      <x:c r="K57" s="47" t="n">
        <x:v>960</x:v>
      </x:c>
      <x:c r="L57" s="47" t="n">
        <x:f>G57*K57</x:f>
        <x:v>1920</x:v>
      </x:c>
      <x:c r="M57" s="47" t="n">
        <x:f>J57-L57</x:f>
        <x:v>2080</x:v>
      </x:c>
      <x:c r="N57" s="5" t="str">
        <x:v>Walk-in</x:v>
      </x:c>
      <x:c r="O57" s="5" t="str">
        <x:v>Cash</x:v>
      </x:c>
      <x:c r="P57" s="5" t="str">
        <x:v>Lunch</x:v>
      </x:c>
      <x:c r="Q57" s="48" t="n">
        <x:v>12</x:v>
      </x:c>
      <x:c r="R57" s="5" t="n">
        <x:v>3</x:v>
      </x:c>
      <x:c r="S57" s="1"/>
      <x:c r="T57" s="1"/>
      <x:c r="U57" s="1"/>
      <x:c r="V57" s="1"/>
      <x:c r="W57" s="1"/>
      <x:c r="X57" s="1"/>
      <x:c r="Y57" s="1"/>
      <x:c r="Z57" s="1"/>
    </x:row>
    <x:row r="58">
      <x:c r="A58" s="5" t="str">
        <x:v>ORD-01779</x:v>
      </x:c>
      <x:c r="B58" s="43" t="n">
        <x:v>46029</x:v>
      </x:c>
      <x:c r="C58" s="5" t="str">
        <x:v>CUST-0059</x:v>
      </x:c>
      <x:c r="D58" s="5" t="str">
        <x:v>FD005</x:v>
      </x:c>
      <x:c r="E58" s="5" t="str">
        <x:v>Yam Porridge</x:v>
      </x:c>
      <x:c r="F58" s="5" t="str">
        <x:v>Traditional Meals</x:v>
      </x:c>
      <x:c r="G58" s="44" t="n">
        <x:v>1</x:v>
      </x:c>
      <x:c r="H58" s="45" t="n">
        <x:v>2200</x:v>
      </x:c>
      <x:c r="I58" s="46" t="n">
        <x:v>0</x:v>
      </x:c>
      <x:c r="J58" s="47" t="n">
        <x:f>G58*H58*(1-I58)</x:f>
        <x:v>2200</x:v>
      </x:c>
      <x:c r="K58" s="47" t="n">
        <x:v>1050</x:v>
      </x:c>
      <x:c r="L58" s="47" t="n">
        <x:f>G58*K58</x:f>
        <x:v>1050</x:v>
      </x:c>
      <x:c r="M58" s="47" t="n">
        <x:f>J58-L58</x:f>
        <x:v>1150</x:v>
      </x:c>
      <x:c r="N58" s="5" t="str">
        <x:v>Walk-in</x:v>
      </x:c>
      <x:c r="O58" s="5" t="str">
        <x:v>Cash</x:v>
      </x:c>
      <x:c r="P58" s="5" t="str">
        <x:v>Lunch</x:v>
      </x:c>
      <x:c r="Q58" s="48" t="n">
        <x:v>14</x:v>
      </x:c>
      <x:c r="R58" s="5" t="n">
        <x:v>4</x:v>
      </x:c>
      <x:c r="S58" s="1"/>
      <x:c r="T58" s="1"/>
      <x:c r="U58" s="1"/>
      <x:c r="V58" s="1"/>
      <x:c r="W58" s="1"/>
      <x:c r="X58" s="1"/>
      <x:c r="Y58" s="1"/>
      <x:c r="Z58" s="1"/>
    </x:row>
    <x:row r="59">
      <x:c r="A59" s="5" t="str">
        <x:v>ORD-00269</x:v>
      </x:c>
      <x:c r="B59" s="43" t="n">
        <x:v>46030</x:v>
      </x:c>
      <x:c r="C59" s="5" t="str">
        <x:v>CUST-0123</x:v>
      </x:c>
      <x:c r="D59" s="5" t="str">
        <x:v>FD005</x:v>
      </x:c>
      <x:c r="E59" s="5" t="str">
        <x:v>Yam Porridge</x:v>
      </x:c>
      <x:c r="F59" s="5" t="str">
        <x:v>Traditional Meals</x:v>
      </x:c>
      <x:c r="G59" s="44" t="n">
        <x:v>3</x:v>
      </x:c>
      <x:c r="H59" s="45" t="n">
        <x:v>2200</x:v>
      </x:c>
      <x:c r="I59" s="46" t="n">
        <x:v>0</x:v>
      </x:c>
      <x:c r="J59" s="47" t="n">
        <x:f>G59*H59*(1-I59)</x:f>
        <x:v>6600</x:v>
      </x:c>
      <x:c r="K59" s="47" t="n">
        <x:v>1050</x:v>
      </x:c>
      <x:c r="L59" s="47" t="n">
        <x:f>G59*K59</x:f>
        <x:v>3150</x:v>
      </x:c>
      <x:c r="M59" s="47" t="n">
        <x:f>J59-L59</x:f>
        <x:v>3450</x:v>
      </x:c>
      <x:c r="N59" s="5" t="str">
        <x:v>Walk-in</x:v>
      </x:c>
      <x:c r="O59" s="5" t="str">
        <x:v>POS</x:v>
      </x:c>
      <x:c r="P59" s="5" t="str">
        <x:v>Lunch</x:v>
      </x:c>
      <x:c r="Q59" s="48" t="n">
        <x:v>13</x:v>
      </x:c>
      <x:c r="R59" s="5" t="n">
        <x:v>5</x:v>
      </x:c>
      <x:c r="S59" s="1"/>
      <x:c r="T59" s="1"/>
      <x:c r="U59" s="1"/>
      <x:c r="V59" s="1"/>
      <x:c r="W59" s="1"/>
      <x:c r="X59" s="1"/>
      <x:c r="Y59" s="1"/>
      <x:c r="Z59" s="1"/>
    </x:row>
    <x:row r="60">
      <x:c r="A60" s="5" t="str">
        <x:v>ORD-00405</x:v>
      </x:c>
      <x:c r="B60" s="43" t="n">
        <x:v>46030</x:v>
      </x:c>
      <x:c r="C60" s="5" t="str">
        <x:v>CUST-0319</x:v>
      </x:c>
      <x:c r="D60" s="5" t="str">
        <x:v>FD009</x:v>
      </x:c>
      <x:c r="E60" s="5" t="str">
        <x:v>Moi Moi</x:v>
      </x:c>
      <x:c r="F60" s="5" t="str">
        <x:v>Sides</x:v>
      </x:c>
      <x:c r="G60" s="44" t="n">
        <x:v>2</x:v>
      </x:c>
      <x:c r="H60" s="45" t="n">
        <x:v>900</x:v>
      </x:c>
      <x:c r="I60" s="46" t="n">
        <x:v>0</x:v>
      </x:c>
      <x:c r="J60" s="47" t="n">
        <x:f>G60*H60*(1-I60)</x:f>
        <x:v>1800</x:v>
      </x:c>
      <x:c r="K60" s="47" t="n">
        <x:v>380</x:v>
      </x:c>
      <x:c r="L60" s="47" t="n">
        <x:f>G60*K60</x:f>
        <x:v>760</x:v>
      </x:c>
      <x:c r="M60" s="47" t="n">
        <x:f>J60-L60</x:f>
        <x:v>1040</x:v>
      </x:c>
      <x:c r="N60" s="5" t="str">
        <x:v>Takeaway</x:v>
      </x:c>
      <x:c r="O60" s="5" t="str">
        <x:v>Cash</x:v>
      </x:c>
      <x:c r="P60" s="5" t="str">
        <x:v>Lunch</x:v>
      </x:c>
      <x:c r="Q60" s="48" t="n">
        <x:v>11</x:v>
      </x:c>
      <x:c r="R60" s="5" t="n">
        <x:v>4</x:v>
      </x:c>
      <x:c r="S60" s="1"/>
      <x:c r="T60" s="1"/>
      <x:c r="U60" s="1"/>
      <x:c r="V60" s="1"/>
      <x:c r="W60" s="1"/>
      <x:c r="X60" s="1"/>
      <x:c r="Y60" s="1"/>
      <x:c r="Z60" s="1"/>
    </x:row>
    <x:row r="61">
      <x:c r="A61" s="5" t="str">
        <x:v>ORD-00548</x:v>
      </x:c>
      <x:c r="B61" s="43" t="n">
        <x:v>46030</x:v>
      </x:c>
      <x:c r="C61" s="5" t="str">
        <x:v>CUST-0082</x:v>
      </x:c>
      <x:c r="D61" s="5" t="str">
        <x:v>FD004</x:v>
      </x:c>
      <x:c r="E61" s="5" t="str">
        <x:v>Beans &amp; Plantain</x:v>
      </x:c>
      <x:c r="F61" s="5" t="str">
        <x:v>Traditional Meals</x:v>
      </x:c>
      <x:c r="G61" s="44" t="n">
        <x:v>3</x:v>
      </x:c>
      <x:c r="H61" s="45" t="n">
        <x:v>2000</x:v>
      </x:c>
      <x:c r="I61" s="46" t="n">
        <x:v>0</x:v>
      </x:c>
      <x:c r="J61" s="47" t="n">
        <x:f>G61*H61*(1-I61)</x:f>
        <x:v>6000</x:v>
      </x:c>
      <x:c r="K61" s="47" t="n">
        <x:v>960</x:v>
      </x:c>
      <x:c r="L61" s="47" t="n">
        <x:f>G61*K61</x:f>
        <x:v>2880</x:v>
      </x:c>
      <x:c r="M61" s="47" t="n">
        <x:f>J61-L61</x:f>
        <x:v>3120</x:v>
      </x:c>
      <x:c r="N61" s="5" t="str">
        <x:v>Walk-in</x:v>
      </x:c>
      <x:c r="O61" s="5" t="str">
        <x:v>POS</x:v>
      </x:c>
      <x:c r="P61" s="5" t="str">
        <x:v>Lunch</x:v>
      </x:c>
      <x:c r="Q61" s="48" t="n">
        <x:v>12</x:v>
      </x:c>
      <x:c r="R61" s="5" t="n">
        <x:v>5</x:v>
      </x:c>
      <x:c r="S61" s="1"/>
      <x:c r="T61" s="1"/>
      <x:c r="U61" s="1"/>
      <x:c r="V61" s="1"/>
      <x:c r="W61" s="1"/>
      <x:c r="X61" s="1"/>
      <x:c r="Y61" s="1"/>
      <x:c r="Z61" s="1"/>
    </x:row>
    <x:row r="62">
      <x:c r="A62" s="5" t="str">
        <x:v>ORD-00965</x:v>
      </x:c>
      <x:c r="B62" s="43" t="n">
        <x:v>46030</x:v>
      </x:c>
      <x:c r="C62" s="5" t="str">
        <x:v>CUST-0197</x:v>
      </x:c>
      <x:c r="D62" s="5" t="str">
        <x:v>FD002</x:v>
      </x:c>
      <x:c r="E62" s="5" t="str">
        <x:v>Jollof Rice &amp; Chicken</x:v>
      </x:c>
      <x:c r="F62" s="5" t="str">
        <x:v>Rice Meals</x:v>
      </x:c>
      <x:c r="G62" s="44" t="n">
        <x:v>3</x:v>
      </x:c>
      <x:c r="H62" s="45" t="n">
        <x:v>2800</x:v>
      </x:c>
      <x:c r="I62" s="46" t="n">
        <x:v>0.05</x:v>
      </x:c>
      <x:c r="J62" s="47" t="n">
        <x:f>G62*H62*(1-I62)</x:f>
        <x:v>7980</x:v>
      </x:c>
      <x:c r="K62" s="47" t="n">
        <x:v>1450</x:v>
      </x:c>
      <x:c r="L62" s="47" t="n">
        <x:f>G62*K62</x:f>
        <x:v>4350</x:v>
      </x:c>
      <x:c r="M62" s="47" t="n">
        <x:f>J62-L62</x:f>
        <x:v>3630</x:v>
      </x:c>
      <x:c r="N62" s="5" t="str">
        <x:v>Walk-in</x:v>
      </x:c>
      <x:c r="O62" s="5" t="str">
        <x:v>Cash</x:v>
      </x:c>
      <x:c r="P62" s="5" t="str">
        <x:v>Lunch</x:v>
      </x:c>
      <x:c r="Q62" s="48" t="n">
        <x:v>14</x:v>
      </x:c>
      <x:c r="R62" s="5" t="n">
        <x:v>4</x:v>
      </x:c>
      <x:c r="S62" s="1"/>
      <x:c r="T62" s="1"/>
      <x:c r="U62" s="1"/>
      <x:c r="V62" s="1"/>
      <x:c r="W62" s="1"/>
      <x:c r="X62" s="1"/>
      <x:c r="Y62" s="1"/>
      <x:c r="Z62" s="1"/>
    </x:row>
    <x:row r="63">
      <x:c r="A63" s="5" t="str">
        <x:v>ORD-00616</x:v>
      </x:c>
      <x:c r="B63" s="43" t="n">
        <x:v>46031</x:v>
      </x:c>
      <x:c r="C63" s="5" t="str">
        <x:v>CUST-0496</x:v>
      </x:c>
      <x:c r="D63" s="5" t="str">
        <x:v>FD001</x:v>
      </x:c>
      <x:c r="E63" s="5" t="str">
        <x:v>White Rice &amp; Stew</x:v>
      </x:c>
      <x:c r="F63" s="5" t="str">
        <x:v>Rice Meals</x:v>
      </x:c>
      <x:c r="G63" s="44" t="n">
        <x:v>1</x:v>
      </x:c>
      <x:c r="H63" s="45" t="n">
        <x:v>1800</x:v>
      </x:c>
      <x:c r="I63" s="46" t="n">
        <x:v>0</x:v>
      </x:c>
      <x:c r="J63" s="47" t="n">
        <x:f>G63*H63*(1-I63)</x:f>
        <x:v>1800</x:v>
      </x:c>
      <x:c r="K63" s="47" t="n">
        <x:v>820</x:v>
      </x:c>
      <x:c r="L63" s="47" t="n">
        <x:f>G63*K63</x:f>
        <x:v>820</x:v>
      </x:c>
      <x:c r="M63" s="47" t="n">
        <x:f>J63-L63</x:f>
        <x:v>980</x:v>
      </x:c>
      <x:c r="N63" s="5" t="str">
        <x:v>Delivery</x:v>
      </x:c>
      <x:c r="O63" s="5" t="str">
        <x:v>Transfer</x:v>
      </x:c>
      <x:c r="P63" s="5" t="str">
        <x:v>Lunch</x:v>
      </x:c>
      <x:c r="Q63" s="48" t="n">
        <x:v>11</x:v>
      </x:c>
      <x:c r="R63" s="5" t="n">
        <x:v>4</x:v>
      </x:c>
      <x:c r="S63" s="1"/>
      <x:c r="T63" s="1"/>
      <x:c r="U63" s="1"/>
      <x:c r="V63" s="1"/>
      <x:c r="W63" s="1"/>
      <x:c r="X63" s="1"/>
      <x:c r="Y63" s="1"/>
      <x:c r="Z63" s="1"/>
    </x:row>
    <x:row r="64">
      <x:c r="A64" s="5" t="str">
        <x:v>ORD-00709</x:v>
      </x:c>
      <x:c r="B64" s="43" t="n">
        <x:v>46031</x:v>
      </x:c>
      <x:c r="C64" s="5" t="str">
        <x:v>CUST-0307</x:v>
      </x:c>
      <x:c r="D64" s="5" t="str">
        <x:v>FD001</x:v>
      </x:c>
      <x:c r="E64" s="5" t="str">
        <x:v>White Rice &amp; Stew</x:v>
      </x:c>
      <x:c r="F64" s="5" t="str">
        <x:v>Rice Meals</x:v>
      </x:c>
      <x:c r="G64" s="44" t="n">
        <x:v>4</x:v>
      </x:c>
      <x:c r="H64" s="45" t="n">
        <x:v>1800</x:v>
      </x:c>
      <x:c r="I64" s="46" t="n">
        <x:v>0</x:v>
      </x:c>
      <x:c r="J64" s="47" t="n">
        <x:f>G64*H64*(1-I64)</x:f>
        <x:v>7200</x:v>
      </x:c>
      <x:c r="K64" s="47" t="n">
        <x:v>820</x:v>
      </x:c>
      <x:c r="L64" s="47" t="n">
        <x:f>G64*K64</x:f>
        <x:v>3280</x:v>
      </x:c>
      <x:c r="M64" s="47" t="n">
        <x:f>J64-L64</x:f>
        <x:v>3920</x:v>
      </x:c>
      <x:c r="N64" s="5" t="str">
        <x:v>Takeaway</x:v>
      </x:c>
      <x:c r="O64" s="5" t="str">
        <x:v>Transfer</x:v>
      </x:c>
      <x:c r="P64" s="5" t="str">
        <x:v>Lunch</x:v>
      </x:c>
      <x:c r="Q64" s="48" t="n">
        <x:v>12</x:v>
      </x:c>
      <x:c r="R64" s="5" t="n">
        <x:v>4</x:v>
      </x:c>
      <x:c r="S64" s="1"/>
      <x:c r="T64" s="1"/>
      <x:c r="U64" s="1"/>
      <x:c r="V64" s="1"/>
      <x:c r="W64" s="1"/>
      <x:c r="X64" s="1"/>
      <x:c r="Y64" s="1"/>
      <x:c r="Z64" s="1"/>
    </x:row>
    <x:row r="65">
      <x:c r="A65" s="5" t="str">
        <x:v>ORD-00895</x:v>
      </x:c>
      <x:c r="B65" s="43" t="n">
        <x:v>46031</x:v>
      </x:c>
      <x:c r="C65" s="5" t="str">
        <x:v>CUST-0346</x:v>
      </x:c>
      <x:c r="D65" s="5" t="str">
        <x:v>FD005</x:v>
      </x:c>
      <x:c r="E65" s="5" t="str">
        <x:v>Yam Porridge</x:v>
      </x:c>
      <x:c r="F65" s="5" t="str">
        <x:v>Traditional Meals</x:v>
      </x:c>
      <x:c r="G65" s="44" t="n">
        <x:v>2</x:v>
      </x:c>
      <x:c r="H65" s="45" t="n">
        <x:v>2200</x:v>
      </x:c>
      <x:c r="I65" s="46" t="n">
        <x:v>0</x:v>
      </x:c>
      <x:c r="J65" s="47" t="n">
        <x:f>G65*H65*(1-I65)</x:f>
        <x:v>4400</x:v>
      </x:c>
      <x:c r="K65" s="47" t="n">
        <x:v>1050</x:v>
      </x:c>
      <x:c r="L65" s="47" t="n">
        <x:f>G65*K65</x:f>
        <x:v>2100</x:v>
      </x:c>
      <x:c r="M65" s="47" t="n">
        <x:f>J65-L65</x:f>
        <x:v>2300</x:v>
      </x:c>
      <x:c r="N65" s="5" t="str">
        <x:v>Walk-in</x:v>
      </x:c>
      <x:c r="O65" s="5" t="str">
        <x:v>Transfer</x:v>
      </x:c>
      <x:c r="P65" s="5" t="str">
        <x:v>Lunch</x:v>
      </x:c>
      <x:c r="Q65" s="48" t="n">
        <x:v>13</x:v>
      </x:c>
      <x:c r="R65" s="5" t="n">
        <x:v>3</x:v>
      </x:c>
      <x:c r="S65" s="1"/>
      <x:c r="T65" s="1"/>
      <x:c r="U65" s="1"/>
      <x:c r="V65" s="1"/>
      <x:c r="W65" s="1"/>
      <x:c r="X65" s="1"/>
      <x:c r="Y65" s="1"/>
      <x:c r="Z65" s="1"/>
    </x:row>
    <x:row r="66">
      <x:c r="A66" s="5" t="str">
        <x:v>ORD-01327</x:v>
      </x:c>
      <x:c r="B66" s="43" t="n">
        <x:v>46031</x:v>
      </x:c>
      <x:c r="C66" s="5" t="str">
        <x:v>CUST-0322</x:v>
      </x:c>
      <x:c r="D66" s="5" t="str">
        <x:v>FD006</x:v>
      </x:c>
      <x:c r="E66" s="5" t="str">
        <x:v>Eba &amp; Egusi Soup</x:v>
      </x:c>
      <x:c r="F66" s="5" t="str">
        <x:v>Swallow</x:v>
      </x:c>
      <x:c r="G66" s="44" t="n">
        <x:v>1</x:v>
      </x:c>
      <x:c r="H66" s="45" t="n">
        <x:v>2600</x:v>
      </x:c>
      <x:c r="I66" s="46" t="n">
        <x:v>0</x:v>
      </x:c>
      <x:c r="J66" s="47" t="n">
        <x:f>G66*H66*(1-I66)</x:f>
        <x:v>2600</x:v>
      </x:c>
      <x:c r="K66" s="47" t="n">
        <x:v>1320</x:v>
      </x:c>
      <x:c r="L66" s="47" t="n">
        <x:f>G66*K66</x:f>
        <x:v>1320</x:v>
      </x:c>
      <x:c r="M66" s="47" t="n">
        <x:f>J66-L66</x:f>
        <x:v>1280</x:v>
      </x:c>
      <x:c r="N66" s="5" t="str">
        <x:v>Takeaway</x:v>
      </x:c>
      <x:c r="O66" s="5" t="str">
        <x:v>POS</x:v>
      </x:c>
      <x:c r="P66" s="5" t="str">
        <x:v>Lunch</x:v>
      </x:c>
      <x:c r="Q66" s="48" t="n">
        <x:v>15</x:v>
      </x:c>
      <x:c r="R66" s="5" t="n">
        <x:v>4</x:v>
      </x:c>
      <x:c r="S66" s="1"/>
      <x:c r="T66" s="1"/>
      <x:c r="U66" s="1"/>
      <x:c r="V66" s="1"/>
      <x:c r="W66" s="1"/>
      <x:c r="X66" s="1"/>
      <x:c r="Y66" s="1"/>
      <x:c r="Z66" s="1"/>
    </x:row>
    <x:row r="67">
      <x:c r="A67" s="5" t="str">
        <x:v>ORD-01489</x:v>
      </x:c>
      <x:c r="B67" s="43" t="n">
        <x:v>46031</x:v>
      </x:c>
      <x:c r="C67" s="5" t="str">
        <x:v>CUST-0616</x:v>
      </x:c>
      <x:c r="D67" s="5" t="str">
        <x:v>FD006</x:v>
      </x:c>
      <x:c r="E67" s="5" t="str">
        <x:v>Eba &amp; Egusi Soup</x:v>
      </x:c>
      <x:c r="F67" s="5" t="str">
        <x:v>Swallow</x:v>
      </x:c>
      <x:c r="G67" s="44" t="n">
        <x:v>3</x:v>
      </x:c>
      <x:c r="H67" s="45" t="n">
        <x:v>2600</x:v>
      </x:c>
      <x:c r="I67" s="46" t="n">
        <x:v>0</x:v>
      </x:c>
      <x:c r="J67" s="47" t="n">
        <x:f>G67*H67*(1-I67)</x:f>
        <x:v>7800</x:v>
      </x:c>
      <x:c r="K67" s="47" t="n">
        <x:v>1320</x:v>
      </x:c>
      <x:c r="L67" s="47" t="n">
        <x:f>G67*K67</x:f>
        <x:v>3960</x:v>
      </x:c>
      <x:c r="M67" s="47" t="n">
        <x:f>J67-L67</x:f>
        <x:v>3840</x:v>
      </x:c>
      <x:c r="N67" s="5" t="str">
        <x:v>Walk-in</x:v>
      </x:c>
      <x:c r="O67" s="5" t="str">
        <x:v>POS</x:v>
      </x:c>
      <x:c r="P67" s="5" t="str">
        <x:v>Dinner</x:v>
      </x:c>
      <x:c r="Q67" s="48" t="n">
        <x:v>17</x:v>
      </x:c>
      <x:c r="R67" s="5" t="n">
        <x:v>3</x:v>
      </x:c>
      <x:c r="S67" s="1"/>
      <x:c r="T67" s="1"/>
      <x:c r="U67" s="1"/>
      <x:c r="V67" s="1"/>
      <x:c r="W67" s="1"/>
      <x:c r="X67" s="1"/>
      <x:c r="Y67" s="1"/>
      <x:c r="Z67" s="1"/>
    </x:row>
    <x:row r="68">
      <x:c r="A68" s="5" t="str">
        <x:v>ORD-01613</x:v>
      </x:c>
      <x:c r="B68" s="43" t="n">
        <x:v>46031</x:v>
      </x:c>
      <x:c r="C68" s="5" t="str">
        <x:v>CUST-0385</x:v>
      </x:c>
      <x:c r="D68" s="5" t="str">
        <x:v>FD007</x:v>
      </x:c>
      <x:c r="E68" s="5" t="str">
        <x:v>Amala &amp; Ewedu</x:v>
      </x:c>
      <x:c r="F68" s="5" t="str">
        <x:v>Swallow</x:v>
      </x:c>
      <x:c r="G68" s="44" t="n">
        <x:v>1</x:v>
      </x:c>
      <x:c r="H68" s="45" t="n">
        <x:v>2500</x:v>
      </x:c>
      <x:c r="I68" s="46" t="n">
        <x:v>0</x:v>
      </x:c>
      <x:c r="J68" s="47" t="n">
        <x:f>G68*H68*(1-I68)</x:f>
        <x:v>2500</x:v>
      </x:c>
      <x:c r="K68" s="47" t="n">
        <x:v>1250</x:v>
      </x:c>
      <x:c r="L68" s="47" t="n">
        <x:f>G68*K68</x:f>
        <x:v>1250</x:v>
      </x:c>
      <x:c r="M68" s="47" t="n">
        <x:f>J68-L68</x:f>
        <x:v>1250</x:v>
      </x:c>
      <x:c r="N68" s="5" t="str">
        <x:v>Walk-in</x:v>
      </x:c>
      <x:c r="O68" s="5" t="str">
        <x:v>POS</x:v>
      </x:c>
      <x:c r="P68" s="5" t="str">
        <x:v>Lunch</x:v>
      </x:c>
      <x:c r="Q68" s="48" t="n">
        <x:v>11</x:v>
      </x:c>
      <x:c r="R68" s="5" t="n">
        <x:v>5</x:v>
      </x:c>
      <x:c r="S68" s="1"/>
      <x:c r="T68" s="1"/>
      <x:c r="U68" s="1"/>
      <x:c r="V68" s="1"/>
      <x:c r="W68" s="1"/>
      <x:c r="X68" s="1"/>
      <x:c r="Y68" s="1"/>
      <x:c r="Z68" s="1"/>
    </x:row>
    <x:row r="69">
      <x:c r="A69" s="5" t="str">
        <x:v>ORD-01715</x:v>
      </x:c>
      <x:c r="B69" s="43" t="n">
        <x:v>46031</x:v>
      </x:c>
      <x:c r="C69" s="5" t="str">
        <x:v>CUST-0335</x:v>
      </x:c>
      <x:c r="D69" s="5" t="str">
        <x:v>FD008</x:v>
      </x:c>
      <x:c r="E69" s="5" t="str">
        <x:v>Pounded Yam &amp; Vegetable Soup</x:v>
      </x:c>
      <x:c r="F69" s="5" t="str">
        <x:v>Swallow</x:v>
      </x:c>
      <x:c r="G69" s="44" t="n">
        <x:v>2</x:v>
      </x:c>
      <x:c r="H69" s="45" t="n">
        <x:v>3200</x:v>
      </x:c>
      <x:c r="I69" s="46" t="n">
        <x:v>0</x:v>
      </x:c>
      <x:c r="J69" s="47" t="n">
        <x:f>G69*H69*(1-I69)</x:f>
        <x:v>6400</x:v>
      </x:c>
      <x:c r="K69" s="47" t="n">
        <x:v>1710</x:v>
      </x:c>
      <x:c r="L69" s="47" t="n">
        <x:f>G69*K69</x:f>
        <x:v>3420</x:v>
      </x:c>
      <x:c r="M69" s="47" t="n">
        <x:f>J69-L69</x:f>
        <x:v>2980</x:v>
      </x:c>
      <x:c r="N69" s="5" t="str">
        <x:v>Walk-in</x:v>
      </x:c>
      <x:c r="O69" s="5" t="str">
        <x:v>POS</x:v>
      </x:c>
      <x:c r="P69" s="5" t="str">
        <x:v>Dinner</x:v>
      </x:c>
      <x:c r="Q69" s="48" t="n">
        <x:v>16</x:v>
      </x:c>
      <x:c r="R69" s="5" t="n">
        <x:v>5</x:v>
      </x:c>
      <x:c r="S69" s="1"/>
      <x:c r="T69" s="1"/>
      <x:c r="U69" s="1"/>
      <x:c r="V69" s="1"/>
      <x:c r="W69" s="1"/>
      <x:c r="X69" s="1"/>
      <x:c r="Y69" s="1"/>
      <x:c r="Z69" s="1"/>
    </x:row>
    <x:row r="70">
      <x:c r="A70" s="5" t="str">
        <x:v>ORD-01765</x:v>
      </x:c>
      <x:c r="B70" s="43" t="n">
        <x:v>46031</x:v>
      </x:c>
      <x:c r="C70" s="5" t="str">
        <x:v>CUST-0124</x:v>
      </x:c>
      <x:c r="D70" s="5" t="str">
        <x:v>FD003</x:v>
      </x:c>
      <x:c r="E70" s="5" t="str">
        <x:v>Fried Rice &amp; Chicken</x:v>
      </x:c>
      <x:c r="F70" s="5" t="str">
        <x:v>Rice Meals</x:v>
      </x:c>
      <x:c r="G70" s="44" t="n">
        <x:v>2</x:v>
      </x:c>
      <x:c r="H70" s="45" t="n">
        <x:v>3000</x:v>
      </x:c>
      <x:c r="I70" s="46" t="n">
        <x:v>0</x:v>
      </x:c>
      <x:c r="J70" s="47" t="n">
        <x:f>G70*H70*(1-I70)</x:f>
        <x:v>6000</x:v>
      </x:c>
      <x:c r="K70" s="47" t="n">
        <x:v>1580</x:v>
      </x:c>
      <x:c r="L70" s="47" t="n">
        <x:f>G70*K70</x:f>
        <x:v>3160</x:v>
      </x:c>
      <x:c r="M70" s="47" t="n">
        <x:f>J70-L70</x:f>
        <x:v>2840</x:v>
      </x:c>
      <x:c r="N70" s="5" t="str">
        <x:v>Walk-in</x:v>
      </x:c>
      <x:c r="O70" s="5" t="str">
        <x:v>POS</x:v>
      </x:c>
      <x:c r="P70" s="5" t="str">
        <x:v>Lunch</x:v>
      </x:c>
      <x:c r="Q70" s="48" t="n">
        <x:v>13</x:v>
      </x:c>
      <x:c r="R70" s="5"/>
      <x:c r="S70" s="1"/>
      <x:c r="T70" s="1"/>
      <x:c r="U70" s="1"/>
      <x:c r="V70" s="1"/>
      <x:c r="W70" s="1"/>
      <x:c r="X70" s="1"/>
      <x:c r="Y70" s="1"/>
      <x:c r="Z70" s="1"/>
    </x:row>
    <x:row r="71">
      <x:c r="A71" s="5" t="str">
        <x:v>ORD-00016</x:v>
      </x:c>
      <x:c r="B71" s="43" t="n">
        <x:v>46032</x:v>
      </x:c>
      <x:c r="C71" s="5" t="str">
        <x:v>CUST-0365</x:v>
      </x:c>
      <x:c r="D71" s="5" t="str">
        <x:v>FD012</x:v>
      </x:c>
      <x:c r="E71" s="5" t="str">
        <x:v>Fried Plantain</x:v>
      </x:c>
      <x:c r="F71" s="5" t="str">
        <x:v>Sides</x:v>
      </x:c>
      <x:c r="G71" s="44" t="n">
        <x:v>4</x:v>
      </x:c>
      <x:c r="H71" s="45" t="n">
        <x:v>700</x:v>
      </x:c>
      <x:c r="I71" s="46" t="n">
        <x:v>0.05</x:v>
      </x:c>
      <x:c r="J71" s="47" t="n">
        <x:f>G71*H71*(1-I71)</x:f>
        <x:v>2660</x:v>
      </x:c>
      <x:c r="K71" s="47" t="n">
        <x:v>300</x:v>
      </x:c>
      <x:c r="L71" s="47" t="n">
        <x:f>G71*K71</x:f>
        <x:v>1200</x:v>
      </x:c>
      <x:c r="M71" s="47" t="n">
        <x:f>J71-L71</x:f>
        <x:v>1460</x:v>
      </x:c>
      <x:c r="N71" s="5" t="str">
        <x:v>Takeaway</x:v>
      </x:c>
      <x:c r="O71" s="5" t="str">
        <x:v>Transfer</x:v>
      </x:c>
      <x:c r="P71" s="5" t="str">
        <x:v>Lunch</x:v>
      </x:c>
      <x:c r="Q71" s="48" t="n">
        <x:v>15</x:v>
      </x:c>
      <x:c r="R71" s="5" t="n">
        <x:v>5</x:v>
      </x:c>
      <x:c r="S71" s="1"/>
      <x:c r="T71" s="1"/>
      <x:c r="U71" s="1"/>
      <x:c r="V71" s="1"/>
      <x:c r="W71" s="1"/>
      <x:c r="X71" s="1"/>
      <x:c r="Y71" s="1"/>
      <x:c r="Z71" s="1"/>
    </x:row>
    <x:row r="72">
      <x:c r="A72" s="5" t="str">
        <x:v>ORD-00357</x:v>
      </x:c>
      <x:c r="B72" s="43" t="n">
        <x:v>46032</x:v>
      </x:c>
      <x:c r="C72" s="5" t="str">
        <x:v>CUST-0269</x:v>
      </x:c>
      <x:c r="D72" s="5" t="str">
        <x:v>FD006</x:v>
      </x:c>
      <x:c r="E72" s="5" t="str">
        <x:v>Eba &amp; Egusi Soup</x:v>
      </x:c>
      <x:c r="F72" s="5" t="str">
        <x:v>Swallow</x:v>
      </x:c>
      <x:c r="G72" s="44" t="n">
        <x:v>1</x:v>
      </x:c>
      <x:c r="H72" s="45" t="n">
        <x:v>2600</x:v>
      </x:c>
      <x:c r="I72" s="46" t="n">
        <x:v>0</x:v>
      </x:c>
      <x:c r="J72" s="47" t="n">
        <x:f>G72*H72*(1-I72)</x:f>
        <x:v>2600</x:v>
      </x:c>
      <x:c r="K72" s="47" t="n">
        <x:v>1320</x:v>
      </x:c>
      <x:c r="L72" s="47" t="n">
        <x:f>G72*K72</x:f>
        <x:v>1320</x:v>
      </x:c>
      <x:c r="M72" s="47" t="n">
        <x:f>J72-L72</x:f>
        <x:v>1280</x:v>
      </x:c>
      <x:c r="N72" s="5" t="str">
        <x:v>Walk-in</x:v>
      </x:c>
      <x:c r="O72" s="5" t="str">
        <x:v>Transfer</x:v>
      </x:c>
      <x:c r="P72" s="5" t="str">
        <x:v>Breakfast</x:v>
      </x:c>
      <x:c r="Q72" s="48" t="n">
        <x:v>8</x:v>
      </x:c>
      <x:c r="R72" s="5" t="n">
        <x:v>5</x:v>
      </x:c>
      <x:c r="S72" s="1"/>
      <x:c r="T72" s="1"/>
      <x:c r="U72" s="1"/>
      <x:c r="V72" s="1"/>
      <x:c r="W72" s="1"/>
      <x:c r="X72" s="1"/>
      <x:c r="Y72" s="1"/>
      <x:c r="Z72" s="1"/>
    </x:row>
    <x:row r="73">
      <x:c r="A73" s="5" t="str">
        <x:v>ORD-00674</x:v>
      </x:c>
      <x:c r="B73" s="43" t="n">
        <x:v>46032</x:v>
      </x:c>
      <x:c r="C73" s="5" t="str">
        <x:v>CUST-0337</x:v>
      </x:c>
      <x:c r="D73" s="5" t="str">
        <x:v>FD003</x:v>
      </x:c>
      <x:c r="E73" s="5" t="str">
        <x:v>Fried Rice &amp; Chicken</x:v>
      </x:c>
      <x:c r="F73" s="5" t="str">
        <x:v>Rice Meals</x:v>
      </x:c>
      <x:c r="G73" s="44" t="n">
        <x:v>3</x:v>
      </x:c>
      <x:c r="H73" s="45" t="n">
        <x:v>3000</x:v>
      </x:c>
      <x:c r="I73" s="46" t="n">
        <x:v>0</x:v>
      </x:c>
      <x:c r="J73" s="47" t="n">
        <x:f>G73*H73*(1-I73)</x:f>
        <x:v>9000</x:v>
      </x:c>
      <x:c r="K73" s="47" t="n">
        <x:v>1580</x:v>
      </x:c>
      <x:c r="L73" s="47" t="n">
        <x:f>G73*K73</x:f>
        <x:v>4740</x:v>
      </x:c>
      <x:c r="M73" s="47" t="n">
        <x:f>J73-L73</x:f>
        <x:v>4260</x:v>
      </x:c>
      <x:c r="N73" s="5" t="str">
        <x:v>Takeaway</x:v>
      </x:c>
      <x:c r="O73" s="5" t="str">
        <x:v>Transfer</x:v>
      </x:c>
      <x:c r="P73" s="5" t="str">
        <x:v>Dinner</x:v>
      </x:c>
      <x:c r="Q73" s="48" t="n">
        <x:v>18</x:v>
      </x:c>
      <x:c r="R73" s="5" t="n">
        <x:v>5</x:v>
      </x:c>
      <x:c r="S73" s="1"/>
      <x:c r="T73" s="1"/>
      <x:c r="U73" s="1"/>
      <x:c r="V73" s="1"/>
      <x:c r="W73" s="1"/>
      <x:c r="X73" s="1"/>
      <x:c r="Y73" s="1"/>
      <x:c r="Z73" s="1"/>
    </x:row>
    <x:row r="74">
      <x:c r="A74" s="5" t="str">
        <x:v>ORD-00830</x:v>
      </x:c>
      <x:c r="B74" s="43" t="n">
        <x:v>46032</x:v>
      </x:c>
      <x:c r="C74" s="5" t="str">
        <x:v>CUST-0472</x:v>
      </x:c>
      <x:c r="D74" s="5" t="str">
        <x:v>FD003</x:v>
      </x:c>
      <x:c r="E74" s="5" t="str">
        <x:v>Fried Rice &amp; Chicken</x:v>
      </x:c>
      <x:c r="F74" s="5" t="str">
        <x:v>Rice Meals</x:v>
      </x:c>
      <x:c r="G74" s="44" t="n">
        <x:v>4</x:v>
      </x:c>
      <x:c r="H74" s="45" t="n">
        <x:v>3000</x:v>
      </x:c>
      <x:c r="I74" s="46" t="n">
        <x:v>0</x:v>
      </x:c>
      <x:c r="J74" s="47" t="n">
        <x:f>G74*H74*(1-I74)</x:f>
        <x:v>12000</x:v>
      </x:c>
      <x:c r="K74" s="47" t="n">
        <x:v>1580</x:v>
      </x:c>
      <x:c r="L74" s="47" t="n">
        <x:f>G74*K74</x:f>
        <x:v>6320</x:v>
      </x:c>
      <x:c r="M74" s="47" t="n">
        <x:f>J74-L74</x:f>
        <x:v>5680</x:v>
      </x:c>
      <x:c r="N74" s="5" t="str">
        <x:v>Walk-in</x:v>
      </x:c>
      <x:c r="O74" s="5" t="str">
        <x:v>Transfer</x:v>
      </x:c>
      <x:c r="P74" s="5" t="str">
        <x:v>Breakfast</x:v>
      </x:c>
      <x:c r="Q74" s="48" t="n">
        <x:v>9</x:v>
      </x:c>
      <x:c r="R74" s="5"/>
      <x:c r="S74" s="1"/>
      <x:c r="T74" s="1"/>
      <x:c r="U74" s="1"/>
      <x:c r="V74" s="1"/>
      <x:c r="W74" s="1"/>
      <x:c r="X74" s="1"/>
      <x:c r="Y74" s="1"/>
      <x:c r="Z74" s="1"/>
    </x:row>
    <x:row r="75">
      <x:c r="A75" s="5" t="str">
        <x:v>ORD-01058</x:v>
      </x:c>
      <x:c r="B75" s="43" t="n">
        <x:v>46032</x:v>
      </x:c>
      <x:c r="C75" s="5" t="str">
        <x:v>CUST-0116</x:v>
      </x:c>
      <x:c r="D75" s="5" t="str">
        <x:v>FD007</x:v>
      </x:c>
      <x:c r="E75" s="5" t="str">
        <x:v>Amala &amp; Ewedu</x:v>
      </x:c>
      <x:c r="F75" s="5" t="str">
        <x:v>Swallow</x:v>
      </x:c>
      <x:c r="G75" s="44" t="n">
        <x:v>1</x:v>
      </x:c>
      <x:c r="H75" s="45" t="n">
        <x:v>2500</x:v>
      </x:c>
      <x:c r="I75" s="46" t="n">
        <x:v>0</x:v>
      </x:c>
      <x:c r="J75" s="47" t="n">
        <x:f>G75*H75*(1-I75)</x:f>
        <x:v>2500</x:v>
      </x:c>
      <x:c r="K75" s="47" t="n">
        <x:v>1250</x:v>
      </x:c>
      <x:c r="L75" s="47" t="n">
        <x:f>G75*K75</x:f>
        <x:v>1250</x:v>
      </x:c>
      <x:c r="M75" s="47" t="n">
        <x:f>J75-L75</x:f>
        <x:v>1250</x:v>
      </x:c>
      <x:c r="N75" s="5" t="str">
        <x:v>Walk-in</x:v>
      </x:c>
      <x:c r="O75" s="5" t="str">
        <x:v>Transfer</x:v>
      </x:c>
      <x:c r="P75" s="5" t="str">
        <x:v>Dinner</x:v>
      </x:c>
      <x:c r="Q75" s="48" t="n">
        <x:v>20</x:v>
      </x:c>
      <x:c r="R75" s="5" t="n">
        <x:v>4</x:v>
      </x:c>
      <x:c r="S75" s="1"/>
      <x:c r="T75" s="1"/>
      <x:c r="U75" s="1"/>
      <x:c r="V75" s="1"/>
      <x:c r="W75" s="1"/>
      <x:c r="X75" s="1"/>
      <x:c r="Y75" s="1"/>
      <x:c r="Z75" s="1"/>
    </x:row>
    <x:row r="76">
      <x:c r="A76" s="5" t="str">
        <x:v>ORD-01187</x:v>
      </x:c>
      <x:c r="B76" s="43" t="n">
        <x:v>46032</x:v>
      </x:c>
      <x:c r="C76" s="5" t="str">
        <x:v>CUST-0079</x:v>
      </x:c>
      <x:c r="D76" s="5" t="str">
        <x:v>FD001</x:v>
      </x:c>
      <x:c r="E76" s="5" t="str">
        <x:v>White Rice &amp; Stew</x:v>
      </x:c>
      <x:c r="F76" s="5" t="str">
        <x:v>Rice Meals</x:v>
      </x:c>
      <x:c r="G76" s="44" t="n">
        <x:v>3</x:v>
      </x:c>
      <x:c r="H76" s="45" t="n">
        <x:v>1800</x:v>
      </x:c>
      <x:c r="I76" s="46" t="n">
        <x:v>0</x:v>
      </x:c>
      <x:c r="J76" s="47" t="n">
        <x:f>G76*H76*(1-I76)</x:f>
        <x:v>5400</x:v>
      </x:c>
      <x:c r="K76" s="47" t="n">
        <x:v>820</x:v>
      </x:c>
      <x:c r="L76" s="47" t="n">
        <x:f>G76*K76</x:f>
        <x:v>2460</x:v>
      </x:c>
      <x:c r="M76" s="47" t="n">
        <x:f>J76-L76</x:f>
        <x:v>2940</x:v>
      </x:c>
      <x:c r="N76" s="5" t="str">
        <x:v>Walk-in</x:v>
      </x:c>
      <x:c r="O76" s="5" t="str">
        <x:v>POS</x:v>
      </x:c>
      <x:c r="P76" s="5" t="str">
        <x:v>Lunch</x:v>
      </x:c>
      <x:c r="Q76" s="48" t="n">
        <x:v>11</x:v>
      </x:c>
      <x:c r="R76" s="5" t="n">
        <x:v>4</x:v>
      </x:c>
      <x:c r="S76" s="1"/>
      <x:c r="T76" s="1"/>
      <x:c r="U76" s="1"/>
      <x:c r="V76" s="1"/>
      <x:c r="W76" s="1"/>
      <x:c r="X76" s="1"/>
      <x:c r="Y76" s="1"/>
      <x:c r="Z76" s="1"/>
    </x:row>
    <x:row r="77">
      <x:c r="A77" s="5" t="str">
        <x:v>ORD-01213</x:v>
      </x:c>
      <x:c r="B77" s="43" t="n">
        <x:v>46032</x:v>
      </x:c>
      <x:c r="C77" s="5" t="str">
        <x:v>CUST-0295</x:v>
      </x:c>
      <x:c r="D77" s="5" t="str">
        <x:v>FD003</x:v>
      </x:c>
      <x:c r="E77" s="5" t="str">
        <x:v>Fried Rice &amp; Chicken</x:v>
      </x:c>
      <x:c r="F77" s="5" t="str">
        <x:v>Rice Meals</x:v>
      </x:c>
      <x:c r="G77" s="44" t="n">
        <x:v>4</x:v>
      </x:c>
      <x:c r="H77" s="45" t="n">
        <x:v>3000</x:v>
      </x:c>
      <x:c r="I77" s="46" t="n">
        <x:v>0</x:v>
      </x:c>
      <x:c r="J77" s="47" t="n">
        <x:f>G77*H77*(1-I77)</x:f>
        <x:v>12000</x:v>
      </x:c>
      <x:c r="K77" s="47" t="n">
        <x:v>1580</x:v>
      </x:c>
      <x:c r="L77" s="47" t="n">
        <x:f>G77*K77</x:f>
        <x:v>6320</x:v>
      </x:c>
      <x:c r="M77" s="47" t="n">
        <x:f>J77-L77</x:f>
        <x:v>5680</x:v>
      </x:c>
      <x:c r="N77" s="5" t="str">
        <x:v>Walk-in</x:v>
      </x:c>
      <x:c r="O77" s="5" t="str">
        <x:v>POS</x:v>
      </x:c>
      <x:c r="P77" s="5" t="str">
        <x:v>Dinner</x:v>
      </x:c>
      <x:c r="Q77" s="48" t="n">
        <x:v>19</x:v>
      </x:c>
      <x:c r="R77" s="5" t="n">
        <x:v>5</x:v>
      </x:c>
      <x:c r="S77" s="1"/>
      <x:c r="T77" s="1"/>
      <x:c r="U77" s="1"/>
      <x:c r="V77" s="1"/>
      <x:c r="W77" s="1"/>
      <x:c r="X77" s="1"/>
      <x:c r="Y77" s="1"/>
      <x:c r="Z77" s="1"/>
    </x:row>
    <x:row r="78">
      <x:c r="A78" s="5" t="str">
        <x:v>ORD-01365</x:v>
      </x:c>
      <x:c r="B78" s="43" t="n">
        <x:v>46032</x:v>
      </x:c>
      <x:c r="C78" s="5" t="str">
        <x:v>CUST-0359</x:v>
      </x:c>
      <x:c r="D78" s="5" t="str">
        <x:v>FD008</x:v>
      </x:c>
      <x:c r="E78" s="5" t="str">
        <x:v>Pounded Yam &amp; Vegetable Soup</x:v>
      </x:c>
      <x:c r="F78" s="5" t="str">
        <x:v>Swallow</x:v>
      </x:c>
      <x:c r="G78" s="44" t="n">
        <x:v>2</x:v>
      </x:c>
      <x:c r="H78" s="45" t="n">
        <x:v>3200</x:v>
      </x:c>
      <x:c r="I78" s="46" t="n">
        <x:v>0</x:v>
      </x:c>
      <x:c r="J78" s="47" t="n">
        <x:f>G78*H78*(1-I78)</x:f>
        <x:v>6400</x:v>
      </x:c>
      <x:c r="K78" s="47" t="n">
        <x:v>1710</x:v>
      </x:c>
      <x:c r="L78" s="47" t="n">
        <x:f>G78*K78</x:f>
        <x:v>3420</x:v>
      </x:c>
      <x:c r="M78" s="47" t="n">
        <x:f>J78-L78</x:f>
        <x:v>2980</x:v>
      </x:c>
      <x:c r="N78" s="5" t="str">
        <x:v>Walk-in</x:v>
      </x:c>
      <x:c r="O78" s="5" t="str">
        <x:v>Transfer</x:v>
      </x:c>
      <x:c r="P78" s="5" t="str">
        <x:v>Lunch</x:v>
      </x:c>
      <x:c r="Q78" s="48" t="n">
        <x:v>11</x:v>
      </x:c>
      <x:c r="R78" s="5" t="n">
        <x:v>4</x:v>
      </x:c>
      <x:c r="S78" s="1"/>
      <x:c r="T78" s="1"/>
      <x:c r="U78" s="1"/>
      <x:c r="V78" s="1"/>
      <x:c r="W78" s="1"/>
      <x:c r="X78" s="1"/>
      <x:c r="Y78" s="1"/>
      <x:c r="Z78" s="1"/>
    </x:row>
    <x:row r="79">
      <x:c r="A79" s="5" t="str">
        <x:v>ORD-01533</x:v>
      </x:c>
      <x:c r="B79" s="43" t="n">
        <x:v>46032</x:v>
      </x:c>
      <x:c r="C79" s="5" t="str">
        <x:v>CUST-0287</x:v>
      </x:c>
      <x:c r="D79" s="5" t="str">
        <x:v>FD002</x:v>
      </x:c>
      <x:c r="E79" s="5" t="str">
        <x:v>Jollof Rice &amp; Chicken</x:v>
      </x:c>
      <x:c r="F79" s="5" t="str">
        <x:v>Rice Meals</x:v>
      </x:c>
      <x:c r="G79" s="44" t="n">
        <x:v>2</x:v>
      </x:c>
      <x:c r="H79" s="45" t="n">
        <x:v>2800</x:v>
      </x:c>
      <x:c r="I79" s="46" t="n">
        <x:v>0</x:v>
      </x:c>
      <x:c r="J79" s="47" t="n">
        <x:f>G79*H79*(1-I79)</x:f>
        <x:v>5600</x:v>
      </x:c>
      <x:c r="K79" s="47" t="n">
        <x:v>1450</x:v>
      </x:c>
      <x:c r="L79" s="47" t="n">
        <x:f>G79*K79</x:f>
        <x:v>2900</x:v>
      </x:c>
      <x:c r="M79" s="47" t="n">
        <x:f>J79-L79</x:f>
        <x:v>2700</x:v>
      </x:c>
      <x:c r="N79" s="5" t="str">
        <x:v>Takeaway</x:v>
      </x:c>
      <x:c r="O79" s="5" t="str">
        <x:v>POS</x:v>
      </x:c>
      <x:c r="P79" s="5" t="str">
        <x:v>Lunch</x:v>
      </x:c>
      <x:c r="Q79" s="48" t="n">
        <x:v>14</x:v>
      </x:c>
      <x:c r="R79" s="5" t="n">
        <x:v>5</x:v>
      </x:c>
      <x:c r="S79" s="1"/>
      <x:c r="T79" s="1"/>
      <x:c r="U79" s="1"/>
      <x:c r="V79" s="1"/>
      <x:c r="W79" s="1"/>
      <x:c r="X79" s="1"/>
      <x:c r="Y79" s="1"/>
      <x:c r="Z79" s="1"/>
    </x:row>
    <x:row r="80">
      <x:c r="A80" s="5" t="str">
        <x:v>ORD-01592</x:v>
      </x:c>
      <x:c r="B80" s="43" t="n">
        <x:v>46032</x:v>
      </x:c>
      <x:c r="C80" s="5" t="str">
        <x:v>CUST-0036</x:v>
      </x:c>
      <x:c r="D80" s="5" t="str">
        <x:v>FD001</x:v>
      </x:c>
      <x:c r="E80" s="5" t="str">
        <x:v>White Rice &amp; Stew</x:v>
      </x:c>
      <x:c r="F80" s="5" t="str">
        <x:v>Rice Meals</x:v>
      </x:c>
      <x:c r="G80" s="44" t="n">
        <x:v>4</x:v>
      </x:c>
      <x:c r="H80" s="45" t="n">
        <x:v>1800</x:v>
      </x:c>
      <x:c r="I80" s="46" t="n">
        <x:v>0</x:v>
      </x:c>
      <x:c r="J80" s="47" t="n">
        <x:f>G80*H80*(1-I80)</x:f>
        <x:v>7200</x:v>
      </x:c>
      <x:c r="K80" s="47" t="n">
        <x:v>820</x:v>
      </x:c>
      <x:c r="L80" s="47" t="n">
        <x:f>G80*K80</x:f>
        <x:v>3280</x:v>
      </x:c>
      <x:c r="M80" s="47" t="n">
        <x:f>J80-L80</x:f>
        <x:v>3920</x:v>
      </x:c>
      <x:c r="N80" s="5" t="str">
        <x:v>Walk-in</x:v>
      </x:c>
      <x:c r="O80" s="5" t="str">
        <x:v>Transfer</x:v>
      </x:c>
      <x:c r="P80" s="5" t="str">
        <x:v>Lunch</x:v>
      </x:c>
      <x:c r="Q80" s="48" t="n">
        <x:v>11</x:v>
      </x:c>
      <x:c r="R80" s="5" t="n">
        <x:v>4</x:v>
      </x:c>
      <x:c r="S80" s="1"/>
      <x:c r="T80" s="1"/>
      <x:c r="U80" s="1"/>
      <x:c r="V80" s="1"/>
      <x:c r="W80" s="1"/>
      <x:c r="X80" s="1"/>
      <x:c r="Y80" s="1"/>
      <x:c r="Z80" s="1"/>
    </x:row>
    <x:row r="81">
      <x:c r="A81" s="5" t="str">
        <x:v>ORD-01698</x:v>
      </x:c>
      <x:c r="B81" s="43" t="n">
        <x:v>46032</x:v>
      </x:c>
      <x:c r="C81" s="5" t="str">
        <x:v>CUST-0471</x:v>
      </x:c>
      <x:c r="D81" s="5" t="str">
        <x:v>FD007</x:v>
      </x:c>
      <x:c r="E81" s="5" t="str">
        <x:v>Amala &amp; Ewedu</x:v>
      </x:c>
      <x:c r="F81" s="5" t="str">
        <x:v>Swallow</x:v>
      </x:c>
      <x:c r="G81" s="44" t="n">
        <x:v>2</x:v>
      </x:c>
      <x:c r="H81" s="45" t="n">
        <x:v>2500</x:v>
      </x:c>
      <x:c r="I81" s="46" t="n">
        <x:v>0</x:v>
      </x:c>
      <x:c r="J81" s="47" t="n">
        <x:f>G81*H81*(1-I81)</x:f>
        <x:v>5000</x:v>
      </x:c>
      <x:c r="K81" s="47" t="n">
        <x:v>1250</x:v>
      </x:c>
      <x:c r="L81" s="47" t="n">
        <x:f>G81*K81</x:f>
        <x:v>2500</x:v>
      </x:c>
      <x:c r="M81" s="47" t="n">
        <x:f>J81-L81</x:f>
        <x:v>2500</x:v>
      </x:c>
      <x:c r="N81" s="5" t="str">
        <x:v>Walk-in</x:v>
      </x:c>
      <x:c r="O81" s="5" t="str">
        <x:v>POS</x:v>
      </x:c>
      <x:c r="P81" s="5" t="str">
        <x:v>Lunch</x:v>
      </x:c>
      <x:c r="Q81" s="48" t="n">
        <x:v>15</x:v>
      </x:c>
      <x:c r="R81" s="5" t="n">
        <x:v>4</x:v>
      </x:c>
      <x:c r="S81" s="1"/>
      <x:c r="T81" s="1"/>
      <x:c r="U81" s="1"/>
      <x:c r="V81" s="1"/>
      <x:c r="W81" s="1"/>
      <x:c r="X81" s="1"/>
      <x:c r="Y81" s="1"/>
      <x:c r="Z81" s="1"/>
    </x:row>
    <x:row r="82">
      <x:c r="A82" s="5" t="str">
        <x:v>ORD-00353</x:v>
      </x:c>
      <x:c r="B82" s="43" t="n">
        <x:v>46033</x:v>
      </x:c>
      <x:c r="C82" s="5" t="str">
        <x:v>CUST-0585</x:v>
      </x:c>
      <x:c r="D82" s="5" t="str">
        <x:v>FD005</x:v>
      </x:c>
      <x:c r="E82" s="5" t="str">
        <x:v>Yam Porridge</x:v>
      </x:c>
      <x:c r="F82" s="5" t="str">
        <x:v>Traditional Meals</x:v>
      </x:c>
      <x:c r="G82" s="44" t="n">
        <x:v>2</x:v>
      </x:c>
      <x:c r="H82" s="45" t="n">
        <x:v>2200</x:v>
      </x:c>
      <x:c r="I82" s="46" t="n">
        <x:v>0</x:v>
      </x:c>
      <x:c r="J82" s="47" t="n">
        <x:f>G82*H82*(1-I82)</x:f>
        <x:v>4400</x:v>
      </x:c>
      <x:c r="K82" s="47" t="n">
        <x:v>1050</x:v>
      </x:c>
      <x:c r="L82" s="47" t="n">
        <x:f>G82*K82</x:f>
        <x:v>2100</x:v>
      </x:c>
      <x:c r="M82" s="47" t="n">
        <x:f>J82-L82</x:f>
        <x:v>2300</x:v>
      </x:c>
      <x:c r="N82" s="5" t="str">
        <x:v>Delivery</x:v>
      </x:c>
      <x:c r="O82" s="5" t="str">
        <x:v>Transfer</x:v>
      </x:c>
      <x:c r="P82" s="5" t="str">
        <x:v>Breakfast</x:v>
      </x:c>
      <x:c r="Q82" s="48" t="n">
        <x:v>9</x:v>
      </x:c>
      <x:c r="R82" s="5"/>
      <x:c r="S82" s="1"/>
      <x:c r="T82" s="1"/>
      <x:c r="U82" s="1"/>
      <x:c r="V82" s="1"/>
      <x:c r="W82" s="1"/>
      <x:c r="X82" s="1"/>
      <x:c r="Y82" s="1"/>
      <x:c r="Z82" s="1"/>
    </x:row>
    <x:row r="83">
      <x:c r="A83" s="5" t="str">
        <x:v>ORD-00360</x:v>
      </x:c>
      <x:c r="B83" s="43" t="n">
        <x:v>46033</x:v>
      </x:c>
      <x:c r="C83" s="5" t="str">
        <x:v>CUST-0299</x:v>
      </x:c>
      <x:c r="D83" s="5" t="str">
        <x:v>FD006</x:v>
      </x:c>
      <x:c r="E83" s="5" t="str">
        <x:v>Eba &amp; Egusi Soup</x:v>
      </x:c>
      <x:c r="F83" s="5" t="str">
        <x:v>Swallow</x:v>
      </x:c>
      <x:c r="G83" s="44" t="n">
        <x:v>3</x:v>
      </x:c>
      <x:c r="H83" s="45" t="n">
        <x:v>2600</x:v>
      </x:c>
      <x:c r="I83" s="46" t="n">
        <x:v>0</x:v>
      </x:c>
      <x:c r="J83" s="47" t="n">
        <x:f>G83*H83*(1-I83)</x:f>
        <x:v>7800</x:v>
      </x:c>
      <x:c r="K83" s="47" t="n">
        <x:v>1320</x:v>
      </x:c>
      <x:c r="L83" s="47" t="n">
        <x:f>G83*K83</x:f>
        <x:v>3960</x:v>
      </x:c>
      <x:c r="M83" s="47" t="n">
        <x:f>J83-L83</x:f>
        <x:v>3840</x:v>
      </x:c>
      <x:c r="N83" s="5" t="str">
        <x:v>Walk-in</x:v>
      </x:c>
      <x:c r="O83" s="5" t="str">
        <x:v>Transfer</x:v>
      </x:c>
      <x:c r="P83" s="5" t="str">
        <x:v>Dinner</x:v>
      </x:c>
      <x:c r="Q83" s="48" t="n">
        <x:v>16</x:v>
      </x:c>
      <x:c r="R83" s="5" t="n">
        <x:v>5</x:v>
      </x:c>
      <x:c r="S83" s="1"/>
      <x:c r="T83" s="1"/>
      <x:c r="U83" s="1"/>
      <x:c r="V83" s="1"/>
      <x:c r="W83" s="1"/>
      <x:c r="X83" s="1"/>
      <x:c r="Y83" s="1"/>
      <x:c r="Z83" s="1"/>
    </x:row>
    <x:row r="84">
      <x:c r="A84" s="5" t="str">
        <x:v>ORD-00583</x:v>
      </x:c>
      <x:c r="B84" s="43" t="n">
        <x:v>46033</x:v>
      </x:c>
      <x:c r="C84" s="5" t="str">
        <x:v>CUST-0641</x:v>
      </x:c>
      <x:c r="D84" s="5" t="str">
        <x:v>FD005</x:v>
      </x:c>
      <x:c r="E84" s="5" t="str">
        <x:v>Yam Porridge</x:v>
      </x:c>
      <x:c r="F84" s="5" t="str">
        <x:v>Traditional Meals</x:v>
      </x:c>
      <x:c r="G84" s="44" t="n">
        <x:v>4</x:v>
      </x:c>
      <x:c r="H84" s="45" t="n">
        <x:v>2200</x:v>
      </x:c>
      <x:c r="I84" s="46" t="n">
        <x:v>0</x:v>
      </x:c>
      <x:c r="J84" s="47" t="n">
        <x:f>G84*H84*(1-I84)</x:f>
        <x:v>8800</x:v>
      </x:c>
      <x:c r="K84" s="47" t="n">
        <x:v>1050</x:v>
      </x:c>
      <x:c r="L84" s="47" t="n">
        <x:f>G84*K84</x:f>
        <x:v>4200</x:v>
      </x:c>
      <x:c r="M84" s="47" t="n">
        <x:f>J84-L84</x:f>
        <x:v>4600</x:v>
      </x:c>
      <x:c r="N84" s="5" t="str">
        <x:v>Walk-in</x:v>
      </x:c>
      <x:c r="O84" s="5" t="str">
        <x:v>Cash</x:v>
      </x:c>
      <x:c r="P84" s="5" t="str">
        <x:v>Breakfast</x:v>
      </x:c>
      <x:c r="Q84" s="48" t="n">
        <x:v>8</x:v>
      </x:c>
      <x:c r="R84" s="5" t="n">
        <x:v>4</x:v>
      </x:c>
      <x:c r="S84" s="1"/>
      <x:c r="T84" s="1"/>
      <x:c r="U84" s="1"/>
      <x:c r="V84" s="1"/>
      <x:c r="W84" s="1"/>
      <x:c r="X84" s="1"/>
      <x:c r="Y84" s="1"/>
      <x:c r="Z84" s="1"/>
    </x:row>
    <x:row r="85">
      <x:c r="A85" s="5" t="str">
        <x:v>ORD-00897</x:v>
      </x:c>
      <x:c r="B85" s="43" t="n">
        <x:v>46033</x:v>
      </x:c>
      <x:c r="C85" s="5" t="str">
        <x:v>CUST-0247</x:v>
      </x:c>
      <x:c r="D85" s="5" t="str">
        <x:v>FD001</x:v>
      </x:c>
      <x:c r="E85" s="5" t="str">
        <x:v>White Rice &amp; Stew</x:v>
      </x:c>
      <x:c r="F85" s="5" t="str">
        <x:v>Rice Meals</x:v>
      </x:c>
      <x:c r="G85" s="44" t="n">
        <x:v>2</x:v>
      </x:c>
      <x:c r="H85" s="45" t="n">
        <x:v>1800</x:v>
      </x:c>
      <x:c r="I85" s="46" t="n">
        <x:v>0</x:v>
      </x:c>
      <x:c r="J85" s="47" t="n">
        <x:f>G85*H85*(1-I85)</x:f>
        <x:v>3600</x:v>
      </x:c>
      <x:c r="K85" s="47" t="n">
        <x:v>820</x:v>
      </x:c>
      <x:c r="L85" s="47" t="n">
        <x:f>G85*K85</x:f>
        <x:v>1640</x:v>
      </x:c>
      <x:c r="M85" s="47" t="n">
        <x:f>J85-L85</x:f>
        <x:v>1960</x:v>
      </x:c>
      <x:c r="N85" s="5" t="str">
        <x:v>Takeaway</x:v>
      </x:c>
      <x:c r="O85" s="5" t="str">
        <x:v>POS</x:v>
      </x:c>
      <x:c r="P85" s="5" t="str">
        <x:v>Breakfast</x:v>
      </x:c>
      <x:c r="Q85" s="48" t="n">
        <x:v>10</x:v>
      </x:c>
      <x:c r="R85" s="5" t="n">
        <x:v>5</x:v>
      </x:c>
      <x:c r="S85" s="1"/>
      <x:c r="T85" s="1"/>
      <x:c r="U85" s="1"/>
      <x:c r="V85" s="1"/>
      <x:c r="W85" s="1"/>
      <x:c r="X85" s="1"/>
      <x:c r="Y85" s="1"/>
      <x:c r="Z85" s="1"/>
    </x:row>
    <x:row r="86">
      <x:c r="A86" s="5" t="str">
        <x:v>ORD-00192</x:v>
      </x:c>
      <x:c r="B86" s="43" t="n">
        <x:v>46034</x:v>
      </x:c>
      <x:c r="C86" s="5" t="str">
        <x:v>CUST-0601</x:v>
      </x:c>
      <x:c r="D86" s="5" t="str">
        <x:v>FD001</x:v>
      </x:c>
      <x:c r="E86" s="5" t="str">
        <x:v>White Rice &amp; Stew</x:v>
      </x:c>
      <x:c r="F86" s="5" t="str">
        <x:v>Rice Meals</x:v>
      </x:c>
      <x:c r="G86" s="44" t="n">
        <x:v>4</x:v>
      </x:c>
      <x:c r="H86" s="45" t="n">
        <x:v>1800</x:v>
      </x:c>
      <x:c r="I86" s="46" t="n">
        <x:v>0</x:v>
      </x:c>
      <x:c r="J86" s="47" t="n">
        <x:f>G86*H86*(1-I86)</x:f>
        <x:v>7200</x:v>
      </x:c>
      <x:c r="K86" s="47" t="n">
        <x:v>820</x:v>
      </x:c>
      <x:c r="L86" s="47" t="n">
        <x:f>G86*K86</x:f>
        <x:v>3280</x:v>
      </x:c>
      <x:c r="M86" s="47" t="n">
        <x:f>J86-L86</x:f>
        <x:v>3920</x:v>
      </x:c>
      <x:c r="N86" s="5" t="str">
        <x:v>Walk-in</x:v>
      </x:c>
      <x:c r="O86" s="5" t="str">
        <x:v>Cash</x:v>
      </x:c>
      <x:c r="P86" s="5" t="str">
        <x:v>Lunch</x:v>
      </x:c>
      <x:c r="Q86" s="48" t="n">
        <x:v>11</x:v>
      </x:c>
      <x:c r="R86" s="5" t="n">
        <x:v>3</x:v>
      </x:c>
      <x:c r="S86" s="1"/>
      <x:c r="T86" s="1"/>
      <x:c r="U86" s="1"/>
      <x:c r="V86" s="1"/>
      <x:c r="W86" s="1"/>
      <x:c r="X86" s="1"/>
      <x:c r="Y86" s="1"/>
      <x:c r="Z86" s="1"/>
    </x:row>
    <x:row r="87">
      <x:c r="A87" s="5" t="str">
        <x:v>ORD-00701</x:v>
      </x:c>
      <x:c r="B87" s="43" t="n">
        <x:v>46034</x:v>
      </x:c>
      <x:c r="C87" s="5" t="str">
        <x:v>CUST-0322</x:v>
      </x:c>
      <x:c r="D87" s="5" t="str">
        <x:v>FD001</x:v>
      </x:c>
      <x:c r="E87" s="5" t="str">
        <x:v>White Rice &amp; Stew</x:v>
      </x:c>
      <x:c r="F87" s="5" t="str">
        <x:v>Rice Meals</x:v>
      </x:c>
      <x:c r="G87" s="44" t="n">
        <x:v>2</x:v>
      </x:c>
      <x:c r="H87" s="45" t="n">
        <x:v>1800</x:v>
      </x:c>
      <x:c r="I87" s="46" t="n">
        <x:v>0</x:v>
      </x:c>
      <x:c r="J87" s="47" t="n">
        <x:f>G87*H87*(1-I87)</x:f>
        <x:v>3600</x:v>
      </x:c>
      <x:c r="K87" s="47" t="n">
        <x:v>820</x:v>
      </x:c>
      <x:c r="L87" s="47" t="n">
        <x:f>G87*K87</x:f>
        <x:v>1640</x:v>
      </x:c>
      <x:c r="M87" s="47" t="n">
        <x:f>J87-L87</x:f>
        <x:v>1960</x:v>
      </x:c>
      <x:c r="N87" s="5" t="str">
        <x:v>Delivery</x:v>
      </x:c>
      <x:c r="O87" s="5" t="str">
        <x:v>POS</x:v>
      </x:c>
      <x:c r="P87" s="5" t="str">
        <x:v>Dinner</x:v>
      </x:c>
      <x:c r="Q87" s="48" t="n">
        <x:v>19</x:v>
      </x:c>
      <x:c r="R87" s="5" t="n">
        <x:v>4</x:v>
      </x:c>
      <x:c r="S87" s="1"/>
      <x:c r="T87" s="1"/>
      <x:c r="U87" s="1"/>
      <x:c r="V87" s="1"/>
      <x:c r="W87" s="1"/>
      <x:c r="X87" s="1"/>
      <x:c r="Y87" s="1"/>
      <x:c r="Z87" s="1"/>
    </x:row>
    <x:row r="88">
      <x:c r="A88" s="5" t="str">
        <x:v>ORD-00813</x:v>
      </x:c>
      <x:c r="B88" s="43" t="n">
        <x:v>46034</x:v>
      </x:c>
      <x:c r="C88" s="5" t="str">
        <x:v>CUST-0441</x:v>
      </x:c>
      <x:c r="D88" s="5" t="str">
        <x:v>FD001</x:v>
      </x:c>
      <x:c r="E88" s="5" t="str">
        <x:v>White Rice &amp; Stew</x:v>
      </x:c>
      <x:c r="F88" s="5" t="str">
        <x:v>Rice Meals</x:v>
      </x:c>
      <x:c r="G88" s="44" t="n">
        <x:v>2</x:v>
      </x:c>
      <x:c r="H88" s="45" t="n">
        <x:v>1800</x:v>
      </x:c>
      <x:c r="I88" s="46" t="n">
        <x:v>0</x:v>
      </x:c>
      <x:c r="J88" s="47" t="n">
        <x:f>G88*H88*(1-I88)</x:f>
        <x:v>3600</x:v>
      </x:c>
      <x:c r="K88" s="47" t="n">
        <x:v>820</x:v>
      </x:c>
      <x:c r="L88" s="47" t="n">
        <x:f>G88*K88</x:f>
        <x:v>1640</x:v>
      </x:c>
      <x:c r="M88" s="47" t="n">
        <x:f>J88-L88</x:f>
        <x:v>1960</x:v>
      </x:c>
      <x:c r="N88" s="5" t="str">
        <x:v>Takeaway</x:v>
      </x:c>
      <x:c r="O88" s="5" t="str">
        <x:v>POS</x:v>
      </x:c>
      <x:c r="P88" s="5" t="str">
        <x:v>Lunch</x:v>
      </x:c>
      <x:c r="Q88" s="48" t="n">
        <x:v>14</x:v>
      </x:c>
      <x:c r="R88" s="5" t="n">
        <x:v>4</x:v>
      </x:c>
      <x:c r="S88" s="1"/>
      <x:c r="T88" s="1"/>
      <x:c r="U88" s="1"/>
      <x:c r="V88" s="1"/>
      <x:c r="W88" s="1"/>
      <x:c r="X88" s="1"/>
      <x:c r="Y88" s="1"/>
      <x:c r="Z88" s="1"/>
    </x:row>
    <x:row r="89">
      <x:c r="A89" s="5" t="str">
        <x:v>ORD-00928</x:v>
      </x:c>
      <x:c r="B89" s="43" t="n">
        <x:v>46034</x:v>
      </x:c>
      <x:c r="C89" s="5" t="str">
        <x:v>CUST-0645</x:v>
      </x:c>
      <x:c r="D89" s="5" t="str">
        <x:v>FD001</x:v>
      </x:c>
      <x:c r="E89" s="5" t="str">
        <x:v>White Rice &amp; Stew</x:v>
      </x:c>
      <x:c r="F89" s="5" t="str">
        <x:v>Rice Meals</x:v>
      </x:c>
      <x:c r="G89" s="44" t="n">
        <x:v>4</x:v>
      </x:c>
      <x:c r="H89" s="45" t="n">
        <x:v>1800</x:v>
      </x:c>
      <x:c r="I89" s="46" t="n">
        <x:v>0</x:v>
      </x:c>
      <x:c r="J89" s="47" t="n">
        <x:f>G89*H89*(1-I89)</x:f>
        <x:v>7200</x:v>
      </x:c>
      <x:c r="K89" s="47" t="n">
        <x:v>820</x:v>
      </x:c>
      <x:c r="L89" s="47" t="n">
        <x:f>G89*K89</x:f>
        <x:v>3280</x:v>
      </x:c>
      <x:c r="M89" s="47" t="n">
        <x:f>J89-L89</x:f>
        <x:v>3920</x:v>
      </x:c>
      <x:c r="N89" s="5" t="str">
        <x:v>Delivery</x:v>
      </x:c>
      <x:c r="O89" s="5" t="str">
        <x:v>POS</x:v>
      </x:c>
      <x:c r="P89" s="5" t="str">
        <x:v>Lunch</x:v>
      </x:c>
      <x:c r="Q89" s="48" t="n">
        <x:v>14</x:v>
      </x:c>
      <x:c r="R89" s="5" t="n">
        <x:v>4</x:v>
      </x:c>
      <x:c r="S89" s="1"/>
      <x:c r="T89" s="1"/>
      <x:c r="U89" s="1"/>
      <x:c r="V89" s="1"/>
      <x:c r="W89" s="1"/>
      <x:c r="X89" s="1"/>
      <x:c r="Y89" s="1"/>
      <x:c r="Z89" s="1"/>
    </x:row>
    <x:row r="90">
      <x:c r="A90" s="5" t="str">
        <x:v>ORD-00934</x:v>
      </x:c>
      <x:c r="B90" s="43" t="n">
        <x:v>46034</x:v>
      </x:c>
      <x:c r="C90" s="5" t="str">
        <x:v>CUST-0616</x:v>
      </x:c>
      <x:c r="D90" s="5" t="str">
        <x:v>FD001</x:v>
      </x:c>
      <x:c r="E90" s="5" t="str">
        <x:v>White Rice &amp; Stew</x:v>
      </x:c>
      <x:c r="F90" s="5" t="str">
        <x:v>Rice Meals</x:v>
      </x:c>
      <x:c r="G90" s="44" t="n">
        <x:v>4</x:v>
      </x:c>
      <x:c r="H90" s="45" t="n">
        <x:v>1800</x:v>
      </x:c>
      <x:c r="I90" s="46" t="n">
        <x:v>0</x:v>
      </x:c>
      <x:c r="J90" s="47" t="n">
        <x:f>G90*H90*(1-I90)</x:f>
        <x:v>7200</x:v>
      </x:c>
      <x:c r="K90" s="47" t="n">
        <x:v>820</x:v>
      </x:c>
      <x:c r="L90" s="47" t="n">
        <x:f>G90*K90</x:f>
        <x:v>3280</x:v>
      </x:c>
      <x:c r="M90" s="47" t="n">
        <x:f>J90-L90</x:f>
        <x:v>3920</x:v>
      </x:c>
      <x:c r="N90" s="5" t="str">
        <x:v>Takeaway</x:v>
      </x:c>
      <x:c r="O90" s="5" t="str">
        <x:v>POS</x:v>
      </x:c>
      <x:c r="P90" s="5" t="str">
        <x:v>Lunch</x:v>
      </x:c>
      <x:c r="Q90" s="48" t="n">
        <x:v>13</x:v>
      </x:c>
      <x:c r="R90" s="5" t="n">
        <x:v>5</x:v>
      </x:c>
      <x:c r="S90" s="1"/>
      <x:c r="T90" s="1"/>
      <x:c r="U90" s="1"/>
      <x:c r="V90" s="1"/>
      <x:c r="W90" s="1"/>
      <x:c r="X90" s="1"/>
      <x:c r="Y90" s="1"/>
      <x:c r="Z90" s="1"/>
    </x:row>
    <x:row r="91">
      <x:c r="A91" s="5" t="str">
        <x:v>ORD-00970</x:v>
      </x:c>
      <x:c r="B91" s="43" t="n">
        <x:v>46034</x:v>
      </x:c>
      <x:c r="C91" s="5" t="str">
        <x:v>CUST-0240</x:v>
      </x:c>
      <x:c r="D91" s="5" t="str">
        <x:v>FD005</x:v>
      </x:c>
      <x:c r="E91" s="5" t="str">
        <x:v>Yam Porridge</x:v>
      </x:c>
      <x:c r="F91" s="5" t="str">
        <x:v>Traditional Meals</x:v>
      </x:c>
      <x:c r="G91" s="44" t="n">
        <x:v>1</x:v>
      </x:c>
      <x:c r="H91" s="45" t="n">
        <x:v>2200</x:v>
      </x:c>
      <x:c r="I91" s="46" t="n">
        <x:v>0</x:v>
      </x:c>
      <x:c r="J91" s="47" t="n">
        <x:f>G91*H91*(1-I91)</x:f>
        <x:v>2200</x:v>
      </x:c>
      <x:c r="K91" s="47" t="n">
        <x:v>1050</x:v>
      </x:c>
      <x:c r="L91" s="47" t="n">
        <x:f>G91*K91</x:f>
        <x:v>1050</x:v>
      </x:c>
      <x:c r="M91" s="47" t="n">
        <x:f>J91-L91</x:f>
        <x:v>1150</x:v>
      </x:c>
      <x:c r="N91" s="5" t="str">
        <x:v>Takeaway</x:v>
      </x:c>
      <x:c r="O91" s="5" t="str">
        <x:v>POS</x:v>
      </x:c>
      <x:c r="P91" s="5" t="str">
        <x:v>Lunch</x:v>
      </x:c>
      <x:c r="Q91" s="48" t="n">
        <x:v>13</x:v>
      </x:c>
      <x:c r="R91" s="5" t="n">
        <x:v>5</x:v>
      </x:c>
      <x:c r="S91" s="1"/>
      <x:c r="T91" s="1"/>
      <x:c r="U91" s="1"/>
      <x:c r="V91" s="1"/>
      <x:c r="W91" s="1"/>
      <x:c r="X91" s="1"/>
      <x:c r="Y91" s="1"/>
      <x:c r="Z91" s="1"/>
    </x:row>
    <x:row r="92">
      <x:c r="A92" s="5" t="str">
        <x:v>ORD-01157</x:v>
      </x:c>
      <x:c r="B92" s="43" t="n">
        <x:v>46034</x:v>
      </x:c>
      <x:c r="C92" s="5" t="str">
        <x:v>CUST-0147</x:v>
      </x:c>
      <x:c r="D92" s="5" t="str">
        <x:v>FD012</x:v>
      </x:c>
      <x:c r="E92" s="5" t="str">
        <x:v>Fried Plantain</x:v>
      </x:c>
      <x:c r="F92" s="5" t="str">
        <x:v>Sides</x:v>
      </x:c>
      <x:c r="G92" s="44" t="n">
        <x:v>2</x:v>
      </x:c>
      <x:c r="H92" s="45" t="n">
        <x:v>700</x:v>
      </x:c>
      <x:c r="I92" s="46" t="n">
        <x:v>0</x:v>
      </x:c>
      <x:c r="J92" s="47" t="n">
        <x:f>G92*H92*(1-I92)</x:f>
        <x:v>1400</x:v>
      </x:c>
      <x:c r="K92" s="47" t="n">
        <x:v>300</x:v>
      </x:c>
      <x:c r="L92" s="47" t="n">
        <x:f>G92*K92</x:f>
        <x:v>600</x:v>
      </x:c>
      <x:c r="M92" s="47" t="n">
        <x:f>J92-L92</x:f>
        <x:v>800</x:v>
      </x:c>
      <x:c r="N92" s="5" t="str">
        <x:v>Walk-in</x:v>
      </x:c>
      <x:c r="O92" s="5" t="str">
        <x:v>Cash</x:v>
      </x:c>
      <x:c r="P92" s="5" t="str">
        <x:v>Breakfast</x:v>
      </x:c>
      <x:c r="Q92" s="48" t="n">
        <x:v>8</x:v>
      </x:c>
      <x:c r="R92" s="5" t="n">
        <x:v>5</x:v>
      </x:c>
      <x:c r="S92" s="1"/>
      <x:c r="T92" s="1"/>
      <x:c r="U92" s="1"/>
      <x:c r="V92" s="1"/>
      <x:c r="W92" s="1"/>
      <x:c r="X92" s="1"/>
      <x:c r="Y92" s="1"/>
      <x:c r="Z92" s="1"/>
    </x:row>
    <x:row r="93">
      <x:c r="A93" s="5" t="str">
        <x:v>ORD-01595</x:v>
      </x:c>
      <x:c r="B93" s="43" t="n">
        <x:v>46034</x:v>
      </x:c>
      <x:c r="C93" s="5" t="str">
        <x:v>CUST-0187</x:v>
      </x:c>
      <x:c r="D93" s="5" t="str">
        <x:v>FD007</x:v>
      </x:c>
      <x:c r="E93" s="5" t="str">
        <x:v>Amala &amp; Ewedu</x:v>
      </x:c>
      <x:c r="F93" s="5" t="str">
        <x:v>Swallow</x:v>
      </x:c>
      <x:c r="G93" s="44" t="n">
        <x:v>4</x:v>
      </x:c>
      <x:c r="H93" s="45" t="n">
        <x:v>2500</x:v>
      </x:c>
      <x:c r="I93" s="46" t="n">
        <x:v>0</x:v>
      </x:c>
      <x:c r="J93" s="47" t="n">
        <x:f>G93*H93*(1-I93)</x:f>
        <x:v>10000</x:v>
      </x:c>
      <x:c r="K93" s="47" t="n">
        <x:v>1250</x:v>
      </x:c>
      <x:c r="L93" s="47" t="n">
        <x:f>G93*K93</x:f>
        <x:v>5000</x:v>
      </x:c>
      <x:c r="M93" s="47" t="n">
        <x:f>J93-L93</x:f>
        <x:v>5000</x:v>
      </x:c>
      <x:c r="N93" s="5" t="str">
        <x:v>Walk-in</x:v>
      </x:c>
      <x:c r="O93" s="5" t="str">
        <x:v>Transfer</x:v>
      </x:c>
      <x:c r="P93" s="5" t="str">
        <x:v>Lunch</x:v>
      </x:c>
      <x:c r="Q93" s="48" t="n">
        <x:v>13</x:v>
      </x:c>
      <x:c r="R93" s="5" t="n">
        <x:v>4</x:v>
      </x:c>
      <x:c r="S93" s="1"/>
      <x:c r="T93" s="1"/>
      <x:c r="U93" s="1"/>
      <x:c r="V93" s="1"/>
      <x:c r="W93" s="1"/>
      <x:c r="X93" s="1"/>
      <x:c r="Y93" s="1"/>
      <x:c r="Z93" s="1"/>
    </x:row>
    <x:row r="94">
      <x:c r="A94" s="5" t="str">
        <x:v>ORD-01699</x:v>
      </x:c>
      <x:c r="B94" s="43" t="n">
        <x:v>46034</x:v>
      </x:c>
      <x:c r="C94" s="5" t="str">
        <x:v>CUST-0014</x:v>
      </x:c>
      <x:c r="D94" s="5" t="str">
        <x:v>FD003</x:v>
      </x:c>
      <x:c r="E94" s="5" t="str">
        <x:v>Fried Rice &amp; Chicken</x:v>
      </x:c>
      <x:c r="F94" s="5" t="str">
        <x:v>Rice Meals</x:v>
      </x:c>
      <x:c r="G94" s="44" t="n">
        <x:v>4</x:v>
      </x:c>
      <x:c r="H94" s="45" t="n">
        <x:v>3000</x:v>
      </x:c>
      <x:c r="I94" s="46" t="n">
        <x:v>0</x:v>
      </x:c>
      <x:c r="J94" s="47" t="n">
        <x:f>G94*H94*(1-I94)</x:f>
        <x:v>12000</x:v>
      </x:c>
      <x:c r="K94" s="47" t="n">
        <x:v>1580</x:v>
      </x:c>
      <x:c r="L94" s="47" t="n">
        <x:f>G94*K94</x:f>
        <x:v>6320</x:v>
      </x:c>
      <x:c r="M94" s="47" t="n">
        <x:f>J94-L94</x:f>
        <x:v>5680</x:v>
      </x:c>
      <x:c r="N94" s="5" t="str">
        <x:v>Walk-in</x:v>
      </x:c>
      <x:c r="O94" s="5" t="str">
        <x:v>Transfer</x:v>
      </x:c>
      <x:c r="P94" s="5" t="str">
        <x:v>Dinner</x:v>
      </x:c>
      <x:c r="Q94" s="48" t="n">
        <x:v>17</x:v>
      </x:c>
      <x:c r="R94" s="5" t="n">
        <x:v>4</x:v>
      </x:c>
      <x:c r="S94" s="1"/>
      <x:c r="T94" s="1"/>
      <x:c r="U94" s="1"/>
      <x:c r="V94" s="1"/>
      <x:c r="W94" s="1"/>
      <x:c r="X94" s="1"/>
      <x:c r="Y94" s="1"/>
      <x:c r="Z94" s="1"/>
    </x:row>
    <x:row r="95">
      <x:c r="A95" s="5" t="str">
        <x:v>ORD-00288</x:v>
      </x:c>
      <x:c r="B95" s="43" t="n">
        <x:v>46035</x:v>
      </x:c>
      <x:c r="C95" s="5" t="str">
        <x:v>CUST-0581</x:v>
      </x:c>
      <x:c r="D95" s="5" t="str">
        <x:v>FD001</x:v>
      </x:c>
      <x:c r="E95" s="5" t="str">
        <x:v>White Rice &amp; Stew</x:v>
      </x:c>
      <x:c r="F95" s="5" t="str">
        <x:v>Rice Meals</x:v>
      </x:c>
      <x:c r="G95" s="44" t="n">
        <x:v>4</x:v>
      </x:c>
      <x:c r="H95" s="45" t="n">
        <x:v>1800</x:v>
      </x:c>
      <x:c r="I95" s="46" t="n">
        <x:v>0</x:v>
      </x:c>
      <x:c r="J95" s="47" t="n">
        <x:f>G95*H95*(1-I95)</x:f>
        <x:v>7200</x:v>
      </x:c>
      <x:c r="K95" s="47" t="n">
        <x:v>820</x:v>
      </x:c>
      <x:c r="L95" s="47" t="n">
        <x:f>G95*K95</x:f>
        <x:v>3280</x:v>
      </x:c>
      <x:c r="M95" s="47" t="n">
        <x:f>J95-L95</x:f>
        <x:v>3920</x:v>
      </x:c>
      <x:c r="N95" s="5" t="str">
        <x:v>Delivery</x:v>
      </x:c>
      <x:c r="O95" s="5" t="str">
        <x:v>Transfer</x:v>
      </x:c>
      <x:c r="P95" s="5" t="str">
        <x:v>Dinner</x:v>
      </x:c>
      <x:c r="Q95" s="48" t="n">
        <x:v>19</x:v>
      </x:c>
      <x:c r="R95" s="5" t="n">
        <x:v>5</x:v>
      </x:c>
      <x:c r="S95" s="1"/>
      <x:c r="T95" s="1"/>
      <x:c r="U95" s="1"/>
      <x:c r="V95" s="1"/>
      <x:c r="W95" s="1"/>
      <x:c r="X95" s="1"/>
      <x:c r="Y95" s="1"/>
      <x:c r="Z95" s="1"/>
    </x:row>
    <x:row r="96">
      <x:c r="A96" s="5" t="str">
        <x:v>ORD-00303</x:v>
      </x:c>
      <x:c r="B96" s="43" t="n">
        <x:v>46035</x:v>
      </x:c>
      <x:c r="C96" s="5" t="str">
        <x:v>CUST-0145</x:v>
      </x:c>
      <x:c r="D96" s="5" t="str">
        <x:v>FD002</x:v>
      </x:c>
      <x:c r="E96" s="5" t="str">
        <x:v>Jollof Rice &amp; Chicken</x:v>
      </x:c>
      <x:c r="F96" s="5" t="str">
        <x:v>Rice Meals</x:v>
      </x:c>
      <x:c r="G96" s="44" t="n">
        <x:v>3</x:v>
      </x:c>
      <x:c r="H96" s="45" t="n">
        <x:v>2800</x:v>
      </x:c>
      <x:c r="I96" s="46" t="n">
        <x:v>0</x:v>
      </x:c>
      <x:c r="J96" s="47" t="n">
        <x:f>G96*H96*(1-I96)</x:f>
        <x:v>8400</x:v>
      </x:c>
      <x:c r="K96" s="47" t="n">
        <x:v>1450</x:v>
      </x:c>
      <x:c r="L96" s="47" t="n">
        <x:f>G96*K96</x:f>
        <x:v>4350</x:v>
      </x:c>
      <x:c r="M96" s="47" t="n">
        <x:f>J96-L96</x:f>
        <x:v>4050</x:v>
      </x:c>
      <x:c r="N96" s="5" t="str">
        <x:v>Delivery</x:v>
      </x:c>
      <x:c r="O96" s="5" t="str">
        <x:v>POS</x:v>
      </x:c>
      <x:c r="P96" s="5" t="str">
        <x:v>Lunch</x:v>
      </x:c>
      <x:c r="Q96" s="48" t="n">
        <x:v>13</x:v>
      </x:c>
      <x:c r="R96" s="5"/>
      <x:c r="S96" s="1"/>
      <x:c r="T96" s="1"/>
      <x:c r="U96" s="1"/>
      <x:c r="V96" s="1"/>
      <x:c r="W96" s="1"/>
      <x:c r="X96" s="1"/>
      <x:c r="Y96" s="1"/>
      <x:c r="Z96" s="1"/>
    </x:row>
    <x:row r="97">
      <x:c r="A97" s="5" t="str">
        <x:v>ORD-00632</x:v>
      </x:c>
      <x:c r="B97" s="43" t="n">
        <x:v>46035</x:v>
      </x:c>
      <x:c r="C97" s="5" t="str">
        <x:v>CUST-0155</x:v>
      </x:c>
      <x:c r="D97" s="5" t="str">
        <x:v>FD002</x:v>
      </x:c>
      <x:c r="E97" s="5" t="str">
        <x:v>Jollof Rice &amp; Chicken</x:v>
      </x:c>
      <x:c r="F97" s="5" t="str">
        <x:v>Rice Meals</x:v>
      </x:c>
      <x:c r="G97" s="44" t="n">
        <x:v>3</x:v>
      </x:c>
      <x:c r="H97" s="45" t="n">
        <x:v>2800</x:v>
      </x:c>
      <x:c r="I97" s="46" t="n">
        <x:v>0.1</x:v>
      </x:c>
      <x:c r="J97" s="47" t="n">
        <x:f>G97*H97*(1-I97)</x:f>
        <x:v>7560</x:v>
      </x:c>
      <x:c r="K97" s="47" t="n">
        <x:v>1450</x:v>
      </x:c>
      <x:c r="L97" s="47" t="n">
        <x:f>G97*K97</x:f>
        <x:v>4350</x:v>
      </x:c>
      <x:c r="M97" s="47" t="n">
        <x:f>J97-L97</x:f>
        <x:v>3210</x:v>
      </x:c>
      <x:c r="N97" s="5" t="str">
        <x:v>Walk-in</x:v>
      </x:c>
      <x:c r="O97" s="5" t="str">
        <x:v>Transfer</x:v>
      </x:c>
      <x:c r="P97" s="5" t="str">
        <x:v>Dinner</x:v>
      </x:c>
      <x:c r="Q97" s="48" t="n">
        <x:v>19</x:v>
      </x:c>
      <x:c r="R97" s="5" t="n">
        <x:v>5</x:v>
      </x:c>
      <x:c r="S97" s="1"/>
      <x:c r="T97" s="1"/>
      <x:c r="U97" s="1"/>
      <x:c r="V97" s="1"/>
      <x:c r="W97" s="1"/>
      <x:c r="X97" s="1"/>
      <x:c r="Y97" s="1"/>
      <x:c r="Z97" s="1"/>
    </x:row>
    <x:row r="98">
      <x:c r="A98" s="5" t="str">
        <x:v>ORD-01218</x:v>
      </x:c>
      <x:c r="B98" s="43" t="n">
        <x:v>46035</x:v>
      </x:c>
      <x:c r="C98" s="5" t="str">
        <x:v>CUST-0154</x:v>
      </x:c>
      <x:c r="D98" s="5" t="str">
        <x:v>FD002</x:v>
      </x:c>
      <x:c r="E98" s="5" t="str">
        <x:v>Jollof Rice &amp; Chicken</x:v>
      </x:c>
      <x:c r="F98" s="5" t="str">
        <x:v>Rice Meals</x:v>
      </x:c>
      <x:c r="G98" s="44" t="n">
        <x:v>1</x:v>
      </x:c>
      <x:c r="H98" s="45" t="n">
        <x:v>2800</x:v>
      </x:c>
      <x:c r="I98" s="46" t="n">
        <x:v>0</x:v>
      </x:c>
      <x:c r="J98" s="47" t="n">
        <x:f>G98*H98*(1-I98)</x:f>
        <x:v>2800</x:v>
      </x:c>
      <x:c r="K98" s="47" t="n">
        <x:v>1450</x:v>
      </x:c>
      <x:c r="L98" s="47" t="n">
        <x:f>G98*K98</x:f>
        <x:v>1450</x:v>
      </x:c>
      <x:c r="M98" s="47" t="n">
        <x:f>J98-L98</x:f>
        <x:v>1350</x:v>
      </x:c>
      <x:c r="N98" s="5" t="str">
        <x:v>Takeaway</x:v>
      </x:c>
      <x:c r="O98" s="5" t="str">
        <x:v>Transfer</x:v>
      </x:c>
      <x:c r="P98" s="5" t="str">
        <x:v>Lunch</x:v>
      </x:c>
      <x:c r="Q98" s="48" t="n">
        <x:v>13</x:v>
      </x:c>
      <x:c r="R98" s="5" t="n">
        <x:v>5</x:v>
      </x:c>
      <x:c r="S98" s="1"/>
      <x:c r="T98" s="1"/>
      <x:c r="U98" s="1"/>
      <x:c r="V98" s="1"/>
      <x:c r="W98" s="1"/>
      <x:c r="X98" s="1"/>
      <x:c r="Y98" s="1"/>
      <x:c r="Z98" s="1"/>
    </x:row>
    <x:row r="99">
      <x:c r="A99" s="5" t="str">
        <x:v>ORD-01374</x:v>
      </x:c>
      <x:c r="B99" s="43" t="n">
        <x:v>46035</x:v>
      </x:c>
      <x:c r="C99" s="5" t="str">
        <x:v>CUST-0267</x:v>
      </x:c>
      <x:c r="D99" s="5" t="str">
        <x:v>FD006</x:v>
      </x:c>
      <x:c r="E99" s="5" t="str">
        <x:v>Eba &amp; Egusi Soup</x:v>
      </x:c>
      <x:c r="F99" s="5" t="str">
        <x:v>Swallow</x:v>
      </x:c>
      <x:c r="G99" s="44" t="n">
        <x:v>4</x:v>
      </x:c>
      <x:c r="H99" s="45" t="n">
        <x:v>2600</x:v>
      </x:c>
      <x:c r="I99" s="46" t="n">
        <x:v>0</x:v>
      </x:c>
      <x:c r="J99" s="47" t="n">
        <x:f>G99*H99*(1-I99)</x:f>
        <x:v>10400</x:v>
      </x:c>
      <x:c r="K99" s="47" t="n">
        <x:v>1320</x:v>
      </x:c>
      <x:c r="L99" s="47" t="n">
        <x:f>G99*K99</x:f>
        <x:v>5280</x:v>
      </x:c>
      <x:c r="M99" s="47" t="n">
        <x:f>J99-L99</x:f>
        <x:v>5120</x:v>
      </x:c>
      <x:c r="N99" s="5" t="str">
        <x:v>Walk-in</x:v>
      </x:c>
      <x:c r="O99" s="5" t="str">
        <x:v>POS</x:v>
      </x:c>
      <x:c r="P99" s="5" t="str">
        <x:v>Dinner</x:v>
      </x:c>
      <x:c r="Q99" s="48" t="n">
        <x:v>19</x:v>
      </x:c>
      <x:c r="R99" s="5" t="n">
        <x:v>4</x:v>
      </x:c>
      <x:c r="S99" s="1"/>
      <x:c r="T99" s="1"/>
      <x:c r="U99" s="1"/>
      <x:c r="V99" s="1"/>
      <x:c r="W99" s="1"/>
      <x:c r="X99" s="1"/>
      <x:c r="Y99" s="1"/>
      <x:c r="Z99" s="1"/>
    </x:row>
    <x:row r="100">
      <x:c r="A100" s="5" t="str">
        <x:v>ORD-00279</x:v>
      </x:c>
      <x:c r="B100" s="43" t="n">
        <x:v>46036</x:v>
      </x:c>
      <x:c r="C100" s="5" t="str">
        <x:v>CUST-0561</x:v>
      </x:c>
      <x:c r="D100" s="5" t="str">
        <x:v>FD007</x:v>
      </x:c>
      <x:c r="E100" s="5" t="str">
        <x:v>Amala &amp; Ewedu</x:v>
      </x:c>
      <x:c r="F100" s="5" t="str">
        <x:v>Swallow</x:v>
      </x:c>
      <x:c r="G100" s="44" t="n">
        <x:v>2</x:v>
      </x:c>
      <x:c r="H100" s="45" t="n">
        <x:v>2500</x:v>
      </x:c>
      <x:c r="I100" s="46" t="n">
        <x:v>0</x:v>
      </x:c>
      <x:c r="J100" s="47" t="n">
        <x:f>G100*H100*(1-I100)</x:f>
        <x:v>5000</x:v>
      </x:c>
      <x:c r="K100" s="47" t="n">
        <x:v>1250</x:v>
      </x:c>
      <x:c r="L100" s="47" t="n">
        <x:f>G100*K100</x:f>
        <x:v>2500</x:v>
      </x:c>
      <x:c r="M100" s="47" t="n">
        <x:f>J100-L100</x:f>
        <x:v>2500</x:v>
      </x:c>
      <x:c r="N100" s="5" t="str">
        <x:v>Delivery</x:v>
      </x:c>
      <x:c r="O100" s="5" t="str">
        <x:v>Transfer</x:v>
      </x:c>
      <x:c r="P100" s="5" t="str">
        <x:v>Lunch</x:v>
      </x:c>
      <x:c r="Q100" s="48" t="n">
        <x:v>11</x:v>
      </x:c>
      <x:c r="R100" s="5" t="n">
        <x:v>4</x:v>
      </x:c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5" t="str">
        <x:v>ORD-00311</x:v>
      </x:c>
      <x:c r="B101" s="43" t="n">
        <x:v>46036</x:v>
      </x:c>
      <x:c r="C101" s="5" t="str">
        <x:v>CUST-0491</x:v>
      </x:c>
      <x:c r="D101" s="5" t="str">
        <x:v>FD007</x:v>
      </x:c>
      <x:c r="E101" s="5" t="str">
        <x:v>Amala &amp; Ewedu</x:v>
      </x:c>
      <x:c r="F101" s="5" t="str">
        <x:v>Swallow</x:v>
      </x:c>
      <x:c r="G101" s="44" t="n">
        <x:v>2</x:v>
      </x:c>
      <x:c r="H101" s="45" t="n">
        <x:v>2500</x:v>
      </x:c>
      <x:c r="I101" s="46" t="n">
        <x:v>0</x:v>
      </x:c>
      <x:c r="J101" s="47" t="n">
        <x:f>G101*H101*(1-I101)</x:f>
        <x:v>5000</x:v>
      </x:c>
      <x:c r="K101" s="47" t="n">
        <x:v>1250</x:v>
      </x:c>
      <x:c r="L101" s="47" t="n">
        <x:f>G101*K101</x:f>
        <x:v>2500</x:v>
      </x:c>
      <x:c r="M101" s="47" t="n">
        <x:f>J101-L101</x:f>
        <x:v>2500</x:v>
      </x:c>
      <x:c r="N101" s="5" t="str">
        <x:v>Walk-in</x:v>
      </x:c>
      <x:c r="O101" s="5" t="str">
        <x:v>Cash</x:v>
      </x:c>
      <x:c r="P101" s="5" t="str">
        <x:v>Dinner</x:v>
      </x:c>
      <x:c r="Q101" s="48" t="n">
        <x:v>19</x:v>
      </x:c>
      <x:c r="R101" s="5" t="n">
        <x:v>5</x:v>
      </x:c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5" t="str">
        <x:v>ORD-00407</x:v>
      </x:c>
      <x:c r="B102" s="43" t="n">
        <x:v>46036</x:v>
      </x:c>
      <x:c r="C102" s="5" t="str">
        <x:v>CUST-0387</x:v>
      </x:c>
      <x:c r="D102" s="5" t="str">
        <x:v>FD006</x:v>
      </x:c>
      <x:c r="E102" s="5" t="str">
        <x:v>Eba &amp; Egusi Soup</x:v>
      </x:c>
      <x:c r="F102" s="5" t="str">
        <x:v>Swallow</x:v>
      </x:c>
      <x:c r="G102" s="44" t="n">
        <x:v>3</x:v>
      </x:c>
      <x:c r="H102" s="45" t="n">
        <x:v>2600</x:v>
      </x:c>
      <x:c r="I102" s="46" t="n">
        <x:v>0</x:v>
      </x:c>
      <x:c r="J102" s="47" t="n">
        <x:f>G102*H102*(1-I102)</x:f>
        <x:v>7800</x:v>
      </x:c>
      <x:c r="K102" s="47" t="n">
        <x:v>1320</x:v>
      </x:c>
      <x:c r="L102" s="47" t="n">
        <x:f>G102*K102</x:f>
        <x:v>3960</x:v>
      </x:c>
      <x:c r="M102" s="47" t="n">
        <x:f>J102-L102</x:f>
        <x:v>3840</x:v>
      </x:c>
      <x:c r="N102" s="5" t="str">
        <x:v>Delivery</x:v>
      </x:c>
      <x:c r="O102" s="5" t="str">
        <x:v>Cash</x:v>
      </x:c>
      <x:c r="P102" s="5" t="str">
        <x:v>Breakfast</x:v>
      </x:c>
      <x:c r="Q102" s="48" t="n">
        <x:v>9</x:v>
      </x:c>
      <x:c r="R102" s="5" t="n">
        <x:v>4</x:v>
      </x:c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5" t="str">
        <x:v>ORD-00607</x:v>
      </x:c>
      <x:c r="B103" s="43" t="n">
        <x:v>46036</x:v>
      </x:c>
      <x:c r="C103" s="5" t="str">
        <x:v>CUST-0359</x:v>
      </x:c>
      <x:c r="D103" s="5" t="str">
        <x:v>FD009</x:v>
      </x:c>
      <x:c r="E103" s="5" t="str">
        <x:v>Moi Moi</x:v>
      </x:c>
      <x:c r="F103" s="5" t="str">
        <x:v>Sides</x:v>
      </x:c>
      <x:c r="G103" s="44" t="n">
        <x:v>4</x:v>
      </x:c>
      <x:c r="H103" s="45" t="n">
        <x:v>900</x:v>
      </x:c>
      <x:c r="I103" s="46" t="n">
        <x:v>0</x:v>
      </x:c>
      <x:c r="J103" s="47" t="n">
        <x:f>G103*H103*(1-I103)</x:f>
        <x:v>3600</x:v>
      </x:c>
      <x:c r="K103" s="47" t="n">
        <x:v>380</x:v>
      </x:c>
      <x:c r="L103" s="47" t="n">
        <x:f>G103*K103</x:f>
        <x:v>1520</x:v>
      </x:c>
      <x:c r="M103" s="47" t="n">
        <x:f>J103-L103</x:f>
        <x:v>2080</x:v>
      </x:c>
      <x:c r="N103" s="5" t="str">
        <x:v>Walk-in</x:v>
      </x:c>
      <x:c r="O103" s="5" t="str">
        <x:v>Cash</x:v>
      </x:c>
      <x:c r="P103" s="5" t="str">
        <x:v>Breakfast</x:v>
      </x:c>
      <x:c r="Q103" s="48" t="n">
        <x:v>10</x:v>
      </x:c>
      <x:c r="R103" s="5" t="n">
        <x:v>4</x:v>
      </x:c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5" t="str">
        <x:v>ORD-00628</x:v>
      </x:c>
      <x:c r="B104" s="43" t="n">
        <x:v>46036</x:v>
      </x:c>
      <x:c r="C104" s="5" t="str">
        <x:v>CUST-0220</x:v>
      </x:c>
      <x:c r="D104" s="5" t="str">
        <x:v>FD003</x:v>
      </x:c>
      <x:c r="E104" s="5" t="str">
        <x:v>Fried Rice &amp; Chicken</x:v>
      </x:c>
      <x:c r="F104" s="5" t="str">
        <x:v>Rice Meals</x:v>
      </x:c>
      <x:c r="G104" s="44" t="n">
        <x:v>4</x:v>
      </x:c>
      <x:c r="H104" s="45" t="n">
        <x:v>3000</x:v>
      </x:c>
      <x:c r="I104" s="46" t="n">
        <x:v>0</x:v>
      </x:c>
      <x:c r="J104" s="47" t="n">
        <x:f>G104*H104*(1-I104)</x:f>
        <x:v>12000</x:v>
      </x:c>
      <x:c r="K104" s="47" t="n">
        <x:v>1580</x:v>
      </x:c>
      <x:c r="L104" s="47" t="n">
        <x:f>G104*K104</x:f>
        <x:v>6320</x:v>
      </x:c>
      <x:c r="M104" s="47" t="n">
        <x:f>J104-L104</x:f>
        <x:v>5680</x:v>
      </x:c>
      <x:c r="N104" s="5" t="str">
        <x:v>Takeaway</x:v>
      </x:c>
      <x:c r="O104" s="5" t="str">
        <x:v>Transfer</x:v>
      </x:c>
      <x:c r="P104" s="5" t="str">
        <x:v>Lunch</x:v>
      </x:c>
      <x:c r="Q104" s="48" t="n">
        <x:v>11</x:v>
      </x:c>
      <x:c r="R104" s="5" t="n">
        <x:v>5</x:v>
      </x:c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5" t="str">
        <x:v>ORD-00776</x:v>
      </x:c>
      <x:c r="B105" s="43" t="n">
        <x:v>46036</x:v>
      </x:c>
      <x:c r="C105" s="5" t="str">
        <x:v>CUST-0101</x:v>
      </x:c>
      <x:c r="D105" s="5" t="str">
        <x:v>FD001</x:v>
      </x:c>
      <x:c r="E105" s="5" t="str">
        <x:v>White Rice &amp; Stew</x:v>
      </x:c>
      <x:c r="F105" s="5" t="str">
        <x:v>Rice Meals</x:v>
      </x:c>
      <x:c r="G105" s="44" t="n">
        <x:v>3</x:v>
      </x:c>
      <x:c r="H105" s="45" t="n">
        <x:v>1800</x:v>
      </x:c>
      <x:c r="I105" s="46" t="n">
        <x:v>0</x:v>
      </x:c>
      <x:c r="J105" s="47" t="n">
        <x:f>G105*H105*(1-I105)</x:f>
        <x:v>5400</x:v>
      </x:c>
      <x:c r="K105" s="47" t="n">
        <x:v>820</x:v>
      </x:c>
      <x:c r="L105" s="47" t="n">
        <x:f>G105*K105</x:f>
        <x:v>2460</x:v>
      </x:c>
      <x:c r="M105" s="47" t="n">
        <x:f>J105-L105</x:f>
        <x:v>2940</x:v>
      </x:c>
      <x:c r="N105" s="5" t="str">
        <x:v>Walk-in</x:v>
      </x:c>
      <x:c r="O105" s="5" t="str">
        <x:v>Transfer</x:v>
      </x:c>
      <x:c r="P105" s="5" t="str">
        <x:v>Dinner</x:v>
      </x:c>
      <x:c r="Q105" s="48" t="n">
        <x:v>17</x:v>
      </x:c>
      <x:c r="R105" s="5" t="n">
        <x:v>4</x:v>
      </x:c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5" t="str">
        <x:v>ORD-01266</x:v>
      </x:c>
      <x:c r="B106" s="43" t="n">
        <x:v>46036</x:v>
      </x:c>
      <x:c r="C106" s="5" t="str">
        <x:v>CUST-0116</x:v>
      </x:c>
      <x:c r="D106" s="5" t="str">
        <x:v>FD001</x:v>
      </x:c>
      <x:c r="E106" s="5" t="str">
        <x:v>White Rice &amp; Stew</x:v>
      </x:c>
      <x:c r="F106" s="5" t="str">
        <x:v>Rice Meals</x:v>
      </x:c>
      <x:c r="G106" s="44" t="n">
        <x:v>2</x:v>
      </x:c>
      <x:c r="H106" s="45" t="n">
        <x:v>1800</x:v>
      </x:c>
      <x:c r="I106" s="46" t="n">
        <x:v>0</x:v>
      </x:c>
      <x:c r="J106" s="47" t="n">
        <x:f>G106*H106*(1-I106)</x:f>
        <x:v>3600</x:v>
      </x:c>
      <x:c r="K106" s="47" t="n">
        <x:v>820</x:v>
      </x:c>
      <x:c r="L106" s="47" t="n">
        <x:f>G106*K106</x:f>
        <x:v>1640</x:v>
      </x:c>
      <x:c r="M106" s="47" t="n">
        <x:f>J106-L106</x:f>
        <x:v>1960</x:v>
      </x:c>
      <x:c r="N106" s="5" t="str">
        <x:v>Delivery</x:v>
      </x:c>
      <x:c r="O106" s="5" t="str">
        <x:v>Transfer</x:v>
      </x:c>
      <x:c r="P106" s="5" t="str">
        <x:v>Dinner</x:v>
      </x:c>
      <x:c r="Q106" s="48" t="n">
        <x:v>20</x:v>
      </x:c>
      <x:c r="R106" s="5" t="n">
        <x:v>5</x:v>
      </x:c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5" t="str">
        <x:v>ORD-01283</x:v>
      </x:c>
      <x:c r="B107" s="43" t="n">
        <x:v>46036</x:v>
      </x:c>
      <x:c r="C107" s="5" t="str">
        <x:v>CUST-0419</x:v>
      </x:c>
      <x:c r="D107" s="5" t="str">
        <x:v>FD003</x:v>
      </x:c>
      <x:c r="E107" s="5" t="str">
        <x:v>Fried Rice &amp; Chicken</x:v>
      </x:c>
      <x:c r="F107" s="5" t="str">
        <x:v>Rice Meals</x:v>
      </x:c>
      <x:c r="G107" s="44" t="n">
        <x:v>2</x:v>
      </x:c>
      <x:c r="H107" s="45" t="n">
        <x:v>3000</x:v>
      </x:c>
      <x:c r="I107" s="46" t="n">
        <x:v>0</x:v>
      </x:c>
      <x:c r="J107" s="47" t="n">
        <x:f>G107*H107*(1-I107)</x:f>
        <x:v>6000</x:v>
      </x:c>
      <x:c r="K107" s="47" t="n">
        <x:v>1580</x:v>
      </x:c>
      <x:c r="L107" s="47" t="n">
        <x:f>G107*K107</x:f>
        <x:v>3160</x:v>
      </x:c>
      <x:c r="M107" s="47" t="n">
        <x:f>J107-L107</x:f>
        <x:v>2840</x:v>
      </x:c>
      <x:c r="N107" s="5" t="str">
        <x:v>Walk-in</x:v>
      </x:c>
      <x:c r="O107" s="5" t="str">
        <x:v>Transfer</x:v>
      </x:c>
      <x:c r="P107" s="5" t="str">
        <x:v>Lunch</x:v>
      </x:c>
      <x:c r="Q107" s="48" t="n">
        <x:v>12</x:v>
      </x:c>
      <x:c r="R107" s="5" t="n">
        <x:v>4</x:v>
      </x:c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5" t="str">
        <x:v>ORD-01330</x:v>
      </x:c>
      <x:c r="B108" s="43" t="n">
        <x:v>46036</x:v>
      </x:c>
      <x:c r="C108" s="5" t="str">
        <x:v>CUST-0532</x:v>
      </x:c>
      <x:c r="D108" s="5" t="str">
        <x:v>FD003</x:v>
      </x:c>
      <x:c r="E108" s="5" t="str">
        <x:v>Fried Rice &amp; Chicken</x:v>
      </x:c>
      <x:c r="F108" s="5" t="str">
        <x:v>Rice Meals</x:v>
      </x:c>
      <x:c r="G108" s="44" t="n">
        <x:v>4</x:v>
      </x:c>
      <x:c r="H108" s="45" t="n">
        <x:v>3000</x:v>
      </x:c>
      <x:c r="I108" s="46" t="n">
        <x:v>0</x:v>
      </x:c>
      <x:c r="J108" s="47" t="n">
        <x:f>G108*H108*(1-I108)</x:f>
        <x:v>12000</x:v>
      </x:c>
      <x:c r="K108" s="47" t="n">
        <x:v>1580</x:v>
      </x:c>
      <x:c r="L108" s="47" t="n">
        <x:f>G108*K108</x:f>
        <x:v>6320</x:v>
      </x:c>
      <x:c r="M108" s="47" t="n">
        <x:f>J108-L108</x:f>
        <x:v>5680</x:v>
      </x:c>
      <x:c r="N108" s="5" t="str">
        <x:v>Takeaway</x:v>
      </x:c>
      <x:c r="O108" s="5" t="str">
        <x:v>Cash</x:v>
      </x:c>
      <x:c r="P108" s="5" t="str">
        <x:v>Lunch</x:v>
      </x:c>
      <x:c r="Q108" s="48" t="n">
        <x:v>13</x:v>
      </x:c>
      <x:c r="R108" s="5" t="n">
        <x:v>4</x:v>
      </x:c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5" t="str">
        <x:v>ORD-01480</x:v>
      </x:c>
      <x:c r="B109" s="43" t="n">
        <x:v>46036</x:v>
      </x:c>
      <x:c r="C109" s="5" t="str">
        <x:v>CUST-0603</x:v>
      </x:c>
      <x:c r="D109" s="5" t="str">
        <x:v>FD012</x:v>
      </x:c>
      <x:c r="E109" s="5" t="str">
        <x:v>Fried Plantain</x:v>
      </x:c>
      <x:c r="F109" s="5" t="str">
        <x:v>Sides</x:v>
      </x:c>
      <x:c r="G109" s="44" t="n">
        <x:v>2</x:v>
      </x:c>
      <x:c r="H109" s="45" t="n">
        <x:v>700</x:v>
      </x:c>
      <x:c r="I109" s="46" t="n">
        <x:v>0</x:v>
      </x:c>
      <x:c r="J109" s="47" t="n">
        <x:f>G109*H109*(1-I109)</x:f>
        <x:v>1400</x:v>
      </x:c>
      <x:c r="K109" s="47" t="n">
        <x:v>300</x:v>
      </x:c>
      <x:c r="L109" s="47" t="n">
        <x:f>G109*K109</x:f>
        <x:v>600</x:v>
      </x:c>
      <x:c r="M109" s="47" t="n">
        <x:f>J109-L109</x:f>
        <x:v>800</x:v>
      </x:c>
      <x:c r="N109" s="5" t="str">
        <x:v>Walk-in</x:v>
      </x:c>
      <x:c r="O109" s="5" t="str">
        <x:v>Transfer</x:v>
      </x:c>
      <x:c r="P109" s="5" t="str">
        <x:v>Dinner</x:v>
      </x:c>
      <x:c r="Q109" s="48" t="n">
        <x:v>17</x:v>
      </x:c>
      <x:c r="R109" s="5" t="n">
        <x:v>5</x:v>
      </x:c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5" t="str">
        <x:v>ORD-01511</x:v>
      </x:c>
      <x:c r="B110" s="43" t="n">
        <x:v>46036</x:v>
      </x:c>
      <x:c r="C110" s="5" t="str">
        <x:v>CUST-0031</x:v>
      </x:c>
      <x:c r="D110" s="5" t="str">
        <x:v>FD001</x:v>
      </x:c>
      <x:c r="E110" s="5" t="str">
        <x:v>White Rice &amp; Stew</x:v>
      </x:c>
      <x:c r="F110" s="5" t="str">
        <x:v>Rice Meals</x:v>
      </x:c>
      <x:c r="G110" s="44" t="n">
        <x:v>2</x:v>
      </x:c>
      <x:c r="H110" s="45" t="n">
        <x:v>1800</x:v>
      </x:c>
      <x:c r="I110" s="46" t="n">
        <x:v>0</x:v>
      </x:c>
      <x:c r="J110" s="47" t="n">
        <x:f>G110*H110*(1-I110)</x:f>
        <x:v>3600</x:v>
      </x:c>
      <x:c r="K110" s="47" t="n">
        <x:v>820</x:v>
      </x:c>
      <x:c r="L110" s="47" t="n">
        <x:f>G110*K110</x:f>
        <x:v>1640</x:v>
      </x:c>
      <x:c r="M110" s="47" t="n">
        <x:f>J110-L110</x:f>
        <x:v>1960</x:v>
      </x:c>
      <x:c r="N110" s="5" t="str">
        <x:v>Walk-in</x:v>
      </x:c>
      <x:c r="O110" s="5" t="str">
        <x:v>POS</x:v>
      </x:c>
      <x:c r="P110" s="5" t="str">
        <x:v>Lunch</x:v>
      </x:c>
      <x:c r="Q110" s="48" t="n">
        <x:v>14</x:v>
      </x:c>
      <x:c r="R110" s="5" t="n">
        <x:v>5</x:v>
      </x:c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5" t="str">
        <x:v>ORD-01579</x:v>
      </x:c>
      <x:c r="B111" s="43" t="n">
        <x:v>46036</x:v>
      </x:c>
      <x:c r="C111" s="5" t="str">
        <x:v>CUST-0410</x:v>
      </x:c>
      <x:c r="D111" s="5" t="str">
        <x:v>FD002</x:v>
      </x:c>
      <x:c r="E111" s="5" t="str">
        <x:v>Jollof Rice &amp; Chicken</x:v>
      </x:c>
      <x:c r="F111" s="5" t="str">
        <x:v>Rice Meals</x:v>
      </x:c>
      <x:c r="G111" s="44" t="n">
        <x:v>3</x:v>
      </x:c>
      <x:c r="H111" s="45" t="n">
        <x:v>2800</x:v>
      </x:c>
      <x:c r="I111" s="46" t="n">
        <x:v>0</x:v>
      </x:c>
      <x:c r="J111" s="47" t="n">
        <x:f>G111*H111*(1-I111)</x:f>
        <x:v>8400</x:v>
      </x:c>
      <x:c r="K111" s="47" t="n">
        <x:v>1450</x:v>
      </x:c>
      <x:c r="L111" s="47" t="n">
        <x:f>G111*K111</x:f>
        <x:v>4350</x:v>
      </x:c>
      <x:c r="M111" s="47" t="n">
        <x:f>J111-L111</x:f>
        <x:v>4050</x:v>
      </x:c>
      <x:c r="N111" s="5" t="str">
        <x:v>Walk-in</x:v>
      </x:c>
      <x:c r="O111" s="5" t="str">
        <x:v>Cash</x:v>
      </x:c>
      <x:c r="P111" s="5" t="str">
        <x:v>Dinner</x:v>
      </x:c>
      <x:c r="Q111" s="48" t="n">
        <x:v>20</x:v>
      </x:c>
      <x:c r="R111" s="5" t="n">
        <x:v>4</x:v>
      </x:c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5" t="str">
        <x:v>ORD-01655</x:v>
      </x:c>
      <x:c r="B112" s="43" t="n">
        <x:v>46036</x:v>
      </x:c>
      <x:c r="C112" s="5" t="str">
        <x:v>CUST-0226</x:v>
      </x:c>
      <x:c r="D112" s="5" t="str">
        <x:v>FD012</x:v>
      </x:c>
      <x:c r="E112" s="5" t="str">
        <x:v>Fried Plantain</x:v>
      </x:c>
      <x:c r="F112" s="5" t="str">
        <x:v>Sides</x:v>
      </x:c>
      <x:c r="G112" s="44" t="n">
        <x:v>4</x:v>
      </x:c>
      <x:c r="H112" s="45" t="n">
        <x:v>700</x:v>
      </x:c>
      <x:c r="I112" s="46" t="n">
        <x:v>0</x:v>
      </x:c>
      <x:c r="J112" s="47" t="n">
        <x:f>G112*H112*(1-I112)</x:f>
        <x:v>2800</x:v>
      </x:c>
      <x:c r="K112" s="47" t="n">
        <x:v>300</x:v>
      </x:c>
      <x:c r="L112" s="47" t="n">
        <x:f>G112*K112</x:f>
        <x:v>1200</x:v>
      </x:c>
      <x:c r="M112" s="47" t="n">
        <x:f>J112-L112</x:f>
        <x:v>1600</x:v>
      </x:c>
      <x:c r="N112" s="5" t="str">
        <x:v>Walk-in</x:v>
      </x:c>
      <x:c r="O112" s="5" t="str">
        <x:v>Transfer</x:v>
      </x:c>
      <x:c r="P112" s="5" t="str">
        <x:v>Lunch</x:v>
      </x:c>
      <x:c r="Q112" s="48" t="n">
        <x:v>15</x:v>
      </x:c>
      <x:c r="R112" s="5" t="n">
        <x:v>5</x:v>
      </x:c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5" t="str">
        <x:v>ORD-00528</x:v>
      </x:c>
      <x:c r="B113" s="43" t="n">
        <x:v>46037</x:v>
      </x:c>
      <x:c r="C113" s="5" t="str">
        <x:v>CUST-0163</x:v>
      </x:c>
      <x:c r="D113" s="5" t="str">
        <x:v>FD004</x:v>
      </x:c>
      <x:c r="E113" s="5" t="str">
        <x:v>Beans &amp; Plantain</x:v>
      </x:c>
      <x:c r="F113" s="5" t="str">
        <x:v>Traditional Meals</x:v>
      </x:c>
      <x:c r="G113" s="44" t="n">
        <x:v>3</x:v>
      </x:c>
      <x:c r="H113" s="45" t="n">
        <x:v>2000</x:v>
      </x:c>
      <x:c r="I113" s="46" t="n">
        <x:v>0</x:v>
      </x:c>
      <x:c r="J113" s="47" t="n">
        <x:f>G113*H113*(1-I113)</x:f>
        <x:v>6000</x:v>
      </x:c>
      <x:c r="K113" s="47" t="n">
        <x:v>960</x:v>
      </x:c>
      <x:c r="L113" s="47" t="n">
        <x:f>G113*K113</x:f>
        <x:v>2880</x:v>
      </x:c>
      <x:c r="M113" s="47" t="n">
        <x:f>J113-L113</x:f>
        <x:v>3120</x:v>
      </x:c>
      <x:c r="N113" s="5" t="str">
        <x:v>Walk-in</x:v>
      </x:c>
      <x:c r="O113" s="5" t="str">
        <x:v>Transfer</x:v>
      </x:c>
      <x:c r="P113" s="5" t="str">
        <x:v>Lunch</x:v>
      </x:c>
      <x:c r="Q113" s="48" t="n">
        <x:v>14</x:v>
      </x:c>
      <x:c r="R113" s="5" t="n">
        <x:v>4</x:v>
      </x:c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5" t="str">
        <x:v>ORD-00653</x:v>
      </x:c>
      <x:c r="B114" s="43" t="n">
        <x:v>46037</x:v>
      </x:c>
      <x:c r="C114" s="5" t="str">
        <x:v>CUST-0615</x:v>
      </x:c>
      <x:c r="D114" s="5" t="str">
        <x:v>FD010</x:v>
      </x:c>
      <x:c r="E114" s="5" t="str">
        <x:v>Soft Drink</x:v>
      </x:c>
      <x:c r="F114" s="5" t="str">
        <x:v>Beverages</x:v>
      </x:c>
      <x:c r="G114" s="44" t="n">
        <x:v>4</x:v>
      </x:c>
      <x:c r="H114" s="45" t="n">
        <x:v>600</x:v>
      </x:c>
      <x:c r="I114" s="46" t="n">
        <x:v>0</x:v>
      </x:c>
      <x:c r="J114" s="47" t="n">
        <x:f>G114*H114*(1-I114)</x:f>
        <x:v>2400</x:v>
      </x:c>
      <x:c r="K114" s="47" t="n">
        <x:v>280</x:v>
      </x:c>
      <x:c r="L114" s="47" t="n">
        <x:f>G114*K114</x:f>
        <x:v>1120</x:v>
      </x:c>
      <x:c r="M114" s="47" t="n">
        <x:f>J114-L114</x:f>
        <x:v>1280</x:v>
      </x:c>
      <x:c r="N114" s="5" t="str">
        <x:v>Walk-in</x:v>
      </x:c>
      <x:c r="O114" s="5" t="str">
        <x:v>Transfer</x:v>
      </x:c>
      <x:c r="P114" s="5" t="str">
        <x:v>Dinner</x:v>
      </x:c>
      <x:c r="Q114" s="48" t="n">
        <x:v>18</x:v>
      </x:c>
      <x:c r="R114" s="5" t="n">
        <x:v>4</x:v>
      </x:c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5" t="str">
        <x:v>ORD-00759</x:v>
      </x:c>
      <x:c r="B115" s="43" t="n">
        <x:v>46037</x:v>
      </x:c>
      <x:c r="C115" s="5" t="str">
        <x:v>CUST-0211</x:v>
      </x:c>
      <x:c r="D115" s="5" t="str">
        <x:v>FD007</x:v>
      </x:c>
      <x:c r="E115" s="5" t="str">
        <x:v>Amala &amp; Ewedu</x:v>
      </x:c>
      <x:c r="F115" s="5" t="str">
        <x:v>Swallow</x:v>
      </x:c>
      <x:c r="G115" s="44" t="n">
        <x:v>2</x:v>
      </x:c>
      <x:c r="H115" s="45" t="n">
        <x:v>2500</x:v>
      </x:c>
      <x:c r="I115" s="46" t="n">
        <x:v>0.05</x:v>
      </x:c>
      <x:c r="J115" s="47" t="n">
        <x:f>G115*H115*(1-I115)</x:f>
        <x:v>4750</x:v>
      </x:c>
      <x:c r="K115" s="47" t="n">
        <x:v>1250</x:v>
      </x:c>
      <x:c r="L115" s="47" t="n">
        <x:f>G115*K115</x:f>
        <x:v>2500</x:v>
      </x:c>
      <x:c r="M115" s="47" t="n">
        <x:f>J115-L115</x:f>
        <x:v>2250</x:v>
      </x:c>
      <x:c r="N115" s="5" t="str">
        <x:v>Walk-in</x:v>
      </x:c>
      <x:c r="O115" s="5" t="str">
        <x:v>Transfer</x:v>
      </x:c>
      <x:c r="P115" s="5" t="str">
        <x:v>Lunch</x:v>
      </x:c>
      <x:c r="Q115" s="48" t="n">
        <x:v>14</x:v>
      </x:c>
      <x:c r="R115" s="5" t="n">
        <x:v>4</x:v>
      </x:c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5" t="str">
        <x:v>ORD-00815</x:v>
      </x:c>
      <x:c r="B116" s="43" t="n">
        <x:v>46037</x:v>
      </x:c>
      <x:c r="C116" s="5" t="str">
        <x:v>CUST-0108</x:v>
      </x:c>
      <x:c r="D116" s="5" t="str">
        <x:v>FD009</x:v>
      </x:c>
      <x:c r="E116" s="5" t="str">
        <x:v>Moi Moi</x:v>
      </x:c>
      <x:c r="F116" s="5" t="str">
        <x:v>Sides</x:v>
      </x:c>
      <x:c r="G116" s="44" t="n">
        <x:v>4</x:v>
      </x:c>
      <x:c r="H116" s="45" t="n">
        <x:v>900</x:v>
      </x:c>
      <x:c r="I116" s="46" t="n">
        <x:v>0</x:v>
      </x:c>
      <x:c r="J116" s="47" t="n">
        <x:f>G116*H116*(1-I116)</x:f>
        <x:v>3600</x:v>
      </x:c>
      <x:c r="K116" s="47" t="n">
        <x:v>380</x:v>
      </x:c>
      <x:c r="L116" s="47" t="n">
        <x:f>G116*K116</x:f>
        <x:v>1520</x:v>
      </x:c>
      <x:c r="M116" s="47" t="n">
        <x:f>J116-L116</x:f>
        <x:v>2080</x:v>
      </x:c>
      <x:c r="N116" s="5" t="str">
        <x:v>Walk-in</x:v>
      </x:c>
      <x:c r="O116" s="5" t="str">
        <x:v>Cash</x:v>
      </x:c>
      <x:c r="P116" s="5" t="str">
        <x:v>Dinner</x:v>
      </x:c>
      <x:c r="Q116" s="48" t="n">
        <x:v>20</x:v>
      </x:c>
      <x:c r="R116" s="5" t="n">
        <x:v>5</x:v>
      </x:c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5" t="str">
        <x:v>ORD-00851</x:v>
      </x:c>
      <x:c r="B117" s="43" t="n">
        <x:v>46037</x:v>
      </x:c>
      <x:c r="C117" s="5" t="str">
        <x:v>CUST-0203</x:v>
      </x:c>
      <x:c r="D117" s="5" t="str">
        <x:v>FD011</x:v>
      </x:c>
      <x:c r="E117" s="5" t="str">
        <x:v>Bottled Water</x:v>
      </x:c>
      <x:c r="F117" s="5" t="str">
        <x:v>Beverages</x:v>
      </x:c>
      <x:c r="G117" s="44" t="n">
        <x:v>4</x:v>
      </x:c>
      <x:c r="H117" s="45" t="n">
        <x:v>300</x:v>
      </x:c>
      <x:c r="I117" s="46" t="n">
        <x:v>0</x:v>
      </x:c>
      <x:c r="J117" s="47" t="n">
        <x:f>G117*H117*(1-I117)</x:f>
        <x:v>1200</x:v>
      </x:c>
      <x:c r="K117" s="47" t="n">
        <x:v>120</x:v>
      </x:c>
      <x:c r="L117" s="47" t="n">
        <x:f>G117*K117</x:f>
        <x:v>480</x:v>
      </x:c>
      <x:c r="M117" s="47" t="n">
        <x:f>J117-L117</x:f>
        <x:v>720</x:v>
      </x:c>
      <x:c r="N117" s="5" t="str">
        <x:v>Walk-in</x:v>
      </x:c>
      <x:c r="O117" s="5" t="str">
        <x:v>Transfer</x:v>
      </x:c>
      <x:c r="P117" s="5" t="str">
        <x:v>Breakfast</x:v>
      </x:c>
      <x:c r="Q117" s="48" t="n">
        <x:v>10</x:v>
      </x:c>
      <x:c r="R117" s="5" t="n">
        <x:v>4</x:v>
      </x:c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5" t="str">
        <x:v>ORD-01234</x:v>
      </x:c>
      <x:c r="B118" s="43" t="n">
        <x:v>46037</x:v>
      </x:c>
      <x:c r="C118" s="5" t="str">
        <x:v>CUST-0616</x:v>
      </x:c>
      <x:c r="D118" s="5" t="str">
        <x:v>FD002</x:v>
      </x:c>
      <x:c r="E118" s="5" t="str">
        <x:v>Jollof Rice &amp; Chicken</x:v>
      </x:c>
      <x:c r="F118" s="5" t="str">
        <x:v>Rice Meals</x:v>
      </x:c>
      <x:c r="G118" s="44" t="n">
        <x:v>1</x:v>
      </x:c>
      <x:c r="H118" s="45" t="n">
        <x:v>2800</x:v>
      </x:c>
      <x:c r="I118" s="46" t="n">
        <x:v>0</x:v>
      </x:c>
      <x:c r="J118" s="47" t="n">
        <x:f>G118*H118*(1-I118)</x:f>
        <x:v>2800</x:v>
      </x:c>
      <x:c r="K118" s="47" t="n">
        <x:v>1450</x:v>
      </x:c>
      <x:c r="L118" s="47" t="n">
        <x:f>G118*K118</x:f>
        <x:v>1450</x:v>
      </x:c>
      <x:c r="M118" s="47" t="n">
        <x:f>J118-L118</x:f>
        <x:v>1350</x:v>
      </x:c>
      <x:c r="N118" s="5" t="str">
        <x:v>Walk-in</x:v>
      </x:c>
      <x:c r="O118" s="5" t="str">
        <x:v>Transfer</x:v>
      </x:c>
      <x:c r="P118" s="5" t="str">
        <x:v>Dinner</x:v>
      </x:c>
      <x:c r="Q118" s="48" t="n">
        <x:v>17</x:v>
      </x:c>
      <x:c r="R118" s="5" t="n">
        <x:v>5</x:v>
      </x:c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5" t="str">
        <x:v>ORD-01341</x:v>
      </x:c>
      <x:c r="B119" s="43" t="n">
        <x:v>46037</x:v>
      </x:c>
      <x:c r="C119" s="5" t="str">
        <x:v>CUST-0219</x:v>
      </x:c>
      <x:c r="D119" s="5" t="str">
        <x:v>FD002</x:v>
      </x:c>
      <x:c r="E119" s="5" t="str">
        <x:v>Jollof Rice &amp; Chicken</x:v>
      </x:c>
      <x:c r="F119" s="5" t="str">
        <x:v>Rice Meals</x:v>
      </x:c>
      <x:c r="G119" s="44" t="n">
        <x:v>4</x:v>
      </x:c>
      <x:c r="H119" s="45" t="n">
        <x:v>2800</x:v>
      </x:c>
      <x:c r="I119" s="46" t="n">
        <x:v>0</x:v>
      </x:c>
      <x:c r="J119" s="47" t="n">
        <x:f>G119*H119*(1-I119)</x:f>
        <x:v>11200</x:v>
      </x:c>
      <x:c r="K119" s="47" t="n">
        <x:v>1450</x:v>
      </x:c>
      <x:c r="L119" s="47" t="n">
        <x:f>G119*K119</x:f>
        <x:v>5800</x:v>
      </x:c>
      <x:c r="M119" s="47" t="n">
        <x:f>J119-L119</x:f>
        <x:v>5400</x:v>
      </x:c>
      <x:c r="N119" s="5" t="str">
        <x:v>Takeaway</x:v>
      </x:c>
      <x:c r="O119" s="5" t="str">
        <x:v>POS</x:v>
      </x:c>
      <x:c r="P119" s="5" t="str">
        <x:v>Lunch</x:v>
      </x:c>
      <x:c r="Q119" s="48" t="n">
        <x:v>15</x:v>
      </x:c>
      <x:c r="R119" s="5" t="n">
        <x:v>4</x:v>
      </x:c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5" t="str">
        <x:v>ORD-01462</x:v>
      </x:c>
      <x:c r="B120" s="43" t="n">
        <x:v>46037</x:v>
      </x:c>
      <x:c r="C120" s="5" t="str">
        <x:v>CUST-0338</x:v>
      </x:c>
      <x:c r="D120" s="5" t="str">
        <x:v>FD001</x:v>
      </x:c>
      <x:c r="E120" s="5" t="str">
        <x:v>White Rice &amp; Stew</x:v>
      </x:c>
      <x:c r="F120" s="5" t="str">
        <x:v>Rice Meals</x:v>
      </x:c>
      <x:c r="G120" s="44" t="n">
        <x:v>3</x:v>
      </x:c>
      <x:c r="H120" s="45" t="n">
        <x:v>1800</x:v>
      </x:c>
      <x:c r="I120" s="46" t="n">
        <x:v>0.05</x:v>
      </x:c>
      <x:c r="J120" s="47" t="n">
        <x:f>G120*H120*(1-I120)</x:f>
        <x:v>5130</x:v>
      </x:c>
      <x:c r="K120" s="47" t="n">
        <x:v>820</x:v>
      </x:c>
      <x:c r="L120" s="47" t="n">
        <x:f>G120*K120</x:f>
        <x:v>2460</x:v>
      </x:c>
      <x:c r="M120" s="47" t="n">
        <x:f>J120-L120</x:f>
        <x:v>2670</x:v>
      </x:c>
      <x:c r="N120" s="5" t="str">
        <x:v>Takeaway</x:v>
      </x:c>
      <x:c r="O120" s="5" t="str">
        <x:v>Cash</x:v>
      </x:c>
      <x:c r="P120" s="5" t="str">
        <x:v>Dinner</x:v>
      </x:c>
      <x:c r="Q120" s="48" t="n">
        <x:v>19</x:v>
      </x:c>
      <x:c r="R120" s="5" t="n">
        <x:v>4</x:v>
      </x:c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5" t="str">
        <x:v>ORD-01654</x:v>
      </x:c>
      <x:c r="B121" s="43" t="n">
        <x:v>46037</x:v>
      </x:c>
      <x:c r="C121" s="5" t="str">
        <x:v>CUST-0224</x:v>
      </x:c>
      <x:c r="D121" s="5" t="str">
        <x:v>FD004</x:v>
      </x:c>
      <x:c r="E121" s="5" t="str">
        <x:v>Beans &amp; Plantain</x:v>
      </x:c>
      <x:c r="F121" s="5" t="str">
        <x:v>Traditional Meals</x:v>
      </x:c>
      <x:c r="G121" s="44" t="n">
        <x:v>2</x:v>
      </x:c>
      <x:c r="H121" s="45" t="n">
        <x:v>2000</x:v>
      </x:c>
      <x:c r="I121" s="46" t="n">
        <x:v>0</x:v>
      </x:c>
      <x:c r="J121" s="47" t="n">
        <x:f>G121*H121*(1-I121)</x:f>
        <x:v>4000</x:v>
      </x:c>
      <x:c r="K121" s="47" t="n">
        <x:v>960</x:v>
      </x:c>
      <x:c r="L121" s="47" t="n">
        <x:f>G121*K121</x:f>
        <x:v>1920</x:v>
      </x:c>
      <x:c r="M121" s="47" t="n">
        <x:f>J121-L121</x:f>
        <x:v>2080</x:v>
      </x:c>
      <x:c r="N121" s="5" t="str">
        <x:v>Delivery</x:v>
      </x:c>
      <x:c r="O121" s="5" t="str">
        <x:v>Cash</x:v>
      </x:c>
      <x:c r="P121" s="5" t="str">
        <x:v>Lunch</x:v>
      </x:c>
      <x:c r="Q121" s="48" t="n">
        <x:v>15</x:v>
      </x:c>
      <x:c r="R121" s="5" t="n">
        <x:v>4</x:v>
      </x:c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5" t="str">
        <x:v>ORD-00206</x:v>
      </x:c>
      <x:c r="B122" s="43" t="n">
        <x:v>46038</x:v>
      </x:c>
      <x:c r="C122" s="5" t="str">
        <x:v>CUST-0370</x:v>
      </x:c>
      <x:c r="D122" s="5" t="str">
        <x:v>FD002</x:v>
      </x:c>
      <x:c r="E122" s="5" t="str">
        <x:v>Jollof Rice &amp; Chicken</x:v>
      </x:c>
      <x:c r="F122" s="5" t="str">
        <x:v>Rice Meals</x:v>
      </x:c>
      <x:c r="G122" s="44" t="n">
        <x:v>3</x:v>
      </x:c>
      <x:c r="H122" s="45" t="n">
        <x:v>2800</x:v>
      </x:c>
      <x:c r="I122" s="46" t="n">
        <x:v>0.05</x:v>
      </x:c>
      <x:c r="J122" s="47" t="n">
        <x:f>G122*H122*(1-I122)</x:f>
        <x:v>7980</x:v>
      </x:c>
      <x:c r="K122" s="47" t="n">
        <x:v>1450</x:v>
      </x:c>
      <x:c r="L122" s="47" t="n">
        <x:f>G122*K122</x:f>
        <x:v>4350</x:v>
      </x:c>
      <x:c r="M122" s="47" t="n">
        <x:f>J122-L122</x:f>
        <x:v>3630</x:v>
      </x:c>
      <x:c r="N122" s="5" t="str">
        <x:v>Walk-in</x:v>
      </x:c>
      <x:c r="O122" s="5" t="str">
        <x:v>POS</x:v>
      </x:c>
      <x:c r="P122" s="5" t="str">
        <x:v>Lunch</x:v>
      </x:c>
      <x:c r="Q122" s="48" t="n">
        <x:v>15</x:v>
      </x:c>
      <x:c r="R122" s="5" t="n">
        <x:v>4</x:v>
      </x:c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5" t="str">
        <x:v>ORD-00328</x:v>
      </x:c>
      <x:c r="B123" s="43" t="n">
        <x:v>46038</x:v>
      </x:c>
      <x:c r="C123" s="5" t="str">
        <x:v>CUST-0643</x:v>
      </x:c>
      <x:c r="D123" s="5" t="str">
        <x:v>FD002</x:v>
      </x:c>
      <x:c r="E123" s="5" t="str">
        <x:v>Jollof Rice &amp; Chicken</x:v>
      </x:c>
      <x:c r="F123" s="5" t="str">
        <x:v>Rice Meals</x:v>
      </x:c>
      <x:c r="G123" s="44" t="n">
        <x:v>4</x:v>
      </x:c>
      <x:c r="H123" s="45" t="n">
        <x:v>2800</x:v>
      </x:c>
      <x:c r="I123" s="46" t="n">
        <x:v>0</x:v>
      </x:c>
      <x:c r="J123" s="47" t="n">
        <x:f>G123*H123*(1-I123)</x:f>
        <x:v>11200</x:v>
      </x:c>
      <x:c r="K123" s="47" t="n">
        <x:v>1450</x:v>
      </x:c>
      <x:c r="L123" s="47" t="n">
        <x:f>G123*K123</x:f>
        <x:v>5800</x:v>
      </x:c>
      <x:c r="M123" s="47" t="n">
        <x:f>J123-L123</x:f>
        <x:v>5400</x:v>
      </x:c>
      <x:c r="N123" s="5" t="str">
        <x:v>Walk-in</x:v>
      </x:c>
      <x:c r="O123" s="5" t="str">
        <x:v>POS</x:v>
      </x:c>
      <x:c r="P123" s="5" t="str">
        <x:v>Breakfast</x:v>
      </x:c>
      <x:c r="Q123" s="48" t="n">
        <x:v>10</x:v>
      </x:c>
      <x:c r="R123" s="5" t="n">
        <x:v>3</x:v>
      </x:c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5" t="str">
        <x:v>ORD-00609</x:v>
      </x:c>
      <x:c r="B124" s="43" t="n">
        <x:v>46038</x:v>
      </x:c>
      <x:c r="C124" s="5" t="str">
        <x:v>CUST-0395</x:v>
      </x:c>
      <x:c r="D124" s="5" t="str">
        <x:v>FD010</x:v>
      </x:c>
      <x:c r="E124" s="5" t="str">
        <x:v>Soft Drink</x:v>
      </x:c>
      <x:c r="F124" s="5" t="str">
        <x:v>Beverages</x:v>
      </x:c>
      <x:c r="G124" s="44" t="n">
        <x:v>2</x:v>
      </x:c>
      <x:c r="H124" s="45" t="n">
        <x:v>600</x:v>
      </x:c>
      <x:c r="I124" s="46" t="n">
        <x:v>0</x:v>
      </x:c>
      <x:c r="J124" s="47" t="n">
        <x:f>G124*H124*(1-I124)</x:f>
        <x:v>1200</x:v>
      </x:c>
      <x:c r="K124" s="47" t="n">
        <x:v>280</x:v>
      </x:c>
      <x:c r="L124" s="47" t="n">
        <x:f>G124*K124</x:f>
        <x:v>560</x:v>
      </x:c>
      <x:c r="M124" s="47" t="n">
        <x:f>J124-L124</x:f>
        <x:v>640</x:v>
      </x:c>
      <x:c r="N124" s="5" t="str">
        <x:v>Walk-in</x:v>
      </x:c>
      <x:c r="O124" s="5" t="str">
        <x:v>Transfer</x:v>
      </x:c>
      <x:c r="P124" s="5" t="str">
        <x:v>Dinner</x:v>
      </x:c>
      <x:c r="Q124" s="48" t="n">
        <x:v>20</x:v>
      </x:c>
      <x:c r="R124" s="5" t="n">
        <x:v>4</x:v>
      </x:c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5" t="str">
        <x:v>ORD-00865</x:v>
      </x:c>
      <x:c r="B125" s="43" t="n">
        <x:v>46038</x:v>
      </x:c>
      <x:c r="C125" s="5" t="str">
        <x:v>CUST-0420</x:v>
      </x:c>
      <x:c r="D125" s="5" t="str">
        <x:v>FD001</x:v>
      </x:c>
      <x:c r="E125" s="5" t="str">
        <x:v>White Rice &amp; Stew</x:v>
      </x:c>
      <x:c r="F125" s="5" t="str">
        <x:v>Rice Meals</x:v>
      </x:c>
      <x:c r="G125" s="44" t="n">
        <x:v>1</x:v>
      </x:c>
      <x:c r="H125" s="45" t="n">
        <x:v>1800</x:v>
      </x:c>
      <x:c r="I125" s="46" t="n">
        <x:v>0</x:v>
      </x:c>
      <x:c r="J125" s="47" t="n">
        <x:f>G125*H125*(1-I125)</x:f>
        <x:v>1800</x:v>
      </x:c>
      <x:c r="K125" s="47" t="n">
        <x:v>820</x:v>
      </x:c>
      <x:c r="L125" s="47" t="n">
        <x:f>G125*K125</x:f>
        <x:v>820</x:v>
      </x:c>
      <x:c r="M125" s="47" t="n">
        <x:f>J125-L125</x:f>
        <x:v>980</x:v>
      </x:c>
      <x:c r="N125" s="5" t="str">
        <x:v>Walk-in</x:v>
      </x:c>
      <x:c r="O125" s="5" t="str">
        <x:v>Transfer</x:v>
      </x:c>
      <x:c r="P125" s="5" t="str">
        <x:v>Breakfast</x:v>
      </x:c>
      <x:c r="Q125" s="48" t="n">
        <x:v>9</x:v>
      </x:c>
      <x:c r="R125" s="5" t="n">
        <x:v>5</x:v>
      </x:c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5" t="str">
        <x:v>ORD-00997</x:v>
      </x:c>
      <x:c r="B126" s="43" t="n">
        <x:v>46038</x:v>
      </x:c>
      <x:c r="C126" s="5" t="str">
        <x:v>CUST-0230</x:v>
      </x:c>
      <x:c r="D126" s="5" t="str">
        <x:v>FD010</x:v>
      </x:c>
      <x:c r="E126" s="5" t="str">
        <x:v>Soft Drink</x:v>
      </x:c>
      <x:c r="F126" s="5" t="str">
        <x:v>Beverages</x:v>
      </x:c>
      <x:c r="G126" s="44" t="n">
        <x:v>1</x:v>
      </x:c>
      <x:c r="H126" s="45" t="n">
        <x:v>600</x:v>
      </x:c>
      <x:c r="I126" s="46" t="n">
        <x:v>0</x:v>
      </x:c>
      <x:c r="J126" s="47" t="n">
        <x:f>G126*H126*(1-I126)</x:f>
        <x:v>600</x:v>
      </x:c>
      <x:c r="K126" s="47" t="n">
        <x:v>280</x:v>
      </x:c>
      <x:c r="L126" s="47" t="n">
        <x:f>G126*K126</x:f>
        <x:v>280</x:v>
      </x:c>
      <x:c r="M126" s="47" t="n">
        <x:f>J126-L126</x:f>
        <x:v>320</x:v>
      </x:c>
      <x:c r="N126" s="5" t="str">
        <x:v>Walk-in</x:v>
      </x:c>
      <x:c r="O126" s="5" t="str">
        <x:v>Transfer</x:v>
      </x:c>
      <x:c r="P126" s="5" t="str">
        <x:v>Lunch</x:v>
      </x:c>
      <x:c r="Q126" s="48" t="n">
        <x:v>12</x:v>
      </x:c>
      <x:c r="R126" s="5" t="n">
        <x:v>4</x:v>
      </x:c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5" t="str">
        <x:v>ORD-01162</x:v>
      </x:c>
      <x:c r="B127" s="43" t="n">
        <x:v>46038</x:v>
      </x:c>
      <x:c r="C127" s="5" t="str">
        <x:v>CUST-0628</x:v>
      </x:c>
      <x:c r="D127" s="5" t="str">
        <x:v>FD001</x:v>
      </x:c>
      <x:c r="E127" s="5" t="str">
        <x:v>White Rice &amp; Stew</x:v>
      </x:c>
      <x:c r="F127" s="5" t="str">
        <x:v>Rice Meals</x:v>
      </x:c>
      <x:c r="G127" s="44" t="n">
        <x:v>2</x:v>
      </x:c>
      <x:c r="H127" s="45" t="n">
        <x:v>1800</x:v>
      </x:c>
      <x:c r="I127" s="46" t="n">
        <x:v>0</x:v>
      </x:c>
      <x:c r="J127" s="47" t="n">
        <x:f>G127*H127*(1-I127)</x:f>
        <x:v>3600</x:v>
      </x:c>
      <x:c r="K127" s="47" t="n">
        <x:v>820</x:v>
      </x:c>
      <x:c r="L127" s="47" t="n">
        <x:f>G127*K127</x:f>
        <x:v>1640</x:v>
      </x:c>
      <x:c r="M127" s="47" t="n">
        <x:f>J127-L127</x:f>
        <x:v>1960</x:v>
      </x:c>
      <x:c r="N127" s="5" t="str">
        <x:v>Walk-in</x:v>
      </x:c>
      <x:c r="O127" s="5" t="str">
        <x:v>Transfer</x:v>
      </x:c>
      <x:c r="P127" s="5" t="str">
        <x:v>Breakfast</x:v>
      </x:c>
      <x:c r="Q127" s="48" t="n">
        <x:v>8</x:v>
      </x:c>
      <x:c r="R127" s="5" t="n">
        <x:v>5</x:v>
      </x:c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5" t="str">
        <x:v>ORD-01669</x:v>
      </x:c>
      <x:c r="B128" s="43" t="n">
        <x:v>46038</x:v>
      </x:c>
      <x:c r="C128" s="5" t="str">
        <x:v>CUST-0362</x:v>
      </x:c>
      <x:c r="D128" s="5" t="str">
        <x:v>FD010</x:v>
      </x:c>
      <x:c r="E128" s="5" t="str">
        <x:v>Soft Drink</x:v>
      </x:c>
      <x:c r="F128" s="5" t="str">
        <x:v>Beverages</x:v>
      </x:c>
      <x:c r="G128" s="44" t="n">
        <x:v>4</x:v>
      </x:c>
      <x:c r="H128" s="45" t="n">
        <x:v>600</x:v>
      </x:c>
      <x:c r="I128" s="46" t="n">
        <x:v>0</x:v>
      </x:c>
      <x:c r="J128" s="47" t="n">
        <x:f>G128*H128*(1-I128)</x:f>
        <x:v>2400</x:v>
      </x:c>
      <x:c r="K128" s="47" t="n">
        <x:v>280</x:v>
      </x:c>
      <x:c r="L128" s="47" t="n">
        <x:f>G128*K128</x:f>
        <x:v>1120</x:v>
      </x:c>
      <x:c r="M128" s="47" t="n">
        <x:f>J128-L128</x:f>
        <x:v>1280</x:v>
      </x:c>
      <x:c r="N128" s="5" t="str">
        <x:v>Walk-in</x:v>
      </x:c>
      <x:c r="O128" s="5" t="str">
        <x:v>Transfer</x:v>
      </x:c>
      <x:c r="P128" s="5" t="str">
        <x:v>Lunch</x:v>
      </x:c>
      <x:c r="Q128" s="48" t="n">
        <x:v>15</x:v>
      </x:c>
      <x:c r="R128" s="5" t="n">
        <x:v>4</x:v>
      </x:c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5" t="str">
        <x:v>ORD-01679</x:v>
      </x:c>
      <x:c r="B129" s="43" t="n">
        <x:v>46038</x:v>
      </x:c>
      <x:c r="C129" s="5" t="str">
        <x:v>CUST-0074</x:v>
      </x:c>
      <x:c r="D129" s="5" t="str">
        <x:v>FD008</x:v>
      </x:c>
      <x:c r="E129" s="5" t="str">
        <x:v>Pounded Yam &amp; Vegetable Soup</x:v>
      </x:c>
      <x:c r="F129" s="5" t="str">
        <x:v>Swallow</x:v>
      </x:c>
      <x:c r="G129" s="44" t="n">
        <x:v>3</x:v>
      </x:c>
      <x:c r="H129" s="45" t="n">
        <x:v>3200</x:v>
      </x:c>
      <x:c r="I129" s="46" t="n">
        <x:v>0</x:v>
      </x:c>
      <x:c r="J129" s="47" t="n">
        <x:f>G129*H129*(1-I129)</x:f>
        <x:v>9600</x:v>
      </x:c>
      <x:c r="K129" s="47" t="n">
        <x:v>1710</x:v>
      </x:c>
      <x:c r="L129" s="47" t="n">
        <x:f>G129*K129</x:f>
        <x:v>5130</x:v>
      </x:c>
      <x:c r="M129" s="47" t="n">
        <x:f>J129-L129</x:f>
        <x:v>4470</x:v>
      </x:c>
      <x:c r="N129" s="5" t="str">
        <x:v>Walk-in</x:v>
      </x:c>
      <x:c r="O129" s="5" t="str">
        <x:v>POS</x:v>
      </x:c>
      <x:c r="P129" s="5" t="str">
        <x:v>Lunch</x:v>
      </x:c>
      <x:c r="Q129" s="48" t="n">
        <x:v>14</x:v>
      </x:c>
      <x:c r="R129" s="5" t="n">
        <x:v>5</x:v>
      </x:c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5" t="str">
        <x:v>ORD-00158</x:v>
      </x:c>
      <x:c r="B130" s="43" t="n">
        <x:v>46039</x:v>
      </x:c>
      <x:c r="C130" s="5" t="str">
        <x:v>CUST-0115</x:v>
      </x:c>
      <x:c r="D130" s="5" t="str">
        <x:v>FD006</x:v>
      </x:c>
      <x:c r="E130" s="5" t="str">
        <x:v>Eba &amp; Egusi Soup</x:v>
      </x:c>
      <x:c r="F130" s="5" t="str">
        <x:v>Swallow</x:v>
      </x:c>
      <x:c r="G130" s="44" t="n">
        <x:v>2</x:v>
      </x:c>
      <x:c r="H130" s="45" t="n">
        <x:v>2600</x:v>
      </x:c>
      <x:c r="I130" s="46" t="n">
        <x:v>0</x:v>
      </x:c>
      <x:c r="J130" s="47" t="n">
        <x:f>G130*H130*(1-I130)</x:f>
        <x:v>5200</x:v>
      </x:c>
      <x:c r="K130" s="47" t="n">
        <x:v>1320</x:v>
      </x:c>
      <x:c r="L130" s="47" t="n">
        <x:f>G130*K130</x:f>
        <x:v>2640</x:v>
      </x:c>
      <x:c r="M130" s="47" t="n">
        <x:f>J130-L130</x:f>
        <x:v>2560</x:v>
      </x:c>
      <x:c r="N130" s="5" t="str">
        <x:v>Delivery</x:v>
      </x:c>
      <x:c r="O130" s="5" t="str">
        <x:v>Transfer</x:v>
      </x:c>
      <x:c r="P130" s="5" t="str">
        <x:v>Breakfast</x:v>
      </x:c>
      <x:c r="Q130" s="48" t="n">
        <x:v>9</x:v>
      </x:c>
      <x:c r="R130" s="5" t="n">
        <x:v>4</x:v>
      </x:c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5" t="str">
        <x:v>ORD-00234</x:v>
      </x:c>
      <x:c r="B131" s="43" t="n">
        <x:v>46039</x:v>
      </x:c>
      <x:c r="C131" s="5" t="str">
        <x:v>CUST-0418</x:v>
      </x:c>
      <x:c r="D131" s="5" t="str">
        <x:v>FD003</x:v>
      </x:c>
      <x:c r="E131" s="5" t="str">
        <x:v>Fried Rice &amp; Chicken</x:v>
      </x:c>
      <x:c r="F131" s="5" t="str">
        <x:v>Rice Meals</x:v>
      </x:c>
      <x:c r="G131" s="44" t="n">
        <x:v>4</x:v>
      </x:c>
      <x:c r="H131" s="45" t="n">
        <x:v>3000</x:v>
      </x:c>
      <x:c r="I131" s="46" t="n">
        <x:v>0</x:v>
      </x:c>
      <x:c r="J131" s="47" t="n">
        <x:f>G131*H131*(1-I131)</x:f>
        <x:v>12000</x:v>
      </x:c>
      <x:c r="K131" s="47" t="n">
        <x:v>1580</x:v>
      </x:c>
      <x:c r="L131" s="47" t="n">
        <x:f>G131*K131</x:f>
        <x:v>6320</x:v>
      </x:c>
      <x:c r="M131" s="47" t="n">
        <x:f>J131-L131</x:f>
        <x:v>5680</x:v>
      </x:c>
      <x:c r="N131" s="5" t="str">
        <x:v>Takeaway</x:v>
      </x:c>
      <x:c r="O131" s="5" t="str">
        <x:v>Cash</x:v>
      </x:c>
      <x:c r="P131" s="5" t="str">
        <x:v>Dinner</x:v>
      </x:c>
      <x:c r="Q131" s="48" t="n">
        <x:v>17</x:v>
      </x:c>
      <x:c r="R131" s="5" t="n">
        <x:v>5</x:v>
      </x:c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5" t="str">
        <x:v>ORD-00560</x:v>
      </x:c>
      <x:c r="B132" s="43" t="n">
        <x:v>46039</x:v>
      </x:c>
      <x:c r="C132" s="5" t="str">
        <x:v>CUST-0492</x:v>
      </x:c>
      <x:c r="D132" s="5" t="str">
        <x:v>FD001</x:v>
      </x:c>
      <x:c r="E132" s="5" t="str">
        <x:v>White Rice &amp; Stew</x:v>
      </x:c>
      <x:c r="F132" s="5" t="str">
        <x:v>Rice Meals</x:v>
      </x:c>
      <x:c r="G132" s="44" t="n">
        <x:v>2</x:v>
      </x:c>
      <x:c r="H132" s="45" t="n">
        <x:v>1800</x:v>
      </x:c>
      <x:c r="I132" s="46" t="n">
        <x:v>0</x:v>
      </x:c>
      <x:c r="J132" s="47" t="n">
        <x:f>G132*H132*(1-I132)</x:f>
        <x:v>3600</x:v>
      </x:c>
      <x:c r="K132" s="47" t="n">
        <x:v>820</x:v>
      </x:c>
      <x:c r="L132" s="47" t="n">
        <x:f>G132*K132</x:f>
        <x:v>1640</x:v>
      </x:c>
      <x:c r="M132" s="47" t="n">
        <x:f>J132-L132</x:f>
        <x:v>1960</x:v>
      </x:c>
      <x:c r="N132" s="5" t="str">
        <x:v>Walk-in</x:v>
      </x:c>
      <x:c r="O132" s="5" t="str">
        <x:v>Cash</x:v>
      </x:c>
      <x:c r="P132" s="5" t="str">
        <x:v>Dinner</x:v>
      </x:c>
      <x:c r="Q132" s="48" t="n">
        <x:v>20</x:v>
      </x:c>
      <x:c r="R132" s="5" t="n">
        <x:v>3</x:v>
      </x:c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5" t="str">
        <x:v>ORD-00728</x:v>
      </x:c>
      <x:c r="B133" s="43" t="n">
        <x:v>46039</x:v>
      </x:c>
      <x:c r="C133" s="5" t="str">
        <x:v>CUST-0231</x:v>
      </x:c>
      <x:c r="D133" s="5" t="str">
        <x:v>FD005</x:v>
      </x:c>
      <x:c r="E133" s="5" t="str">
        <x:v>Yam Porridge</x:v>
      </x:c>
      <x:c r="F133" s="5" t="str">
        <x:v>Traditional Meals</x:v>
      </x:c>
      <x:c r="G133" s="44" t="n">
        <x:v>2</x:v>
      </x:c>
      <x:c r="H133" s="45" t="n">
        <x:v>2200</x:v>
      </x:c>
      <x:c r="I133" s="46" t="n">
        <x:v>0</x:v>
      </x:c>
      <x:c r="J133" s="47" t="n">
        <x:f>G133*H133*(1-I133)</x:f>
        <x:v>4400</x:v>
      </x:c>
      <x:c r="K133" s="47" t="n">
        <x:v>1050</x:v>
      </x:c>
      <x:c r="L133" s="47" t="n">
        <x:f>G133*K133</x:f>
        <x:v>2100</x:v>
      </x:c>
      <x:c r="M133" s="47" t="n">
        <x:f>J133-L133</x:f>
        <x:v>2300</x:v>
      </x:c>
      <x:c r="N133" s="5" t="str">
        <x:v>Walk-in</x:v>
      </x:c>
      <x:c r="O133" s="5" t="str">
        <x:v>Transfer</x:v>
      </x:c>
      <x:c r="P133" s="5" t="str">
        <x:v>Lunch</x:v>
      </x:c>
      <x:c r="Q133" s="48" t="n">
        <x:v>11</x:v>
      </x:c>
      <x:c r="R133" s="5" t="n">
        <x:v>4</x:v>
      </x:c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5" t="str">
        <x:v>ORD-01427</x:v>
      </x:c>
      <x:c r="B134" s="43" t="n">
        <x:v>46039</x:v>
      </x:c>
      <x:c r="C134" s="5" t="str">
        <x:v>CUST-0023</x:v>
      </x:c>
      <x:c r="D134" s="5" t="str">
        <x:v>FD007</x:v>
      </x:c>
      <x:c r="E134" s="5" t="str">
        <x:v>Amala &amp; Ewedu</x:v>
      </x:c>
      <x:c r="F134" s="5" t="str">
        <x:v>Swallow</x:v>
      </x:c>
      <x:c r="G134" s="44" t="n">
        <x:v>4</x:v>
      </x:c>
      <x:c r="H134" s="45" t="n">
        <x:v>2500</x:v>
      </x:c>
      <x:c r="I134" s="46" t="n">
        <x:v>0</x:v>
      </x:c>
      <x:c r="J134" s="47" t="n">
        <x:f>G134*H134*(1-I134)</x:f>
        <x:v>10000</x:v>
      </x:c>
      <x:c r="K134" s="47" t="n">
        <x:v>1250</x:v>
      </x:c>
      <x:c r="L134" s="47" t="n">
        <x:f>G134*K134</x:f>
        <x:v>5000</x:v>
      </x:c>
      <x:c r="M134" s="47" t="n">
        <x:f>J134-L134</x:f>
        <x:v>5000</x:v>
      </x:c>
      <x:c r="N134" s="5" t="str">
        <x:v>Walk-in</x:v>
      </x:c>
      <x:c r="O134" s="5" t="str">
        <x:v>Cash</x:v>
      </x:c>
      <x:c r="P134" s="5" t="str">
        <x:v>Breakfast</x:v>
      </x:c>
      <x:c r="Q134" s="48" t="n">
        <x:v>9</x:v>
      </x:c>
      <x:c r="R134" s="5" t="n">
        <x:v>5</x:v>
      </x:c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5" t="str">
        <x:v>ORD-01569</x:v>
      </x:c>
      <x:c r="B135" s="43" t="n">
        <x:v>46039</x:v>
      </x:c>
      <x:c r="C135" s="5" t="str">
        <x:v>CUST-0038</x:v>
      </x:c>
      <x:c r="D135" s="5" t="str">
        <x:v>FD004</x:v>
      </x:c>
      <x:c r="E135" s="5" t="str">
        <x:v>Beans &amp; Plantain</x:v>
      </x:c>
      <x:c r="F135" s="5" t="str">
        <x:v>Traditional Meals</x:v>
      </x:c>
      <x:c r="G135" s="44" t="n">
        <x:v>3</x:v>
      </x:c>
      <x:c r="H135" s="45" t="n">
        <x:v>2000</x:v>
      </x:c>
      <x:c r="I135" s="46" t="n">
        <x:v>0</x:v>
      </x:c>
      <x:c r="J135" s="47" t="n">
        <x:f>G135*H135*(1-I135)</x:f>
        <x:v>6000</x:v>
      </x:c>
      <x:c r="K135" s="47" t="n">
        <x:v>960</x:v>
      </x:c>
      <x:c r="L135" s="47" t="n">
        <x:f>G135*K135</x:f>
        <x:v>2880</x:v>
      </x:c>
      <x:c r="M135" s="47" t="n">
        <x:f>J135-L135</x:f>
        <x:v>3120</x:v>
      </x:c>
      <x:c r="N135" s="5" t="str">
        <x:v>Walk-in</x:v>
      </x:c>
      <x:c r="O135" s="5" t="str">
        <x:v>Transfer</x:v>
      </x:c>
      <x:c r="P135" s="5" t="str">
        <x:v>Lunch</x:v>
      </x:c>
      <x:c r="Q135" s="48" t="n">
        <x:v>11</x:v>
      </x:c>
      <x:c r="R135" s="5" t="n">
        <x:v>4</x:v>
      </x:c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5" t="str">
        <x:v>ORD-01656</x:v>
      </x:c>
      <x:c r="B136" s="43" t="n">
        <x:v>46039</x:v>
      </x:c>
      <x:c r="C136" s="5" t="str">
        <x:v>CUST-0630</x:v>
      </x:c>
      <x:c r="D136" s="5" t="str">
        <x:v>FD005</x:v>
      </x:c>
      <x:c r="E136" s="5" t="str">
        <x:v>Yam Porridge</x:v>
      </x:c>
      <x:c r="F136" s="5" t="str">
        <x:v>Traditional Meals</x:v>
      </x:c>
      <x:c r="G136" s="44" t="n">
        <x:v>3</x:v>
      </x:c>
      <x:c r="H136" s="45" t="n">
        <x:v>2200</x:v>
      </x:c>
      <x:c r="I136" s="46" t="n">
        <x:v>0</x:v>
      </x:c>
      <x:c r="J136" s="47" t="n">
        <x:f>G136*H136*(1-I136)</x:f>
        <x:v>6600</x:v>
      </x:c>
      <x:c r="K136" s="47" t="n">
        <x:v>1050</x:v>
      </x:c>
      <x:c r="L136" s="47" t="n">
        <x:f>G136*K136</x:f>
        <x:v>3150</x:v>
      </x:c>
      <x:c r="M136" s="47" t="n">
        <x:f>J136-L136</x:f>
        <x:v>3450</x:v>
      </x:c>
      <x:c r="N136" s="5" t="str">
        <x:v>Walk-in</x:v>
      </x:c>
      <x:c r="O136" s="5" t="str">
        <x:v>Transfer</x:v>
      </x:c>
      <x:c r="P136" s="5" t="str">
        <x:v>Dinner</x:v>
      </x:c>
      <x:c r="Q136" s="48" t="n">
        <x:v>18</x:v>
      </x:c>
      <x:c r="R136" s="5" t="n">
        <x:v>5</x:v>
      </x:c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5" t="str">
        <x:v>ORD-01795</x:v>
      </x:c>
      <x:c r="B137" s="43" t="n">
        <x:v>46039</x:v>
      </x:c>
      <x:c r="C137" s="5" t="str">
        <x:v>CUST-0229</x:v>
      </x:c>
      <x:c r="D137" s="5" t="str">
        <x:v>FD004</x:v>
      </x:c>
      <x:c r="E137" s="5" t="str">
        <x:v>Beans &amp; Plantain</x:v>
      </x:c>
      <x:c r="F137" s="5" t="str">
        <x:v>Traditional Meals</x:v>
      </x:c>
      <x:c r="G137" s="44" t="n">
        <x:v>1</x:v>
      </x:c>
      <x:c r="H137" s="45" t="n">
        <x:v>2000</x:v>
      </x:c>
      <x:c r="I137" s="46" t="n">
        <x:v>0</x:v>
      </x:c>
      <x:c r="J137" s="47" t="n">
        <x:f>G137*H137*(1-I137)</x:f>
        <x:v>2000</x:v>
      </x:c>
      <x:c r="K137" s="47" t="n">
        <x:v>960</x:v>
      </x:c>
      <x:c r="L137" s="47" t="n">
        <x:f>G137*K137</x:f>
        <x:v>960</x:v>
      </x:c>
      <x:c r="M137" s="47" t="n">
        <x:f>J137-L137</x:f>
        <x:v>1040</x:v>
      </x:c>
      <x:c r="N137" s="5" t="str">
        <x:v>Walk-in</x:v>
      </x:c>
      <x:c r="O137" s="5" t="str">
        <x:v>Cash</x:v>
      </x:c>
      <x:c r="P137" s="5" t="str">
        <x:v>Dinner</x:v>
      </x:c>
      <x:c r="Q137" s="48" t="n">
        <x:v>16</x:v>
      </x:c>
      <x:c r="R137" s="5" t="n">
        <x:v>3</x:v>
      </x:c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5" t="str">
        <x:v>ORD-00283</x:v>
      </x:c>
      <x:c r="B138" s="43" t="n">
        <x:v>46040</x:v>
      </x:c>
      <x:c r="C138" s="5" t="str">
        <x:v>CUST-0490</x:v>
      </x:c>
      <x:c r="D138" s="5" t="str">
        <x:v>FD002</x:v>
      </x:c>
      <x:c r="E138" s="5" t="str">
        <x:v>Jollof Rice &amp; Chicken</x:v>
      </x:c>
      <x:c r="F138" s="5" t="str">
        <x:v>Rice Meals</x:v>
      </x:c>
      <x:c r="G138" s="44" t="n">
        <x:v>2</x:v>
      </x:c>
      <x:c r="H138" s="45" t="n">
        <x:v>2800</x:v>
      </x:c>
      <x:c r="I138" s="46" t="n">
        <x:v>0</x:v>
      </x:c>
      <x:c r="J138" s="47" t="n">
        <x:f>G138*H138*(1-I138)</x:f>
        <x:v>5600</x:v>
      </x:c>
      <x:c r="K138" s="47" t="n">
        <x:v>1450</x:v>
      </x:c>
      <x:c r="L138" s="47" t="n">
        <x:f>G138*K138</x:f>
        <x:v>2900</x:v>
      </x:c>
      <x:c r="M138" s="47" t="n">
        <x:f>J138-L138</x:f>
        <x:v>2700</x:v>
      </x:c>
      <x:c r="N138" s="5" t="str">
        <x:v>Delivery</x:v>
      </x:c>
      <x:c r="O138" s="5" t="str">
        <x:v>Cash</x:v>
      </x:c>
      <x:c r="P138" s="5" t="str">
        <x:v>Lunch</x:v>
      </x:c>
      <x:c r="Q138" s="48" t="n">
        <x:v>13</x:v>
      </x:c>
      <x:c r="R138" s="5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5" t="str">
        <x:v>ORD-00299</x:v>
      </x:c>
      <x:c r="B139" s="43" t="n">
        <x:v>46040</x:v>
      </x:c>
      <x:c r="C139" s="5" t="str">
        <x:v>CUST-0276</x:v>
      </x:c>
      <x:c r="D139" s="5" t="str">
        <x:v>FD001</x:v>
      </x:c>
      <x:c r="E139" s="5" t="str">
        <x:v>White Rice &amp; Stew</x:v>
      </x:c>
      <x:c r="F139" s="5" t="str">
        <x:v>Rice Meals</x:v>
      </x:c>
      <x:c r="G139" s="44" t="n">
        <x:v>3</x:v>
      </x:c>
      <x:c r="H139" s="45" t="n">
        <x:v>1800</x:v>
      </x:c>
      <x:c r="I139" s="46" t="n">
        <x:v>0</x:v>
      </x:c>
      <x:c r="J139" s="47" t="n">
        <x:f>G139*H139*(1-I139)</x:f>
        <x:v>5400</x:v>
      </x:c>
      <x:c r="K139" s="47" t="n">
        <x:v>820</x:v>
      </x:c>
      <x:c r="L139" s="47" t="n">
        <x:f>G139*K139</x:f>
        <x:v>2460</x:v>
      </x:c>
      <x:c r="M139" s="47" t="n">
        <x:f>J139-L139</x:f>
        <x:v>2940</x:v>
      </x:c>
      <x:c r="N139" s="5" t="str">
        <x:v>Takeaway</x:v>
      </x:c>
      <x:c r="O139" s="5" t="str">
        <x:v>Transfer</x:v>
      </x:c>
      <x:c r="P139" s="5" t="str">
        <x:v>Dinner</x:v>
      </x:c>
      <x:c r="Q139" s="48" t="n">
        <x:v>19</x:v>
      </x:c>
      <x:c r="R139" s="5" t="n">
        <x:v>5</x:v>
      </x:c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5" t="str">
        <x:v>ORD-00631</x:v>
      </x:c>
      <x:c r="B140" s="43" t="n">
        <x:v>46040</x:v>
      </x:c>
      <x:c r="C140" s="5" t="str">
        <x:v>CUST-0567</x:v>
      </x:c>
      <x:c r="D140" s="5" t="str">
        <x:v>FD003</x:v>
      </x:c>
      <x:c r="E140" s="5" t="str">
        <x:v>Fried Rice &amp; Chicken</x:v>
      </x:c>
      <x:c r="F140" s="5" t="str">
        <x:v>Rice Meals</x:v>
      </x:c>
      <x:c r="G140" s="44" t="n">
        <x:v>3</x:v>
      </x:c>
      <x:c r="H140" s="45" t="n">
        <x:v>3000</x:v>
      </x:c>
      <x:c r="I140" s="46" t="n">
        <x:v>0</x:v>
      </x:c>
      <x:c r="J140" s="47" t="n">
        <x:f>G140*H140*(1-I140)</x:f>
        <x:v>9000</x:v>
      </x:c>
      <x:c r="K140" s="47" t="n">
        <x:v>1580</x:v>
      </x:c>
      <x:c r="L140" s="47" t="n">
        <x:f>G140*K140</x:f>
        <x:v>4740</x:v>
      </x:c>
      <x:c r="M140" s="47" t="n">
        <x:f>J140-L140</x:f>
        <x:v>4260</x:v>
      </x:c>
      <x:c r="N140" s="5" t="str">
        <x:v>Walk-in</x:v>
      </x:c>
      <x:c r="O140" s="5" t="str">
        <x:v>Cash</x:v>
      </x:c>
      <x:c r="P140" s="5" t="str">
        <x:v>Dinner</x:v>
      </x:c>
      <x:c r="Q140" s="48" t="n">
        <x:v>17</x:v>
      </x:c>
      <x:c r="R140" s="5" t="n">
        <x:v>4</x:v>
      </x:c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5" t="str">
        <x:v>ORD-00775</x:v>
      </x:c>
      <x:c r="B141" s="43" t="n">
        <x:v>46040</x:v>
      </x:c>
      <x:c r="C141" s="5" t="str">
        <x:v>CUST-0080</x:v>
      </x:c>
      <x:c r="D141" s="5" t="str">
        <x:v>FD006</x:v>
      </x:c>
      <x:c r="E141" s="5" t="str">
        <x:v>Eba &amp; Egusi Soup</x:v>
      </x:c>
      <x:c r="F141" s="5" t="str">
        <x:v>Swallow</x:v>
      </x:c>
      <x:c r="G141" s="44" t="n">
        <x:v>2</x:v>
      </x:c>
      <x:c r="H141" s="45" t="n">
        <x:v>2600</x:v>
      </x:c>
      <x:c r="I141" s="46" t="n">
        <x:v>0.1</x:v>
      </x:c>
      <x:c r="J141" s="47" t="n">
        <x:f>G141*H141*(1-I141)</x:f>
        <x:v>4680</x:v>
      </x:c>
      <x:c r="K141" s="47" t="n">
        <x:v>1320</x:v>
      </x:c>
      <x:c r="L141" s="47" t="n">
        <x:f>G141*K141</x:f>
        <x:v>2640</x:v>
      </x:c>
      <x:c r="M141" s="47" t="n">
        <x:f>J141-L141</x:f>
        <x:v>2040</x:v>
      </x:c>
      <x:c r="N141" s="5" t="str">
        <x:v>Takeaway</x:v>
      </x:c>
      <x:c r="O141" s="5" t="str">
        <x:v>POS</x:v>
      </x:c>
      <x:c r="P141" s="5" t="str">
        <x:v>Lunch</x:v>
      </x:c>
      <x:c r="Q141" s="48" t="n">
        <x:v>13</x:v>
      </x:c>
      <x:c r="R141" s="5" t="n">
        <x:v>4</x:v>
      </x:c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5" t="str">
        <x:v>ORD-00804</x:v>
      </x:c>
      <x:c r="B142" s="43" t="n">
        <x:v>46040</x:v>
      </x:c>
      <x:c r="C142" s="5" t="str">
        <x:v>CUST-0021</x:v>
      </x:c>
      <x:c r="D142" s="5" t="str">
        <x:v>FD003</x:v>
      </x:c>
      <x:c r="E142" s="5" t="str">
        <x:v>Fried Rice &amp; Chicken</x:v>
      </x:c>
      <x:c r="F142" s="5" t="str">
        <x:v>Rice Meals</x:v>
      </x:c>
      <x:c r="G142" s="44" t="n">
        <x:v>4</x:v>
      </x:c>
      <x:c r="H142" s="45" t="n">
        <x:v>3000</x:v>
      </x:c>
      <x:c r="I142" s="46" t="n">
        <x:v>0.05</x:v>
      </x:c>
      <x:c r="J142" s="47" t="n">
        <x:f>G142*H142*(1-I142)</x:f>
        <x:v>11400</x:v>
      </x:c>
      <x:c r="K142" s="47" t="n">
        <x:v>1580</x:v>
      </x:c>
      <x:c r="L142" s="47" t="n">
        <x:f>G142*K142</x:f>
        <x:v>6320</x:v>
      </x:c>
      <x:c r="M142" s="47" t="n">
        <x:f>J142-L142</x:f>
        <x:v>5080</x:v>
      </x:c>
      <x:c r="N142" s="5" t="str">
        <x:v>Walk-in</x:v>
      </x:c>
      <x:c r="O142" s="5" t="str">
        <x:v>POS</x:v>
      </x:c>
      <x:c r="P142" s="5" t="str">
        <x:v>Lunch</x:v>
      </x:c>
      <x:c r="Q142" s="48" t="n">
        <x:v>11</x:v>
      </x:c>
      <x:c r="R142" s="5" t="n">
        <x:v>5</x:v>
      </x:c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5" t="str">
        <x:v>ORD-00954</x:v>
      </x:c>
      <x:c r="B143" s="43" t="n">
        <x:v>46040</x:v>
      </x:c>
      <x:c r="C143" s="5" t="str">
        <x:v>CUST-0318</x:v>
      </x:c>
      <x:c r="D143" s="5" t="str">
        <x:v>FD001</x:v>
      </x:c>
      <x:c r="E143" s="5" t="str">
        <x:v>White Rice &amp; Stew</x:v>
      </x:c>
      <x:c r="F143" s="5" t="str">
        <x:v>Rice Meals</x:v>
      </x:c>
      <x:c r="G143" s="44" t="n">
        <x:v>4</x:v>
      </x:c>
      <x:c r="H143" s="45" t="n">
        <x:v>1800</x:v>
      </x:c>
      <x:c r="I143" s="46" t="n">
        <x:v>0</x:v>
      </x:c>
      <x:c r="J143" s="47" t="n">
        <x:f>G143*H143*(1-I143)</x:f>
        <x:v>7200</x:v>
      </x:c>
      <x:c r="K143" s="47" t="n">
        <x:v>820</x:v>
      </x:c>
      <x:c r="L143" s="47" t="n">
        <x:f>G143*K143</x:f>
        <x:v>3280</x:v>
      </x:c>
      <x:c r="M143" s="47" t="n">
        <x:f>J143-L143</x:f>
        <x:v>3920</x:v>
      </x:c>
      <x:c r="N143" s="5" t="str">
        <x:v>Walk-in</x:v>
      </x:c>
      <x:c r="O143" s="5" t="str">
        <x:v>Transfer</x:v>
      </x:c>
      <x:c r="P143" s="5" t="str">
        <x:v>Breakfast</x:v>
      </x:c>
      <x:c r="Q143" s="48" t="n">
        <x:v>8</x:v>
      </x:c>
      <x:c r="R143" s="5" t="n">
        <x:v>3</x:v>
      </x:c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5" t="str">
        <x:v>ORD-01045</x:v>
      </x:c>
      <x:c r="B144" s="43" t="n">
        <x:v>46040</x:v>
      </x:c>
      <x:c r="C144" s="5" t="str">
        <x:v>CUST-0371</x:v>
      </x:c>
      <x:c r="D144" s="5" t="str">
        <x:v>FD005</x:v>
      </x:c>
      <x:c r="E144" s="5" t="str">
        <x:v>Yam Porridge</x:v>
      </x:c>
      <x:c r="F144" s="5" t="str">
        <x:v>Traditional Meals</x:v>
      </x:c>
      <x:c r="G144" s="44" t="n">
        <x:v>4</x:v>
      </x:c>
      <x:c r="H144" s="45" t="n">
        <x:v>2200</x:v>
      </x:c>
      <x:c r="I144" s="46" t="n">
        <x:v>0</x:v>
      </x:c>
      <x:c r="J144" s="47" t="n">
        <x:f>G144*H144*(1-I144)</x:f>
        <x:v>8800</x:v>
      </x:c>
      <x:c r="K144" s="47" t="n">
        <x:v>1050</x:v>
      </x:c>
      <x:c r="L144" s="47" t="n">
        <x:f>G144*K144</x:f>
        <x:v>4200</x:v>
      </x:c>
      <x:c r="M144" s="47" t="n">
        <x:f>J144-L144</x:f>
        <x:v>4600</x:v>
      </x:c>
      <x:c r="N144" s="5" t="str">
        <x:v>Walk-in</x:v>
      </x:c>
      <x:c r="O144" s="5" t="str">
        <x:v>Cash</x:v>
      </x:c>
      <x:c r="P144" s="5" t="str">
        <x:v>Dinner</x:v>
      </x:c>
      <x:c r="Q144" s="48" t="n">
        <x:v>18</x:v>
      </x:c>
      <x:c r="R144" s="5" t="n">
        <x:v>5</x:v>
      </x:c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5" t="str">
        <x:v>ORD-01635</x:v>
      </x:c>
      <x:c r="B145" s="43" t="n">
        <x:v>46040</x:v>
      </x:c>
      <x:c r="C145" s="5" t="str">
        <x:v>CUST-0600</x:v>
      </x:c>
      <x:c r="D145" s="5" t="str">
        <x:v>FD003</x:v>
      </x:c>
      <x:c r="E145" s="5" t="str">
        <x:v>Fried Rice &amp; Chicken</x:v>
      </x:c>
      <x:c r="F145" s="5" t="str">
        <x:v>Rice Meals</x:v>
      </x:c>
      <x:c r="G145" s="44" t="n">
        <x:v>1</x:v>
      </x:c>
      <x:c r="H145" s="45" t="n">
        <x:v>3000</x:v>
      </x:c>
      <x:c r="I145" s="46" t="n">
        <x:v>0</x:v>
      </x:c>
      <x:c r="J145" s="47" t="n">
        <x:f>G145*H145*(1-I145)</x:f>
        <x:v>3000</x:v>
      </x:c>
      <x:c r="K145" s="47" t="n">
        <x:v>1580</x:v>
      </x:c>
      <x:c r="L145" s="47" t="n">
        <x:f>G145*K145</x:f>
        <x:v>1580</x:v>
      </x:c>
      <x:c r="M145" s="47" t="n">
        <x:f>J145-L145</x:f>
        <x:v>1420</x:v>
      </x:c>
      <x:c r="N145" s="5" t="str">
        <x:v>Walk-in</x:v>
      </x:c>
      <x:c r="O145" s="5" t="str">
        <x:v>Cash</x:v>
      </x:c>
      <x:c r="P145" s="5" t="str">
        <x:v>Dinner</x:v>
      </x:c>
      <x:c r="Q145" s="48" t="n">
        <x:v>20</x:v>
      </x:c>
      <x:c r="R145" s="5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5" t="str">
        <x:v>ORD-00079</x:v>
      </x:c>
      <x:c r="B146" s="43" t="n">
        <x:v>46041</x:v>
      </x:c>
      <x:c r="C146" s="5" t="str">
        <x:v>CUST-0418</x:v>
      </x:c>
      <x:c r="D146" s="5" t="str">
        <x:v>FD009</x:v>
      </x:c>
      <x:c r="E146" s="5" t="str">
        <x:v>Moi Moi</x:v>
      </x:c>
      <x:c r="F146" s="5" t="str">
        <x:v>Sides</x:v>
      </x:c>
      <x:c r="G146" s="44" t="n">
        <x:v>4</x:v>
      </x:c>
      <x:c r="H146" s="45" t="n">
        <x:v>900</x:v>
      </x:c>
      <x:c r="I146" s="46" t="n">
        <x:v>0</x:v>
      </x:c>
      <x:c r="J146" s="47" t="n">
        <x:f>G146*H146*(1-I146)</x:f>
        <x:v>3600</x:v>
      </x:c>
      <x:c r="K146" s="47" t="n">
        <x:v>380</x:v>
      </x:c>
      <x:c r="L146" s="47" t="n">
        <x:f>G146*K146</x:f>
        <x:v>1520</x:v>
      </x:c>
      <x:c r="M146" s="47" t="n">
        <x:f>J146-L146</x:f>
        <x:v>2080</x:v>
      </x:c>
      <x:c r="N146" s="5" t="str">
        <x:v>Takeaway</x:v>
      </x:c>
      <x:c r="O146" s="5" t="str">
        <x:v>Transfer</x:v>
      </x:c>
      <x:c r="P146" s="5" t="str">
        <x:v>Lunch</x:v>
      </x:c>
      <x:c r="Q146" s="48" t="n">
        <x:v>12</x:v>
      </x:c>
      <x:c r="R146" s="5" t="n">
        <x:v>4</x:v>
      </x:c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5" t="str">
        <x:v>ORD-00322</x:v>
      </x:c>
      <x:c r="B147" s="43" t="n">
        <x:v>46041</x:v>
      </x:c>
      <x:c r="C147" s="5" t="str">
        <x:v>CUST-0491</x:v>
      </x:c>
      <x:c r="D147" s="5" t="str">
        <x:v>FD001</x:v>
      </x:c>
      <x:c r="E147" s="5" t="str">
        <x:v>White Rice &amp; Stew</x:v>
      </x:c>
      <x:c r="F147" s="5" t="str">
        <x:v>Rice Meals</x:v>
      </x:c>
      <x:c r="G147" s="44" t="n">
        <x:v>1</x:v>
      </x:c>
      <x:c r="H147" s="45" t="n">
        <x:v>1800</x:v>
      </x:c>
      <x:c r="I147" s="46" t="n">
        <x:v>0.05</x:v>
      </x:c>
      <x:c r="J147" s="47" t="n">
        <x:f>G147*H147*(1-I147)</x:f>
        <x:v>1710</x:v>
      </x:c>
      <x:c r="K147" s="47" t="n">
        <x:v>820</x:v>
      </x:c>
      <x:c r="L147" s="47" t="n">
        <x:f>G147*K147</x:f>
        <x:v>820</x:v>
      </x:c>
      <x:c r="M147" s="47" t="n">
        <x:f>J147-L147</x:f>
        <x:v>890</x:v>
      </x:c>
      <x:c r="N147" s="5" t="str">
        <x:v>Walk-in</x:v>
      </x:c>
      <x:c r="O147" s="5" t="str">
        <x:v>POS</x:v>
      </x:c>
      <x:c r="P147" s="5" t="str">
        <x:v>Lunch</x:v>
      </x:c>
      <x:c r="Q147" s="48" t="n">
        <x:v>12</x:v>
      </x:c>
      <x:c r="R147" s="5" t="n">
        <x:v>5</x:v>
      </x:c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5" t="str">
        <x:v>ORD-00432</x:v>
      </x:c>
      <x:c r="B148" s="43" t="n">
        <x:v>46041</x:v>
      </x:c>
      <x:c r="C148" s="5" t="str">
        <x:v>CUST-0439</x:v>
      </x:c>
      <x:c r="D148" s="5" t="str">
        <x:v>FD006</x:v>
      </x:c>
      <x:c r="E148" s="5" t="str">
        <x:v>Eba &amp; Egusi Soup</x:v>
      </x:c>
      <x:c r="F148" s="5" t="str">
        <x:v>Swallow</x:v>
      </x:c>
      <x:c r="G148" s="44" t="n">
        <x:v>2</x:v>
      </x:c>
      <x:c r="H148" s="45" t="n">
        <x:v>2600</x:v>
      </x:c>
      <x:c r="I148" s="46" t="n">
        <x:v>0</x:v>
      </x:c>
      <x:c r="J148" s="47" t="n">
        <x:f>G148*H148*(1-I148)</x:f>
        <x:v>5200</x:v>
      </x:c>
      <x:c r="K148" s="47" t="n">
        <x:v>1320</x:v>
      </x:c>
      <x:c r="L148" s="47" t="n">
        <x:f>G148*K148</x:f>
        <x:v>2640</x:v>
      </x:c>
      <x:c r="M148" s="47" t="n">
        <x:f>J148-L148</x:f>
        <x:v>2560</x:v>
      </x:c>
      <x:c r="N148" s="5" t="str">
        <x:v>Walk-in</x:v>
      </x:c>
      <x:c r="O148" s="5" t="str">
        <x:v>Transfer</x:v>
      </x:c>
      <x:c r="P148" s="5" t="str">
        <x:v>Dinner</x:v>
      </x:c>
      <x:c r="Q148" s="48" t="n">
        <x:v>17</x:v>
      </x:c>
      <x:c r="R148" s="5" t="n">
        <x:v>3</x:v>
      </x:c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5" t="str">
        <x:v>ORD-00636</x:v>
      </x:c>
      <x:c r="B149" s="43" t="n">
        <x:v>46041</x:v>
      </x:c>
      <x:c r="C149" s="5" t="str">
        <x:v>CUST-0031</x:v>
      </x:c>
      <x:c r="D149" s="5" t="str">
        <x:v>FD003</x:v>
      </x:c>
      <x:c r="E149" s="5" t="str">
        <x:v>Fried Rice &amp; Chicken</x:v>
      </x:c>
      <x:c r="F149" s="5" t="str">
        <x:v>Rice Meals</x:v>
      </x:c>
      <x:c r="G149" s="44" t="n">
        <x:v>1</x:v>
      </x:c>
      <x:c r="H149" s="45" t="n">
        <x:v>3000</x:v>
      </x:c>
      <x:c r="I149" s="46" t="n">
        <x:v>0</x:v>
      </x:c>
      <x:c r="J149" s="47" t="n">
        <x:f>G149*H149*(1-I149)</x:f>
        <x:v>3000</x:v>
      </x:c>
      <x:c r="K149" s="47" t="n">
        <x:v>1580</x:v>
      </x:c>
      <x:c r="L149" s="47" t="n">
        <x:f>G149*K149</x:f>
        <x:v>1580</x:v>
      </x:c>
      <x:c r="M149" s="47" t="n">
        <x:f>J149-L149</x:f>
        <x:v>1420</x:v>
      </x:c>
      <x:c r="N149" s="5" t="str">
        <x:v>Walk-in</x:v>
      </x:c>
      <x:c r="O149" s="5" t="str">
        <x:v>Cash</x:v>
      </x:c>
      <x:c r="P149" s="5" t="str">
        <x:v>Lunch</x:v>
      </x:c>
      <x:c r="Q149" s="48" t="n">
        <x:v>11</x:v>
      </x:c>
      <x:c r="R149" s="5" t="n">
        <x:v>5</x:v>
      </x:c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5" t="str">
        <x:v>ORD-01011</x:v>
      </x:c>
      <x:c r="B150" s="43" t="n">
        <x:v>46041</x:v>
      </x:c>
      <x:c r="C150" s="5" t="str">
        <x:v>CUST-0644</x:v>
      </x:c>
      <x:c r="D150" s="5" t="str">
        <x:v>FD007</x:v>
      </x:c>
      <x:c r="E150" s="5" t="str">
        <x:v>Amala &amp; Ewedu</x:v>
      </x:c>
      <x:c r="F150" s="5" t="str">
        <x:v>Swallow</x:v>
      </x:c>
      <x:c r="G150" s="44" t="n">
        <x:v>4</x:v>
      </x:c>
      <x:c r="H150" s="45" t="n">
        <x:v>2500</x:v>
      </x:c>
      <x:c r="I150" s="46" t="n">
        <x:v>0</x:v>
      </x:c>
      <x:c r="J150" s="47" t="n">
        <x:f>G150*H150*(1-I150)</x:f>
        <x:v>10000</x:v>
      </x:c>
      <x:c r="K150" s="47" t="n">
        <x:v>1250</x:v>
      </x:c>
      <x:c r="L150" s="47" t="n">
        <x:f>G150*K150</x:f>
        <x:v>5000</x:v>
      </x:c>
      <x:c r="M150" s="47" t="n">
        <x:f>J150-L150</x:f>
        <x:v>5000</x:v>
      </x:c>
      <x:c r="N150" s="5" t="str">
        <x:v>Takeaway</x:v>
      </x:c>
      <x:c r="O150" s="5" t="str">
        <x:v>POS</x:v>
      </x:c>
      <x:c r="P150" s="5" t="str">
        <x:v>Dinner</x:v>
      </x:c>
      <x:c r="Q150" s="48" t="n">
        <x:v>18</x:v>
      </x:c>
      <x:c r="R150" s="5" t="n">
        <x:v>5</x:v>
      </x:c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5" t="str">
        <x:v>ORD-01013</x:v>
      </x:c>
      <x:c r="B151" s="43" t="n">
        <x:v>46041</x:v>
      </x:c>
      <x:c r="C151" s="5" t="str">
        <x:v>CUST-0031</x:v>
      </x:c>
      <x:c r="D151" s="5" t="str">
        <x:v>FD001</x:v>
      </x:c>
      <x:c r="E151" s="5" t="str">
        <x:v>White Rice &amp; Stew</x:v>
      </x:c>
      <x:c r="F151" s="5" t="str">
        <x:v>Rice Meals</x:v>
      </x:c>
      <x:c r="G151" s="44" t="n">
        <x:v>2</x:v>
      </x:c>
      <x:c r="H151" s="45" t="n">
        <x:v>1800</x:v>
      </x:c>
      <x:c r="I151" s="46" t="n">
        <x:v>0</x:v>
      </x:c>
      <x:c r="J151" s="47" t="n">
        <x:f>G151*H151*(1-I151)</x:f>
        <x:v>3600</x:v>
      </x:c>
      <x:c r="K151" s="47" t="n">
        <x:v>820</x:v>
      </x:c>
      <x:c r="L151" s="47" t="n">
        <x:f>G151*K151</x:f>
        <x:v>1640</x:v>
      </x:c>
      <x:c r="M151" s="47" t="n">
        <x:f>J151-L151</x:f>
        <x:v>1960</x:v>
      </x:c>
      <x:c r="N151" s="5" t="str">
        <x:v>Walk-in</x:v>
      </x:c>
      <x:c r="O151" s="5" t="str">
        <x:v>POS</x:v>
      </x:c>
      <x:c r="P151" s="5" t="str">
        <x:v>Lunch</x:v>
      </x:c>
      <x:c r="Q151" s="48" t="n">
        <x:v>15</x:v>
      </x:c>
      <x:c r="R151" s="5" t="n">
        <x:v>4</x:v>
      </x:c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5" t="str">
        <x:v>ORD-01129</x:v>
      </x:c>
      <x:c r="B152" s="43" t="n">
        <x:v>46041</x:v>
      </x:c>
      <x:c r="C152" s="5" t="str">
        <x:v>CUST-0397</x:v>
      </x:c>
      <x:c r="D152" s="5" t="str">
        <x:v>FD001</x:v>
      </x:c>
      <x:c r="E152" s="5" t="str">
        <x:v>White Rice &amp; Stew</x:v>
      </x:c>
      <x:c r="F152" s="5" t="str">
        <x:v>Rice Meals</x:v>
      </x:c>
      <x:c r="G152" s="44" t="n">
        <x:v>2</x:v>
      </x:c>
      <x:c r="H152" s="45" t="n">
        <x:v>1800</x:v>
      </x:c>
      <x:c r="I152" s="46" t="n">
        <x:v>0</x:v>
      </x:c>
      <x:c r="J152" s="47" t="n">
        <x:f>G152*H152*(1-I152)</x:f>
        <x:v>3600</x:v>
      </x:c>
      <x:c r="K152" s="47" t="n">
        <x:v>820</x:v>
      </x:c>
      <x:c r="L152" s="47" t="n">
        <x:f>G152*K152</x:f>
        <x:v>1640</x:v>
      </x:c>
      <x:c r="M152" s="47" t="n">
        <x:f>J152-L152</x:f>
        <x:v>1960</x:v>
      </x:c>
      <x:c r="N152" s="5" t="str">
        <x:v>Walk-in</x:v>
      </x:c>
      <x:c r="O152" s="5" t="str">
        <x:v>Transfer</x:v>
      </x:c>
      <x:c r="P152" s="5" t="str">
        <x:v>Dinner</x:v>
      </x:c>
      <x:c r="Q152" s="48" t="n">
        <x:v>16</x:v>
      </x:c>
      <x:c r="R152" s="5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5" t="str">
        <x:v>ORD-01309</x:v>
      </x:c>
      <x:c r="B153" s="43" t="n">
        <x:v>46041</x:v>
      </x:c>
      <x:c r="C153" s="5" t="str">
        <x:v>CUST-0305</x:v>
      </x:c>
      <x:c r="D153" s="5" t="str">
        <x:v>FD002</x:v>
      </x:c>
      <x:c r="E153" s="5" t="str">
        <x:v>Jollof Rice &amp; Chicken</x:v>
      </x:c>
      <x:c r="F153" s="5" t="str">
        <x:v>Rice Meals</x:v>
      </x:c>
      <x:c r="G153" s="44" t="n">
        <x:v>3</x:v>
      </x:c>
      <x:c r="H153" s="45" t="n">
        <x:v>2800</x:v>
      </x:c>
      <x:c r="I153" s="46" t="n">
        <x:v>0</x:v>
      </x:c>
      <x:c r="J153" s="47" t="n">
        <x:f>G153*H153*(1-I153)</x:f>
        <x:v>8400</x:v>
      </x:c>
      <x:c r="K153" s="47" t="n">
        <x:v>1450</x:v>
      </x:c>
      <x:c r="L153" s="47" t="n">
        <x:f>G153*K153</x:f>
        <x:v>4350</x:v>
      </x:c>
      <x:c r="M153" s="47" t="n">
        <x:f>J153-L153</x:f>
        <x:v>4050</x:v>
      </x:c>
      <x:c r="N153" s="5" t="str">
        <x:v>Takeaway</x:v>
      </x:c>
      <x:c r="O153" s="5" t="str">
        <x:v>Transfer</x:v>
      </x:c>
      <x:c r="P153" s="5" t="str">
        <x:v>Lunch</x:v>
      </x:c>
      <x:c r="Q153" s="48" t="n">
        <x:v>12</x:v>
      </x:c>
      <x:c r="R153" s="5" t="n">
        <x:v>5</x:v>
      </x:c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5" t="str">
        <x:v>ORD-01713</x:v>
      </x:c>
      <x:c r="B154" s="43" t="n">
        <x:v>46041</x:v>
      </x:c>
      <x:c r="C154" s="5" t="str">
        <x:v>CUST-0416</x:v>
      </x:c>
      <x:c r="D154" s="5" t="str">
        <x:v>FD004</x:v>
      </x:c>
      <x:c r="E154" s="5" t="str">
        <x:v>Beans &amp; Plantain</x:v>
      </x:c>
      <x:c r="F154" s="5" t="str">
        <x:v>Traditional Meals</x:v>
      </x:c>
      <x:c r="G154" s="44" t="n">
        <x:v>3</x:v>
      </x:c>
      <x:c r="H154" s="45" t="n">
        <x:v>2000</x:v>
      </x:c>
      <x:c r="I154" s="46" t="n">
        <x:v>0.05</x:v>
      </x:c>
      <x:c r="J154" s="47" t="n">
        <x:f>G154*H154*(1-I154)</x:f>
        <x:v>5700</x:v>
      </x:c>
      <x:c r="K154" s="47" t="n">
        <x:v>960</x:v>
      </x:c>
      <x:c r="L154" s="47" t="n">
        <x:f>G154*K154</x:f>
        <x:v>2880</x:v>
      </x:c>
      <x:c r="M154" s="47" t="n">
        <x:f>J154-L154</x:f>
        <x:v>2820</x:v>
      </x:c>
      <x:c r="N154" s="5" t="str">
        <x:v>Delivery</x:v>
      </x:c>
      <x:c r="O154" s="5" t="str">
        <x:v>Cash</x:v>
      </x:c>
      <x:c r="P154" s="5" t="str">
        <x:v>Lunch</x:v>
      </x:c>
      <x:c r="Q154" s="48" t="n">
        <x:v>12</x:v>
      </x:c>
      <x:c r="R154" s="5" t="n">
        <x:v>5</x:v>
      </x:c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5" t="str">
        <x:v>ORD-00506</x:v>
      </x:c>
      <x:c r="B155" s="43" t="n">
        <x:v>46042</x:v>
      </x:c>
      <x:c r="C155" s="5" t="str">
        <x:v>CUST-0493</x:v>
      </x:c>
      <x:c r="D155" s="5" t="str">
        <x:v>FD012</x:v>
      </x:c>
      <x:c r="E155" s="5" t="str">
        <x:v>Fried Plantain</x:v>
      </x:c>
      <x:c r="F155" s="5" t="str">
        <x:v>Sides</x:v>
      </x:c>
      <x:c r="G155" s="44" t="n">
        <x:v>3</x:v>
      </x:c>
      <x:c r="H155" s="45" t="n">
        <x:v>700</x:v>
      </x:c>
      <x:c r="I155" s="46" t="n">
        <x:v>0</x:v>
      </x:c>
      <x:c r="J155" s="47" t="n">
        <x:f>G155*H155*(1-I155)</x:f>
        <x:v>2100</x:v>
      </x:c>
      <x:c r="K155" s="47" t="n">
        <x:v>300</x:v>
      </x:c>
      <x:c r="L155" s="47" t="n">
        <x:f>G155*K155</x:f>
        <x:v>900</x:v>
      </x:c>
      <x:c r="M155" s="47" t="n">
        <x:f>J155-L155</x:f>
        <x:v>1200</x:v>
      </x:c>
      <x:c r="N155" s="5" t="str">
        <x:v>Delivery</x:v>
      </x:c>
      <x:c r="O155" s="5" t="str">
        <x:v>Cash</x:v>
      </x:c>
      <x:c r="P155" s="5" t="str">
        <x:v>Dinner</x:v>
      </x:c>
      <x:c r="Q155" s="48" t="n">
        <x:v>18</x:v>
      </x:c>
      <x:c r="R155" s="5" t="n">
        <x:v>3</x:v>
      </x:c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5" t="str">
        <x:v>ORD-00536</x:v>
      </x:c>
      <x:c r="B156" s="43" t="n">
        <x:v>46042</x:v>
      </x:c>
      <x:c r="C156" s="5" t="str">
        <x:v>CUST-0187</x:v>
      </x:c>
      <x:c r="D156" s="5" t="str">
        <x:v>FD006</x:v>
      </x:c>
      <x:c r="E156" s="5" t="str">
        <x:v>Eba &amp; Egusi Soup</x:v>
      </x:c>
      <x:c r="F156" s="5" t="str">
        <x:v>Swallow</x:v>
      </x:c>
      <x:c r="G156" s="44" t="n">
        <x:v>4</x:v>
      </x:c>
      <x:c r="H156" s="45" t="n">
        <x:v>2600</x:v>
      </x:c>
      <x:c r="I156" s="46" t="n">
        <x:v>0</x:v>
      </x:c>
      <x:c r="J156" s="47" t="n">
        <x:f>G156*H156*(1-I156)</x:f>
        <x:v>10400</x:v>
      </x:c>
      <x:c r="K156" s="47" t="n">
        <x:v>1320</x:v>
      </x:c>
      <x:c r="L156" s="47" t="n">
        <x:f>G156*K156</x:f>
        <x:v>5280</x:v>
      </x:c>
      <x:c r="M156" s="47" t="n">
        <x:f>J156-L156</x:f>
        <x:v>5120</x:v>
      </x:c>
      <x:c r="N156" s="5" t="str">
        <x:v>Delivery</x:v>
      </x:c>
      <x:c r="O156" s="5" t="str">
        <x:v>Cash</x:v>
      </x:c>
      <x:c r="P156" s="5" t="str">
        <x:v>Lunch</x:v>
      </x:c>
      <x:c r="Q156" s="48" t="n">
        <x:v>13</x:v>
      </x:c>
      <x:c r="R156" s="5" t="n">
        <x:v>4</x:v>
      </x:c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5" t="str">
        <x:v>ORD-00907</x:v>
      </x:c>
      <x:c r="B157" s="43" t="n">
        <x:v>46042</x:v>
      </x:c>
      <x:c r="C157" s="5" t="str">
        <x:v>CUST-0282</x:v>
      </x:c>
      <x:c r="D157" s="5" t="str">
        <x:v>FD002</x:v>
      </x:c>
      <x:c r="E157" s="5" t="str">
        <x:v>Jollof Rice &amp; Chicken</x:v>
      </x:c>
      <x:c r="F157" s="5" t="str">
        <x:v>Rice Meals</x:v>
      </x:c>
      <x:c r="G157" s="44" t="n">
        <x:v>2</x:v>
      </x:c>
      <x:c r="H157" s="45" t="n">
        <x:v>2800</x:v>
      </x:c>
      <x:c r="I157" s="46" t="n">
        <x:v>0</x:v>
      </x:c>
      <x:c r="J157" s="47" t="n">
        <x:f>G157*H157*(1-I157)</x:f>
        <x:v>5600</x:v>
      </x:c>
      <x:c r="K157" s="47" t="n">
        <x:v>1450</x:v>
      </x:c>
      <x:c r="L157" s="47" t="n">
        <x:f>G157*K157</x:f>
        <x:v>2900</x:v>
      </x:c>
      <x:c r="M157" s="47" t="n">
        <x:f>J157-L157</x:f>
        <x:v>2700</x:v>
      </x:c>
      <x:c r="N157" s="5" t="str">
        <x:v>Walk-in</x:v>
      </x:c>
      <x:c r="O157" s="5" t="str">
        <x:v>POS</x:v>
      </x:c>
      <x:c r="P157" s="5" t="str">
        <x:v>Lunch</x:v>
      </x:c>
      <x:c r="Q157" s="48" t="n">
        <x:v>12</x:v>
      </x:c>
      <x:c r="R157" s="5" t="n">
        <x:v>4</x:v>
      </x:c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5" t="str">
        <x:v>ORD-01320</x:v>
      </x:c>
      <x:c r="B158" s="43" t="n">
        <x:v>46042</x:v>
      </x:c>
      <x:c r="C158" s="5" t="str">
        <x:v>CUST-0552</x:v>
      </x:c>
      <x:c r="D158" s="5" t="str">
        <x:v>FD003</x:v>
      </x:c>
      <x:c r="E158" s="5" t="str">
        <x:v>Fried Rice &amp; Chicken</x:v>
      </x:c>
      <x:c r="F158" s="5" t="str">
        <x:v>Rice Meals</x:v>
      </x:c>
      <x:c r="G158" s="44" t="n">
        <x:v>2</x:v>
      </x:c>
      <x:c r="H158" s="45" t="n">
        <x:v>3000</x:v>
      </x:c>
      <x:c r="I158" s="46" t="n">
        <x:v>0</x:v>
      </x:c>
      <x:c r="J158" s="47" t="n">
        <x:f>G158*H158*(1-I158)</x:f>
        <x:v>6000</x:v>
      </x:c>
      <x:c r="K158" s="47" t="n">
        <x:v>1580</x:v>
      </x:c>
      <x:c r="L158" s="47" t="n">
        <x:f>G158*K158</x:f>
        <x:v>3160</x:v>
      </x:c>
      <x:c r="M158" s="47" t="n">
        <x:f>J158-L158</x:f>
        <x:v>2840</x:v>
      </x:c>
      <x:c r="N158" s="5" t="str">
        <x:v>Walk-in</x:v>
      </x:c>
      <x:c r="O158" s="5" t="str">
        <x:v>Transfer</x:v>
      </x:c>
      <x:c r="P158" s="5" t="str">
        <x:v>Lunch</x:v>
      </x:c>
      <x:c r="Q158" s="48" t="n">
        <x:v>11</x:v>
      </x:c>
      <x:c r="R158" s="5" t="n">
        <x:v>4</x:v>
      </x:c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5" t="str">
        <x:v>ORD-01340</x:v>
      </x:c>
      <x:c r="B159" s="43" t="n">
        <x:v>46042</x:v>
      </x:c>
      <x:c r="C159" s="5" t="str">
        <x:v>CUST-0057</x:v>
      </x:c>
      <x:c r="D159" s="5" t="str">
        <x:v>FD003</x:v>
      </x:c>
      <x:c r="E159" s="5" t="str">
        <x:v>Fried Rice &amp; Chicken</x:v>
      </x:c>
      <x:c r="F159" s="5" t="str">
        <x:v>Rice Meals</x:v>
      </x:c>
      <x:c r="G159" s="44" t="n">
        <x:v>3</x:v>
      </x:c>
      <x:c r="H159" s="45" t="n">
        <x:v>3000</x:v>
      </x:c>
      <x:c r="I159" s="46" t="n">
        <x:v>0</x:v>
      </x:c>
      <x:c r="J159" s="47" t="n">
        <x:f>G159*H159*(1-I159)</x:f>
        <x:v>9000</x:v>
      </x:c>
      <x:c r="K159" s="47" t="n">
        <x:v>1580</x:v>
      </x:c>
      <x:c r="L159" s="47" t="n">
        <x:f>G159*K159</x:f>
        <x:v>4740</x:v>
      </x:c>
      <x:c r="M159" s="47" t="n">
        <x:f>J159-L159</x:f>
        <x:v>4260</x:v>
      </x:c>
      <x:c r="N159" s="5" t="str">
        <x:v>Walk-in</x:v>
      </x:c>
      <x:c r="O159" s="5" t="str">
        <x:v>POS</x:v>
      </x:c>
      <x:c r="P159" s="5" t="str">
        <x:v>Lunch</x:v>
      </x:c>
      <x:c r="Q159" s="48" t="n">
        <x:v>15</x:v>
      </x:c>
      <x:c r="R159" s="5" t="n">
        <x:v>5</x:v>
      </x:c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5" t="str">
        <x:v>ORD-01418</x:v>
      </x:c>
      <x:c r="B160" s="43" t="n">
        <x:v>46042</x:v>
      </x:c>
      <x:c r="C160" s="5" t="str">
        <x:v>CUST-0339</x:v>
      </x:c>
      <x:c r="D160" s="5" t="str">
        <x:v>FD006</x:v>
      </x:c>
      <x:c r="E160" s="5" t="str">
        <x:v>Eba &amp; Egusi Soup</x:v>
      </x:c>
      <x:c r="F160" s="5" t="str">
        <x:v>Swallow</x:v>
      </x:c>
      <x:c r="G160" s="44" t="n">
        <x:v>3</x:v>
      </x:c>
      <x:c r="H160" s="45" t="n">
        <x:v>2600</x:v>
      </x:c>
      <x:c r="I160" s="46" t="n">
        <x:v>0</x:v>
      </x:c>
      <x:c r="J160" s="47" t="n">
        <x:f>G160*H160*(1-I160)</x:f>
        <x:v>7800</x:v>
      </x:c>
      <x:c r="K160" s="47" t="n">
        <x:v>1320</x:v>
      </x:c>
      <x:c r="L160" s="47" t="n">
        <x:f>G160*K160</x:f>
        <x:v>3960</x:v>
      </x:c>
      <x:c r="M160" s="47" t="n">
        <x:f>J160-L160</x:f>
        <x:v>3840</x:v>
      </x:c>
      <x:c r="N160" s="5" t="str">
        <x:v>Walk-in</x:v>
      </x:c>
      <x:c r="O160" s="5" t="str">
        <x:v>POS</x:v>
      </x:c>
      <x:c r="P160" s="5" t="str">
        <x:v>Lunch</x:v>
      </x:c>
      <x:c r="Q160" s="48" t="n">
        <x:v>15</x:v>
      </x:c>
      <x:c r="R160" s="5" t="n">
        <x:v>4</x:v>
      </x:c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5" t="str">
        <x:v>ORD-00749</x:v>
      </x:c>
      <x:c r="B161" s="43" t="n">
        <x:v>46043</x:v>
      </x:c>
      <x:c r="C161" s="5" t="str">
        <x:v>CUST-0449</x:v>
      </x:c>
      <x:c r="D161" s="5" t="str">
        <x:v>FD005</x:v>
      </x:c>
      <x:c r="E161" s="5" t="str">
        <x:v>Yam Porridge</x:v>
      </x:c>
      <x:c r="F161" s="5" t="str">
        <x:v>Traditional Meals</x:v>
      </x:c>
      <x:c r="G161" s="44" t="n">
        <x:v>2</x:v>
      </x:c>
      <x:c r="H161" s="45" t="n">
        <x:v>2200</x:v>
      </x:c>
      <x:c r="I161" s="46" t="n">
        <x:v>0</x:v>
      </x:c>
      <x:c r="J161" s="47" t="n">
        <x:f>G161*H161*(1-I161)</x:f>
        <x:v>4400</x:v>
      </x:c>
      <x:c r="K161" s="47" t="n">
        <x:v>1050</x:v>
      </x:c>
      <x:c r="L161" s="47" t="n">
        <x:f>G161*K161</x:f>
        <x:v>2100</x:v>
      </x:c>
      <x:c r="M161" s="47" t="n">
        <x:f>J161-L161</x:f>
        <x:v>2300</x:v>
      </x:c>
      <x:c r="N161" s="5" t="str">
        <x:v>Walk-in</x:v>
      </x:c>
      <x:c r="O161" s="5" t="str">
        <x:v>Cash</x:v>
      </x:c>
      <x:c r="P161" s="5" t="str">
        <x:v>Lunch</x:v>
      </x:c>
      <x:c r="Q161" s="48" t="n">
        <x:v>14</x:v>
      </x:c>
      <x:c r="R161" s="5" t="n">
        <x:v>5</x:v>
      </x:c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5" t="str">
        <x:v>ORD-00887</x:v>
      </x:c>
      <x:c r="B162" s="43" t="n">
        <x:v>46043</x:v>
      </x:c>
      <x:c r="C162" s="5" t="str">
        <x:v>CUST-0330</x:v>
      </x:c>
      <x:c r="D162" s="5" t="str">
        <x:v>FD003</x:v>
      </x:c>
      <x:c r="E162" s="5" t="str">
        <x:v>Fried Rice &amp; Chicken</x:v>
      </x:c>
      <x:c r="F162" s="5" t="str">
        <x:v>Rice Meals</x:v>
      </x:c>
      <x:c r="G162" s="44" t="n">
        <x:v>3</x:v>
      </x:c>
      <x:c r="H162" s="45" t="n">
        <x:v>3000</x:v>
      </x:c>
      <x:c r="I162" s="46" t="n">
        <x:v>0</x:v>
      </x:c>
      <x:c r="J162" s="47" t="n">
        <x:f>G162*H162*(1-I162)</x:f>
        <x:v>9000</x:v>
      </x:c>
      <x:c r="K162" s="47" t="n">
        <x:v>1580</x:v>
      </x:c>
      <x:c r="L162" s="47" t="n">
        <x:f>G162*K162</x:f>
        <x:v>4740</x:v>
      </x:c>
      <x:c r="M162" s="47" t="n">
        <x:f>J162-L162</x:f>
        <x:v>4260</x:v>
      </x:c>
      <x:c r="N162" s="5" t="str">
        <x:v>Delivery</x:v>
      </x:c>
      <x:c r="O162" s="5" t="str">
        <x:v>POS</x:v>
      </x:c>
      <x:c r="P162" s="5" t="str">
        <x:v>Lunch</x:v>
      </x:c>
      <x:c r="Q162" s="48" t="n">
        <x:v>11</x:v>
      </x:c>
      <x:c r="R162" s="5" t="n">
        <x:v>5</x:v>
      </x:c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5" t="str">
        <x:v>ORD-00987</x:v>
      </x:c>
      <x:c r="B163" s="43" t="n">
        <x:v>46043</x:v>
      </x:c>
      <x:c r="C163" s="5" t="str">
        <x:v>CUST-0480</x:v>
      </x:c>
      <x:c r="D163" s="5" t="str">
        <x:v>FD003</x:v>
      </x:c>
      <x:c r="E163" s="5" t="str">
        <x:v>Fried Rice &amp; Chicken</x:v>
      </x:c>
      <x:c r="F163" s="5" t="str">
        <x:v>Rice Meals</x:v>
      </x:c>
      <x:c r="G163" s="44" t="n">
        <x:v>3</x:v>
      </x:c>
      <x:c r="H163" s="45" t="n">
        <x:v>3000</x:v>
      </x:c>
      <x:c r="I163" s="46" t="n">
        <x:v>0</x:v>
      </x:c>
      <x:c r="J163" s="47" t="n">
        <x:f>G163*H163*(1-I163)</x:f>
        <x:v>9000</x:v>
      </x:c>
      <x:c r="K163" s="47" t="n">
        <x:v>1580</x:v>
      </x:c>
      <x:c r="L163" s="47" t="n">
        <x:f>G163*K163</x:f>
        <x:v>4740</x:v>
      </x:c>
      <x:c r="M163" s="47" t="n">
        <x:f>J163-L163</x:f>
        <x:v>4260</x:v>
      </x:c>
      <x:c r="N163" s="5" t="str">
        <x:v>Walk-in</x:v>
      </x:c>
      <x:c r="O163" s="5" t="str">
        <x:v>POS</x:v>
      </x:c>
      <x:c r="P163" s="5" t="str">
        <x:v>Lunch</x:v>
      </x:c>
      <x:c r="Q163" s="48" t="n">
        <x:v>14</x:v>
      </x:c>
      <x:c r="R163" s="5" t="n">
        <x:v>5</x:v>
      </x:c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5" t="str">
        <x:v>ORD-01175</x:v>
      </x:c>
      <x:c r="B164" s="43" t="n">
        <x:v>46043</x:v>
      </x:c>
      <x:c r="C164" s="5" t="str">
        <x:v>CUST-0624</x:v>
      </x:c>
      <x:c r="D164" s="5" t="str">
        <x:v>FD004</x:v>
      </x:c>
      <x:c r="E164" s="5" t="str">
        <x:v>Beans &amp; Plantain</x:v>
      </x:c>
      <x:c r="F164" s="5" t="str">
        <x:v>Traditional Meals</x:v>
      </x:c>
      <x:c r="G164" s="44" t="n">
        <x:v>1</x:v>
      </x:c>
      <x:c r="H164" s="45" t="n">
        <x:v>2000</x:v>
      </x:c>
      <x:c r="I164" s="46" t="n">
        <x:v>0</x:v>
      </x:c>
      <x:c r="J164" s="47" t="n">
        <x:f>G164*H164*(1-I164)</x:f>
        <x:v>2000</x:v>
      </x:c>
      <x:c r="K164" s="47" t="n">
        <x:v>960</x:v>
      </x:c>
      <x:c r="L164" s="47" t="n">
        <x:f>G164*K164</x:f>
        <x:v>960</x:v>
      </x:c>
      <x:c r="M164" s="47" t="n">
        <x:f>J164-L164</x:f>
        <x:v>1040</x:v>
      </x:c>
      <x:c r="N164" s="5" t="str">
        <x:v>Walk-in</x:v>
      </x:c>
      <x:c r="O164" s="5" t="str">
        <x:v>Cash</x:v>
      </x:c>
      <x:c r="P164" s="5" t="str">
        <x:v>Lunch</x:v>
      </x:c>
      <x:c r="Q164" s="48" t="n">
        <x:v>11</x:v>
      </x:c>
      <x:c r="R164" s="5" t="n">
        <x:v>3</x:v>
      </x:c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5" t="str">
        <x:v>ORD-01240</x:v>
      </x:c>
      <x:c r="B165" s="43" t="n">
        <x:v>46043</x:v>
      </x:c>
      <x:c r="C165" s="5" t="str">
        <x:v>CUST-0095</x:v>
      </x:c>
      <x:c r="D165" s="5" t="str">
        <x:v>FD002</x:v>
      </x:c>
      <x:c r="E165" s="5" t="str">
        <x:v>Jollof Rice &amp; Chicken</x:v>
      </x:c>
      <x:c r="F165" s="5" t="str">
        <x:v>Rice Meals</x:v>
      </x:c>
      <x:c r="G165" s="44" t="n">
        <x:v>2</x:v>
      </x:c>
      <x:c r="H165" s="45" t="n">
        <x:v>2800</x:v>
      </x:c>
      <x:c r="I165" s="46" t="n">
        <x:v>0</x:v>
      </x:c>
      <x:c r="J165" s="47" t="n">
        <x:f>G165*H165*(1-I165)</x:f>
        <x:v>5600</x:v>
      </x:c>
      <x:c r="K165" s="47" t="n">
        <x:v>1450</x:v>
      </x:c>
      <x:c r="L165" s="47" t="n">
        <x:f>G165*K165</x:f>
        <x:v>2900</x:v>
      </x:c>
      <x:c r="M165" s="47" t="n">
        <x:f>J165-L165</x:f>
        <x:v>2700</x:v>
      </x:c>
      <x:c r="N165" s="5" t="str">
        <x:v>Walk-in</x:v>
      </x:c>
      <x:c r="O165" s="5" t="str">
        <x:v>Transfer</x:v>
      </x:c>
      <x:c r="P165" s="5" t="str">
        <x:v>Breakfast</x:v>
      </x:c>
      <x:c r="Q165" s="48" t="n">
        <x:v>9</x:v>
      </x:c>
      <x:c r="R165" s="5" t="n">
        <x:v>5</x:v>
      </x:c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5" t="str">
        <x:v>ORD-01448</x:v>
      </x:c>
      <x:c r="B166" s="43" t="n">
        <x:v>46043</x:v>
      </x:c>
      <x:c r="C166" s="5" t="str">
        <x:v>CUST-0248</x:v>
      </x:c>
      <x:c r="D166" s="5" t="str">
        <x:v>FD012</x:v>
      </x:c>
      <x:c r="E166" s="5" t="str">
        <x:v>Fried Plantain</x:v>
      </x:c>
      <x:c r="F166" s="5" t="str">
        <x:v>Sides</x:v>
      </x:c>
      <x:c r="G166" s="44" t="n">
        <x:v>2</x:v>
      </x:c>
      <x:c r="H166" s="45" t="n">
        <x:v>700</x:v>
      </x:c>
      <x:c r="I166" s="46" t="n">
        <x:v>0</x:v>
      </x:c>
      <x:c r="J166" s="47" t="n">
        <x:f>G166*H166*(1-I166)</x:f>
        <x:v>1400</x:v>
      </x:c>
      <x:c r="K166" s="47" t="n">
        <x:v>300</x:v>
      </x:c>
      <x:c r="L166" s="47" t="n">
        <x:f>G166*K166</x:f>
        <x:v>600</x:v>
      </x:c>
      <x:c r="M166" s="47" t="n">
        <x:f>J166-L166</x:f>
        <x:v>800</x:v>
      </x:c>
      <x:c r="N166" s="5" t="str">
        <x:v>Walk-in</x:v>
      </x:c>
      <x:c r="O166" s="5" t="str">
        <x:v>Transfer</x:v>
      </x:c>
      <x:c r="P166" s="5" t="str">
        <x:v>Lunch</x:v>
      </x:c>
      <x:c r="Q166" s="48" t="n">
        <x:v>15</x:v>
      </x:c>
      <x:c r="R166" s="5" t="n">
        <x:v>5</x:v>
      </x:c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5" t="str">
        <x:v>ORD-01642</x:v>
      </x:c>
      <x:c r="B167" s="43" t="n">
        <x:v>46043</x:v>
      </x:c>
      <x:c r="C167" s="5" t="str">
        <x:v>CUST-0500</x:v>
      </x:c>
      <x:c r="D167" s="5" t="str">
        <x:v>FD008</x:v>
      </x:c>
      <x:c r="E167" s="5" t="str">
        <x:v>Pounded Yam &amp; Vegetable Soup</x:v>
      </x:c>
      <x:c r="F167" s="5" t="str">
        <x:v>Swallow</x:v>
      </x:c>
      <x:c r="G167" s="44" t="n">
        <x:v>1</x:v>
      </x:c>
      <x:c r="H167" s="45" t="n">
        <x:v>3200</x:v>
      </x:c>
      <x:c r="I167" s="46" t="n">
        <x:v>0</x:v>
      </x:c>
      <x:c r="J167" s="47" t="n">
        <x:f>G167*H167*(1-I167)</x:f>
        <x:v>3200</x:v>
      </x:c>
      <x:c r="K167" s="47" t="n">
        <x:v>1710</x:v>
      </x:c>
      <x:c r="L167" s="47" t="n">
        <x:f>G167*K167</x:f>
        <x:v>1710</x:v>
      </x:c>
      <x:c r="M167" s="47" t="n">
        <x:f>J167-L167</x:f>
        <x:v>1490</x:v>
      </x:c>
      <x:c r="N167" s="5" t="str">
        <x:v>Walk-in</x:v>
      </x:c>
      <x:c r="O167" s="5" t="str">
        <x:v>POS</x:v>
      </x:c>
      <x:c r="P167" s="5" t="str">
        <x:v>Dinner</x:v>
      </x:c>
      <x:c r="Q167" s="48" t="n">
        <x:v>20</x:v>
      </x:c>
      <x:c r="R167" s="5" t="n">
        <x:v>3</x:v>
      </x:c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5" t="str">
        <x:v>ORD-00831</x:v>
      </x:c>
      <x:c r="B168" s="43" t="n">
        <x:v>46044</x:v>
      </x:c>
      <x:c r="C168" s="5" t="str">
        <x:v>CUST-0610</x:v>
      </x:c>
      <x:c r="D168" s="5" t="str">
        <x:v>FD006</x:v>
      </x:c>
      <x:c r="E168" s="5" t="str">
        <x:v>Eba &amp; Egusi Soup</x:v>
      </x:c>
      <x:c r="F168" s="5" t="str">
        <x:v>Swallow</x:v>
      </x:c>
      <x:c r="G168" s="44" t="n">
        <x:v>3</x:v>
      </x:c>
      <x:c r="H168" s="45" t="n">
        <x:v>2600</x:v>
      </x:c>
      <x:c r="I168" s="46" t="n">
        <x:v>0</x:v>
      </x:c>
      <x:c r="J168" s="47" t="n">
        <x:f>G168*H168*(1-I168)</x:f>
        <x:v>7800</x:v>
      </x:c>
      <x:c r="K168" s="47" t="n">
        <x:v>1320</x:v>
      </x:c>
      <x:c r="L168" s="47" t="n">
        <x:f>G168*K168</x:f>
        <x:v>3960</x:v>
      </x:c>
      <x:c r="M168" s="47" t="n">
        <x:f>J168-L168</x:f>
        <x:v>3840</x:v>
      </x:c>
      <x:c r="N168" s="5" t="str">
        <x:v>Walk-in</x:v>
      </x:c>
      <x:c r="O168" s="5" t="str">
        <x:v>POS</x:v>
      </x:c>
      <x:c r="P168" s="5" t="str">
        <x:v>Lunch</x:v>
      </x:c>
      <x:c r="Q168" s="48" t="n">
        <x:v>14</x:v>
      </x:c>
      <x:c r="R168" s="5" t="n">
        <x:v>4</x:v>
      </x:c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5" t="str">
        <x:v>ORD-01105</x:v>
      </x:c>
      <x:c r="B169" s="43" t="n">
        <x:v>46044</x:v>
      </x:c>
      <x:c r="C169" s="5" t="str">
        <x:v>CUST-0188</x:v>
      </x:c>
      <x:c r="D169" s="5" t="str">
        <x:v>FD002</x:v>
      </x:c>
      <x:c r="E169" s="5" t="str">
        <x:v>Jollof Rice &amp; Chicken</x:v>
      </x:c>
      <x:c r="F169" s="5" t="str">
        <x:v>Rice Meals</x:v>
      </x:c>
      <x:c r="G169" s="44" t="n">
        <x:v>3</x:v>
      </x:c>
      <x:c r="H169" s="45" t="n">
        <x:v>2800</x:v>
      </x:c>
      <x:c r="I169" s="46" t="n">
        <x:v>0</x:v>
      </x:c>
      <x:c r="J169" s="47" t="n">
        <x:f>G169*H169*(1-I169)</x:f>
        <x:v>8400</x:v>
      </x:c>
      <x:c r="K169" s="47" t="n">
        <x:v>1450</x:v>
      </x:c>
      <x:c r="L169" s="47" t="n">
        <x:f>G169*K169</x:f>
        <x:v>4350</x:v>
      </x:c>
      <x:c r="M169" s="47" t="n">
        <x:f>J169-L169</x:f>
        <x:v>4050</x:v>
      </x:c>
      <x:c r="N169" s="5" t="str">
        <x:v>Delivery</x:v>
      </x:c>
      <x:c r="O169" s="5" t="str">
        <x:v>POS</x:v>
      </x:c>
      <x:c r="P169" s="5" t="str">
        <x:v>Dinner</x:v>
      </x:c>
      <x:c r="Q169" s="48" t="n">
        <x:v>20</x:v>
      </x:c>
      <x:c r="R169" s="5" t="n">
        <x:v>5</x:v>
      </x:c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5" t="str">
        <x:v>ORD-01116</x:v>
      </x:c>
      <x:c r="B170" s="43" t="n">
        <x:v>46044</x:v>
      </x:c>
      <x:c r="C170" s="5" t="str">
        <x:v>CUST-0471</x:v>
      </x:c>
      <x:c r="D170" s="5" t="str">
        <x:v>FD004</x:v>
      </x:c>
      <x:c r="E170" s="5" t="str">
        <x:v>Beans &amp; Plantain</x:v>
      </x:c>
      <x:c r="F170" s="5" t="str">
        <x:v>Traditional Meals</x:v>
      </x:c>
      <x:c r="G170" s="44" t="n">
        <x:v>3</x:v>
      </x:c>
      <x:c r="H170" s="45" t="n">
        <x:v>2000</x:v>
      </x:c>
      <x:c r="I170" s="46" t="n">
        <x:v>0</x:v>
      </x:c>
      <x:c r="J170" s="47" t="n">
        <x:f>G170*H170*(1-I170)</x:f>
        <x:v>6000</x:v>
      </x:c>
      <x:c r="K170" s="47" t="n">
        <x:v>960</x:v>
      </x:c>
      <x:c r="L170" s="47" t="n">
        <x:f>G170*K170</x:f>
        <x:v>2880</x:v>
      </x:c>
      <x:c r="M170" s="47" t="n">
        <x:f>J170-L170</x:f>
        <x:v>3120</x:v>
      </x:c>
      <x:c r="N170" s="5" t="str">
        <x:v>Takeaway</x:v>
      </x:c>
      <x:c r="O170" s="5" t="str">
        <x:v>POS</x:v>
      </x:c>
      <x:c r="P170" s="5" t="str">
        <x:v>Dinner</x:v>
      </x:c>
      <x:c r="Q170" s="48" t="n">
        <x:v>16</x:v>
      </x:c>
      <x:c r="R170" s="5" t="n">
        <x:v>4</x:v>
      </x:c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5" t="str">
        <x:v>ORD-01791</x:v>
      </x:c>
      <x:c r="B171" s="43" t="n">
        <x:v>46044</x:v>
      </x:c>
      <x:c r="C171" s="5" t="str">
        <x:v>CUST-0350</x:v>
      </x:c>
      <x:c r="D171" s="5" t="str">
        <x:v>FD002</x:v>
      </x:c>
      <x:c r="E171" s="5" t="str">
        <x:v>Jollof Rice &amp; Chicken</x:v>
      </x:c>
      <x:c r="F171" s="5" t="str">
        <x:v>Rice Meals</x:v>
      </x:c>
      <x:c r="G171" s="44" t="n">
        <x:v>4</x:v>
      </x:c>
      <x:c r="H171" s="45" t="n">
        <x:v>2800</x:v>
      </x:c>
      <x:c r="I171" s="46" t="n">
        <x:v>0.05</x:v>
      </x:c>
      <x:c r="J171" s="47" t="n">
        <x:f>G171*H171*(1-I171)</x:f>
        <x:v>10640</x:v>
      </x:c>
      <x:c r="K171" s="47" t="n">
        <x:v>1450</x:v>
      </x:c>
      <x:c r="L171" s="47" t="n">
        <x:f>G171*K171</x:f>
        <x:v>5800</x:v>
      </x:c>
      <x:c r="M171" s="47" t="n">
        <x:f>J171-L171</x:f>
        <x:v>4840</x:v>
      </x:c>
      <x:c r="N171" s="5" t="str">
        <x:v>Takeaway</x:v>
      </x:c>
      <x:c r="O171" s="5" t="str">
        <x:v>Cash</x:v>
      </x:c>
      <x:c r="P171" s="5" t="str">
        <x:v>Breakfast</x:v>
      </x:c>
      <x:c r="Q171" s="48" t="n">
        <x:v>8</x:v>
      </x:c>
      <x:c r="R171" s="5" t="n">
        <x:v>4</x:v>
      </x:c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5" t="str">
        <x:v>ORD-00107</x:v>
      </x:c>
      <x:c r="B172" s="43" t="n">
        <x:v>46045</x:v>
      </x:c>
      <x:c r="C172" s="5" t="str">
        <x:v>CUST-0004</x:v>
      </x:c>
      <x:c r="D172" s="5" t="str">
        <x:v>FD008</x:v>
      </x:c>
      <x:c r="E172" s="5" t="str">
        <x:v>Pounded Yam &amp; Vegetable Soup</x:v>
      </x:c>
      <x:c r="F172" s="5" t="str">
        <x:v>Swallow</x:v>
      </x:c>
      <x:c r="G172" s="44" t="n">
        <x:v>2</x:v>
      </x:c>
      <x:c r="H172" s="45" t="n">
        <x:v>3200</x:v>
      </x:c>
      <x:c r="I172" s="46" t="n">
        <x:v>0.05</x:v>
      </x:c>
      <x:c r="J172" s="47" t="n">
        <x:f>G172*H172*(1-I172)</x:f>
        <x:v>6080</x:v>
      </x:c>
      <x:c r="K172" s="47" t="n">
        <x:v>1710</x:v>
      </x:c>
      <x:c r="L172" s="47" t="n">
        <x:f>G172*K172</x:f>
        <x:v>3420</x:v>
      </x:c>
      <x:c r="M172" s="47" t="n">
        <x:f>J172-L172</x:f>
        <x:v>2660</x:v>
      </x:c>
      <x:c r="N172" s="5" t="str">
        <x:v>Walk-in</x:v>
      </x:c>
      <x:c r="O172" s="5" t="str">
        <x:v>Transfer</x:v>
      </x:c>
      <x:c r="P172" s="5" t="str">
        <x:v>Lunch</x:v>
      </x:c>
      <x:c r="Q172" s="48" t="n">
        <x:v>14</x:v>
      </x:c>
      <x:c r="R172" s="5" t="n">
        <x:v>5</x:v>
      </x:c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5" t="str">
        <x:v>ORD-00213</x:v>
      </x:c>
      <x:c r="B173" s="43" t="n">
        <x:v>46045</x:v>
      </x:c>
      <x:c r="C173" s="5" t="str">
        <x:v>CUST-0618</x:v>
      </x:c>
      <x:c r="D173" s="5" t="str">
        <x:v>FD007</x:v>
      </x:c>
      <x:c r="E173" s="5" t="str">
        <x:v>Amala &amp; Ewedu</x:v>
      </x:c>
      <x:c r="F173" s="5" t="str">
        <x:v>Swallow</x:v>
      </x:c>
      <x:c r="G173" s="44" t="n">
        <x:v>1</x:v>
      </x:c>
      <x:c r="H173" s="45" t="n">
        <x:v>2500</x:v>
      </x:c>
      <x:c r="I173" s="46" t="n">
        <x:v>0</x:v>
      </x:c>
      <x:c r="J173" s="47" t="n">
        <x:f>G173*H173*(1-I173)</x:f>
        <x:v>2500</x:v>
      </x:c>
      <x:c r="K173" s="47" t="n">
        <x:v>1250</x:v>
      </x:c>
      <x:c r="L173" s="47" t="n">
        <x:f>G173*K173</x:f>
        <x:v>1250</x:v>
      </x:c>
      <x:c r="M173" s="47" t="n">
        <x:f>J173-L173</x:f>
        <x:v>1250</x:v>
      </x:c>
      <x:c r="N173" s="5" t="str">
        <x:v>Walk-in</x:v>
      </x:c>
      <x:c r="O173" s="5" t="str">
        <x:v>Transfer</x:v>
      </x:c>
      <x:c r="P173" s="5" t="str">
        <x:v>Lunch</x:v>
      </x:c>
      <x:c r="Q173" s="48" t="n">
        <x:v>11</x:v>
      </x:c>
      <x:c r="R173" s="5" t="n">
        <x:v>5</x:v>
      </x:c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5" t="str">
        <x:v>ORD-00517</x:v>
      </x:c>
      <x:c r="B174" s="43" t="n">
        <x:v>46045</x:v>
      </x:c>
      <x:c r="C174" s="5" t="str">
        <x:v>CUST-0569</x:v>
      </x:c>
      <x:c r="D174" s="5" t="str">
        <x:v>FD001</x:v>
      </x:c>
      <x:c r="E174" s="5" t="str">
        <x:v>White Rice &amp; Stew</x:v>
      </x:c>
      <x:c r="F174" s="5" t="str">
        <x:v>Rice Meals</x:v>
      </x:c>
      <x:c r="G174" s="44" t="n">
        <x:v>4</x:v>
      </x:c>
      <x:c r="H174" s="45" t="n">
        <x:v>1800</x:v>
      </x:c>
      <x:c r="I174" s="46" t="n">
        <x:v>0.05</x:v>
      </x:c>
      <x:c r="J174" s="47" t="n">
        <x:f>G174*H174*(1-I174)</x:f>
        <x:v>6840</x:v>
      </x:c>
      <x:c r="K174" s="47" t="n">
        <x:v>820</x:v>
      </x:c>
      <x:c r="L174" s="47" t="n">
        <x:f>G174*K174</x:f>
        <x:v>3280</x:v>
      </x:c>
      <x:c r="M174" s="47" t="n">
        <x:f>J174-L174</x:f>
        <x:v>3560</x:v>
      </x:c>
      <x:c r="N174" s="5" t="str">
        <x:v>Walk-in</x:v>
      </x:c>
      <x:c r="O174" s="5" t="str">
        <x:v>Cash</x:v>
      </x:c>
      <x:c r="P174" s="5" t="str">
        <x:v>Lunch</x:v>
      </x:c>
      <x:c r="Q174" s="48" t="n">
        <x:v>14</x:v>
      </x:c>
      <x:c r="R174" s="5" t="n">
        <x:v>5</x:v>
      </x:c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5" t="str">
        <x:v>ORD-00727</x:v>
      </x:c>
      <x:c r="B175" s="43" t="n">
        <x:v>46045</x:v>
      </x:c>
      <x:c r="C175" s="5" t="str">
        <x:v>CUST-0132</x:v>
      </x:c>
      <x:c r="D175" s="5" t="str">
        <x:v>FD001</x:v>
      </x:c>
      <x:c r="E175" s="5" t="str">
        <x:v>White Rice &amp; Stew</x:v>
      </x:c>
      <x:c r="F175" s="5" t="str">
        <x:v>Rice Meals</x:v>
      </x:c>
      <x:c r="G175" s="44" t="n">
        <x:v>2</x:v>
      </x:c>
      <x:c r="H175" s="45" t="n">
        <x:v>1800</x:v>
      </x:c>
      <x:c r="I175" s="46" t="n">
        <x:v>0</x:v>
      </x:c>
      <x:c r="J175" s="47" t="n">
        <x:f>G175*H175*(1-I175)</x:f>
        <x:v>3600</x:v>
      </x:c>
      <x:c r="K175" s="47" t="n">
        <x:v>820</x:v>
      </x:c>
      <x:c r="L175" s="47" t="n">
        <x:f>G175*K175</x:f>
        <x:v>1640</x:v>
      </x:c>
      <x:c r="M175" s="47" t="n">
        <x:f>J175-L175</x:f>
        <x:v>1960</x:v>
      </x:c>
      <x:c r="N175" s="5" t="str">
        <x:v>Takeaway</x:v>
      </x:c>
      <x:c r="O175" s="5" t="str">
        <x:v>POS</x:v>
      </x:c>
      <x:c r="P175" s="5" t="str">
        <x:v>Lunch</x:v>
      </x:c>
      <x:c r="Q175" s="48" t="n">
        <x:v>11</x:v>
      </x:c>
      <x:c r="R175" s="5" t="n">
        <x:v>4</x:v>
      </x:c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5" t="str">
        <x:v>ORD-00842</x:v>
      </x:c>
      <x:c r="B176" s="43" t="n">
        <x:v>46045</x:v>
      </x:c>
      <x:c r="C176" s="5" t="str">
        <x:v>CUST-0013</x:v>
      </x:c>
      <x:c r="D176" s="5" t="str">
        <x:v>FD006</x:v>
      </x:c>
      <x:c r="E176" s="5" t="str">
        <x:v>Eba &amp; Egusi Soup</x:v>
      </x:c>
      <x:c r="F176" s="5" t="str">
        <x:v>Swallow</x:v>
      </x:c>
      <x:c r="G176" s="44" t="n">
        <x:v>2</x:v>
      </x:c>
      <x:c r="H176" s="45" t="n">
        <x:v>2600</x:v>
      </x:c>
      <x:c r="I176" s="46" t="n">
        <x:v>0</x:v>
      </x:c>
      <x:c r="J176" s="47" t="n">
        <x:f>G176*H176*(1-I176)</x:f>
        <x:v>5200</x:v>
      </x:c>
      <x:c r="K176" s="47" t="n">
        <x:v>1320</x:v>
      </x:c>
      <x:c r="L176" s="47" t="n">
        <x:f>G176*K176</x:f>
        <x:v>2640</x:v>
      </x:c>
      <x:c r="M176" s="47" t="n">
        <x:f>J176-L176</x:f>
        <x:v>2560</x:v>
      </x:c>
      <x:c r="N176" s="5" t="str">
        <x:v>Walk-in</x:v>
      </x:c>
      <x:c r="O176" s="5" t="str">
        <x:v>Transfer</x:v>
      </x:c>
      <x:c r="P176" s="5" t="str">
        <x:v>Lunch</x:v>
      </x:c>
      <x:c r="Q176" s="48" t="n">
        <x:v>13</x:v>
      </x:c>
      <x:c r="R176" s="5" t="n">
        <x:v>5</x:v>
      </x:c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5" t="str">
        <x:v>ORD-00863</x:v>
      </x:c>
      <x:c r="B177" s="43" t="n">
        <x:v>46045</x:v>
      </x:c>
      <x:c r="C177" s="5" t="str">
        <x:v>CUST-0248</x:v>
      </x:c>
      <x:c r="D177" s="5" t="str">
        <x:v>FD002</x:v>
      </x:c>
      <x:c r="E177" s="5" t="str">
        <x:v>Jollof Rice &amp; Chicken</x:v>
      </x:c>
      <x:c r="F177" s="5" t="str">
        <x:v>Rice Meals</x:v>
      </x:c>
      <x:c r="G177" s="44" t="n">
        <x:v>1</x:v>
      </x:c>
      <x:c r="H177" s="45" t="n">
        <x:v>2800</x:v>
      </x:c>
      <x:c r="I177" s="46" t="n">
        <x:v>0.05</x:v>
      </x:c>
      <x:c r="J177" s="47" t="n">
        <x:f>G177*H177*(1-I177)</x:f>
        <x:v>2660</x:v>
      </x:c>
      <x:c r="K177" s="47" t="n">
        <x:v>1450</x:v>
      </x:c>
      <x:c r="L177" s="47" t="n">
        <x:f>G177*K177</x:f>
        <x:v>1450</x:v>
      </x:c>
      <x:c r="M177" s="47" t="n">
        <x:f>J177-L177</x:f>
        <x:v>1210</x:v>
      </x:c>
      <x:c r="N177" s="5" t="str">
        <x:v>Delivery</x:v>
      </x:c>
      <x:c r="O177" s="5" t="str">
        <x:v>POS</x:v>
      </x:c>
      <x:c r="P177" s="5" t="str">
        <x:v>Lunch</x:v>
      </x:c>
      <x:c r="Q177" s="48" t="n">
        <x:v>14</x:v>
      </x:c>
      <x:c r="R177" s="5" t="n">
        <x:v>5</x:v>
      </x:c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5" t="str">
        <x:v>ORD-01053</x:v>
      </x:c>
      <x:c r="B178" s="43" t="n">
        <x:v>46045</x:v>
      </x:c>
      <x:c r="C178" s="5" t="str">
        <x:v>CUST-0402</x:v>
      </x:c>
      <x:c r="D178" s="5" t="str">
        <x:v>FD006</x:v>
      </x:c>
      <x:c r="E178" s="5" t="str">
        <x:v>Eba &amp; Egusi Soup</x:v>
      </x:c>
      <x:c r="F178" s="5" t="str">
        <x:v>Swallow</x:v>
      </x:c>
      <x:c r="G178" s="44" t="n">
        <x:v>1</x:v>
      </x:c>
      <x:c r="H178" s="45" t="n">
        <x:v>2600</x:v>
      </x:c>
      <x:c r="I178" s="46" t="n">
        <x:v>0</x:v>
      </x:c>
      <x:c r="J178" s="47" t="n">
        <x:f>G178*H178*(1-I178)</x:f>
        <x:v>2600</x:v>
      </x:c>
      <x:c r="K178" s="47" t="n">
        <x:v>1320</x:v>
      </x:c>
      <x:c r="L178" s="47" t="n">
        <x:f>G178*K178</x:f>
        <x:v>1320</x:v>
      </x:c>
      <x:c r="M178" s="47" t="n">
        <x:f>J178-L178</x:f>
        <x:v>1280</x:v>
      </x:c>
      <x:c r="N178" s="5" t="str">
        <x:v>Delivery</x:v>
      </x:c>
      <x:c r="O178" s="5" t="str">
        <x:v>Cash</x:v>
      </x:c>
      <x:c r="P178" s="5" t="str">
        <x:v>Lunch</x:v>
      </x:c>
      <x:c r="Q178" s="48" t="n">
        <x:v>13</x:v>
      </x:c>
      <x:c r="R178" s="5" t="n">
        <x:v>5</x:v>
      </x:c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5" t="str">
        <x:v>ORD-01499</x:v>
      </x:c>
      <x:c r="B179" s="43" t="n">
        <x:v>46045</x:v>
      </x:c>
      <x:c r="C179" s="5" t="str">
        <x:v>CUST-0567</x:v>
      </x:c>
      <x:c r="D179" s="5" t="str">
        <x:v>FD006</x:v>
      </x:c>
      <x:c r="E179" s="5" t="str">
        <x:v>Eba &amp; Egusi Soup</x:v>
      </x:c>
      <x:c r="F179" s="5" t="str">
        <x:v>Swallow</x:v>
      </x:c>
      <x:c r="G179" s="44" t="n">
        <x:v>2</x:v>
      </x:c>
      <x:c r="H179" s="45" t="n">
        <x:v>2600</x:v>
      </x:c>
      <x:c r="I179" s="46" t="n">
        <x:v>0</x:v>
      </x:c>
      <x:c r="J179" s="47" t="n">
        <x:f>G179*H179*(1-I179)</x:f>
        <x:v>5200</x:v>
      </x:c>
      <x:c r="K179" s="47" t="n">
        <x:v>1320</x:v>
      </x:c>
      <x:c r="L179" s="47" t="n">
        <x:f>G179*K179</x:f>
        <x:v>2640</x:v>
      </x:c>
      <x:c r="M179" s="47" t="n">
        <x:f>J179-L179</x:f>
        <x:v>2560</x:v>
      </x:c>
      <x:c r="N179" s="5" t="str">
        <x:v>Walk-in</x:v>
      </x:c>
      <x:c r="O179" s="5" t="str">
        <x:v>Cash</x:v>
      </x:c>
      <x:c r="P179" s="5" t="str">
        <x:v>Lunch</x:v>
      </x:c>
      <x:c r="Q179" s="48" t="n">
        <x:v>12</x:v>
      </x:c>
      <x:c r="R179" s="5" t="n">
        <x:v>5</x:v>
      </x:c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5" t="str">
        <x:v>ORD-01617</x:v>
      </x:c>
      <x:c r="B180" s="43" t="n">
        <x:v>46045</x:v>
      </x:c>
      <x:c r="C180" s="5" t="str">
        <x:v>CUST-0635</x:v>
      </x:c>
      <x:c r="D180" s="5" t="str">
        <x:v>FD001</x:v>
      </x:c>
      <x:c r="E180" s="5" t="str">
        <x:v>White Rice &amp; Stew</x:v>
      </x:c>
      <x:c r="F180" s="5" t="str">
        <x:v>Rice Meals</x:v>
      </x:c>
      <x:c r="G180" s="44" t="n">
        <x:v>4</x:v>
      </x:c>
      <x:c r="H180" s="45" t="n">
        <x:v>1800</x:v>
      </x:c>
      <x:c r="I180" s="46" t="n">
        <x:v>0</x:v>
      </x:c>
      <x:c r="J180" s="47" t="n">
        <x:f>G180*H180*(1-I180)</x:f>
        <x:v>7200</x:v>
      </x:c>
      <x:c r="K180" s="47" t="n">
        <x:v>820</x:v>
      </x:c>
      <x:c r="L180" s="47" t="n">
        <x:f>G180*K180</x:f>
        <x:v>3280</x:v>
      </x:c>
      <x:c r="M180" s="47" t="n">
        <x:f>J180-L180</x:f>
        <x:v>3920</x:v>
      </x:c>
      <x:c r="N180" s="5" t="str">
        <x:v>Takeaway</x:v>
      </x:c>
      <x:c r="O180" s="5" t="str">
        <x:v>Transfer</x:v>
      </x:c>
      <x:c r="P180" s="5" t="str">
        <x:v>Lunch</x:v>
      </x:c>
      <x:c r="Q180" s="48" t="n">
        <x:v>14</x:v>
      </x:c>
      <x:c r="R180" s="5" t="n">
        <x:v>4</x:v>
      </x:c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5" t="str">
        <x:v>ORD-01671</x:v>
      </x:c>
      <x:c r="B181" s="43" t="n">
        <x:v>46045</x:v>
      </x:c>
      <x:c r="C181" s="5" t="str">
        <x:v>CUST-0467</x:v>
      </x:c>
      <x:c r="D181" s="5" t="str">
        <x:v>FD003</x:v>
      </x:c>
      <x:c r="E181" s="5" t="str">
        <x:v>Fried Rice &amp; Chicken</x:v>
      </x:c>
      <x:c r="F181" s="5" t="str">
        <x:v>Rice Meals</x:v>
      </x:c>
      <x:c r="G181" s="44" t="n">
        <x:v>2</x:v>
      </x:c>
      <x:c r="H181" s="45" t="n">
        <x:v>3000</x:v>
      </x:c>
      <x:c r="I181" s="46" t="n">
        <x:v>0</x:v>
      </x:c>
      <x:c r="J181" s="47" t="n">
        <x:f>G181*H181*(1-I181)</x:f>
        <x:v>6000</x:v>
      </x:c>
      <x:c r="K181" s="47" t="n">
        <x:v>1580</x:v>
      </x:c>
      <x:c r="L181" s="47" t="n">
        <x:f>G181*K181</x:f>
        <x:v>3160</x:v>
      </x:c>
      <x:c r="M181" s="47" t="n">
        <x:f>J181-L181</x:f>
        <x:v>2840</x:v>
      </x:c>
      <x:c r="N181" s="5" t="str">
        <x:v>Walk-in</x:v>
      </x:c>
      <x:c r="O181" s="5" t="str">
        <x:v>Transfer</x:v>
      </x:c>
      <x:c r="P181" s="5" t="str">
        <x:v>Lunch</x:v>
      </x:c>
      <x:c r="Q181" s="48" t="n">
        <x:v>14</x:v>
      </x:c>
      <x:c r="R181" s="5" t="n">
        <x:v>5</x:v>
      </x:c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5" t="str">
        <x:v>ORD-00309</x:v>
      </x:c>
      <x:c r="B182" s="43" t="n">
        <x:v>46046</x:v>
      </x:c>
      <x:c r="C182" s="5" t="str">
        <x:v>CUST-0392</x:v>
      </x:c>
      <x:c r="D182" s="5" t="str">
        <x:v>FD007</x:v>
      </x:c>
      <x:c r="E182" s="5" t="str">
        <x:v>Amala &amp; Ewedu</x:v>
      </x:c>
      <x:c r="F182" s="5" t="str">
        <x:v>Swallow</x:v>
      </x:c>
      <x:c r="G182" s="44" t="n">
        <x:v>2</x:v>
      </x:c>
      <x:c r="H182" s="45" t="n">
        <x:v>2500</x:v>
      </x:c>
      <x:c r="I182" s="46" t="n">
        <x:v>0</x:v>
      </x:c>
      <x:c r="J182" s="47" t="n">
        <x:f>G182*H182*(1-I182)</x:f>
        <x:v>5000</x:v>
      </x:c>
      <x:c r="K182" s="47" t="n">
        <x:v>1250</x:v>
      </x:c>
      <x:c r="L182" s="47" t="n">
        <x:f>G182*K182</x:f>
        <x:v>2500</x:v>
      </x:c>
      <x:c r="M182" s="47" t="n">
        <x:f>J182-L182</x:f>
        <x:v>2500</x:v>
      </x:c>
      <x:c r="N182" s="5" t="str">
        <x:v>Walk-in</x:v>
      </x:c>
      <x:c r="O182" s="5" t="str">
        <x:v>POS</x:v>
      </x:c>
      <x:c r="P182" s="5" t="str">
        <x:v>Lunch</x:v>
      </x:c>
      <x:c r="Q182" s="48" t="n">
        <x:v>14</x:v>
      </x:c>
      <x:c r="R182" s="5" t="n">
        <x:v>5</x:v>
      </x:c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5" t="str">
        <x:v>ORD-00574</x:v>
      </x:c>
      <x:c r="B183" s="43" t="n">
        <x:v>46046</x:v>
      </x:c>
      <x:c r="C183" s="5" t="str">
        <x:v>CUST-0322</x:v>
      </x:c>
      <x:c r="D183" s="5" t="str">
        <x:v>FD003</x:v>
      </x:c>
      <x:c r="E183" s="5" t="str">
        <x:v>Fried Rice &amp; Chicken</x:v>
      </x:c>
      <x:c r="F183" s="5" t="str">
        <x:v>Rice Meals</x:v>
      </x:c>
      <x:c r="G183" s="44" t="n">
        <x:v>3</x:v>
      </x:c>
      <x:c r="H183" s="45" t="n">
        <x:v>3000</x:v>
      </x:c>
      <x:c r="I183" s="46" t="n">
        <x:v>0</x:v>
      </x:c>
      <x:c r="J183" s="47" t="n">
        <x:f>G183*H183*(1-I183)</x:f>
        <x:v>9000</x:v>
      </x:c>
      <x:c r="K183" s="47" t="n">
        <x:v>1580</x:v>
      </x:c>
      <x:c r="L183" s="47" t="n">
        <x:f>G183*K183</x:f>
        <x:v>4740</x:v>
      </x:c>
      <x:c r="M183" s="47" t="n">
        <x:f>J183-L183</x:f>
        <x:v>4260</x:v>
      </x:c>
      <x:c r="N183" s="5" t="str">
        <x:v>Delivery</x:v>
      </x:c>
      <x:c r="O183" s="5" t="str">
        <x:v>Cash</x:v>
      </x:c>
      <x:c r="P183" s="5" t="str">
        <x:v>Lunch</x:v>
      </x:c>
      <x:c r="Q183" s="48" t="n">
        <x:v>15</x:v>
      </x:c>
      <x:c r="R183" s="5" t="n">
        <x:v>4</x:v>
      </x:c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5" t="str">
        <x:v>ORD-00659</x:v>
      </x:c>
      <x:c r="B184" s="43" t="n">
        <x:v>46046</x:v>
      </x:c>
      <x:c r="C184" s="5" t="str">
        <x:v>CUST-0093</x:v>
      </x:c>
      <x:c r="D184" s="5" t="str">
        <x:v>FD002</x:v>
      </x:c>
      <x:c r="E184" s="5" t="str">
        <x:v>Jollof Rice &amp; Chicken</x:v>
      </x:c>
      <x:c r="F184" s="5" t="str">
        <x:v>Rice Meals</x:v>
      </x:c>
      <x:c r="G184" s="44" t="n">
        <x:v>4</x:v>
      </x:c>
      <x:c r="H184" s="45" t="n">
        <x:v>2800</x:v>
      </x:c>
      <x:c r="I184" s="46" t="n">
        <x:v>0</x:v>
      </x:c>
      <x:c r="J184" s="47" t="n">
        <x:f>G184*H184*(1-I184)</x:f>
        <x:v>11200</x:v>
      </x:c>
      <x:c r="K184" s="47" t="n">
        <x:v>1450</x:v>
      </x:c>
      <x:c r="L184" s="47" t="n">
        <x:f>G184*K184</x:f>
        <x:v>5800</x:v>
      </x:c>
      <x:c r="M184" s="47" t="n">
        <x:f>J184-L184</x:f>
        <x:v>5400</x:v>
      </x:c>
      <x:c r="N184" s="5" t="str">
        <x:v>Walk-in</x:v>
      </x:c>
      <x:c r="O184" s="5" t="str">
        <x:v>Transfer</x:v>
      </x:c>
      <x:c r="P184" s="5" t="str">
        <x:v>Dinner</x:v>
      </x:c>
      <x:c r="Q184" s="48" t="n">
        <x:v>17</x:v>
      </x:c>
      <x:c r="R184" s="5" t="n">
        <x:v>5</x:v>
      </x:c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5" t="str">
        <x:v>ORD-00741</x:v>
      </x:c>
      <x:c r="B185" s="43" t="n">
        <x:v>46046</x:v>
      </x:c>
      <x:c r="C185" s="5" t="str">
        <x:v>CUST-0020</x:v>
      </x:c>
      <x:c r="D185" s="5" t="str">
        <x:v>FD006</x:v>
      </x:c>
      <x:c r="E185" s="5" t="str">
        <x:v>Eba &amp; Egusi Soup</x:v>
      </x:c>
      <x:c r="F185" s="5" t="str">
        <x:v>Swallow</x:v>
      </x:c>
      <x:c r="G185" s="44" t="n">
        <x:v>4</x:v>
      </x:c>
      <x:c r="H185" s="45" t="n">
        <x:v>2600</x:v>
      </x:c>
      <x:c r="I185" s="46" t="n">
        <x:v>0</x:v>
      </x:c>
      <x:c r="J185" s="47" t="n">
        <x:f>G185*H185*(1-I185)</x:f>
        <x:v>10400</x:v>
      </x:c>
      <x:c r="K185" s="47" t="n">
        <x:v>1320</x:v>
      </x:c>
      <x:c r="L185" s="47" t="n">
        <x:f>G185*K185</x:f>
        <x:v>5280</x:v>
      </x:c>
      <x:c r="M185" s="47" t="n">
        <x:f>J185-L185</x:f>
        <x:v>5120</x:v>
      </x:c>
      <x:c r="N185" s="5" t="str">
        <x:v>Walk-in</x:v>
      </x:c>
      <x:c r="O185" s="5" t="str">
        <x:v>POS</x:v>
      </x:c>
      <x:c r="P185" s="5" t="str">
        <x:v>Lunch</x:v>
      </x:c>
      <x:c r="Q185" s="48" t="n">
        <x:v>14</x:v>
      </x:c>
      <x:c r="R185" s="5" t="n">
        <x:v>5</x:v>
      </x:c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5" t="str">
        <x:v>ORD-01191</x:v>
      </x:c>
      <x:c r="B186" s="43" t="n">
        <x:v>46046</x:v>
      </x:c>
      <x:c r="C186" s="5" t="str">
        <x:v>CUST-0260</x:v>
      </x:c>
      <x:c r="D186" s="5" t="str">
        <x:v>FD003</x:v>
      </x:c>
      <x:c r="E186" s="5" t="str">
        <x:v>Fried Rice &amp; Chicken</x:v>
      </x:c>
      <x:c r="F186" s="5" t="str">
        <x:v>Rice Meals</x:v>
      </x:c>
      <x:c r="G186" s="44" t="n">
        <x:v>1</x:v>
      </x:c>
      <x:c r="H186" s="45" t="n">
        <x:v>3000</x:v>
      </x:c>
      <x:c r="I186" s="46" t="n">
        <x:v>0</x:v>
      </x:c>
      <x:c r="J186" s="47" t="n">
        <x:f>G186*H186*(1-I186)</x:f>
        <x:v>3000</x:v>
      </x:c>
      <x:c r="K186" s="47" t="n">
        <x:v>1580</x:v>
      </x:c>
      <x:c r="L186" s="47" t="n">
        <x:f>G186*K186</x:f>
        <x:v>1580</x:v>
      </x:c>
      <x:c r="M186" s="47" t="n">
        <x:f>J186-L186</x:f>
        <x:v>1420</x:v>
      </x:c>
      <x:c r="N186" s="5" t="str">
        <x:v>Walk-in</x:v>
      </x:c>
      <x:c r="O186" s="5" t="str">
        <x:v>Cash</x:v>
      </x:c>
      <x:c r="P186" s="5" t="str">
        <x:v>Lunch</x:v>
      </x:c>
      <x:c r="Q186" s="48" t="n">
        <x:v>11</x:v>
      </x:c>
      <x:c r="R186" s="5" t="n">
        <x:v>4</x:v>
      </x:c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5" t="str">
        <x:v>ORD-01411</x:v>
      </x:c>
      <x:c r="B187" s="43" t="n">
        <x:v>46046</x:v>
      </x:c>
      <x:c r="C187" s="5" t="str">
        <x:v>CUST-0607</x:v>
      </x:c>
      <x:c r="D187" s="5" t="str">
        <x:v>FD005</x:v>
      </x:c>
      <x:c r="E187" s="5" t="str">
        <x:v>Yam Porridge</x:v>
      </x:c>
      <x:c r="F187" s="5" t="str">
        <x:v>Traditional Meals</x:v>
      </x:c>
      <x:c r="G187" s="44" t="n">
        <x:v>2</x:v>
      </x:c>
      <x:c r="H187" s="45" t="n">
        <x:v>2200</x:v>
      </x:c>
      <x:c r="I187" s="46" t="n">
        <x:v>0</x:v>
      </x:c>
      <x:c r="J187" s="47" t="n">
        <x:f>G187*H187*(1-I187)</x:f>
        <x:v>4400</x:v>
      </x:c>
      <x:c r="K187" s="47" t="n">
        <x:v>1050</x:v>
      </x:c>
      <x:c r="L187" s="47" t="n">
        <x:f>G187*K187</x:f>
        <x:v>2100</x:v>
      </x:c>
      <x:c r="M187" s="47" t="n">
        <x:f>J187-L187</x:f>
        <x:v>2300</x:v>
      </x:c>
      <x:c r="N187" s="5" t="str">
        <x:v>Walk-in</x:v>
      </x:c>
      <x:c r="O187" s="5" t="str">
        <x:v>Transfer</x:v>
      </x:c>
      <x:c r="P187" s="5" t="str">
        <x:v>Lunch</x:v>
      </x:c>
      <x:c r="Q187" s="48" t="n">
        <x:v>11</x:v>
      </x:c>
      <x:c r="R187" s="5" t="n">
        <x:v>3</x:v>
      </x:c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5" t="str">
        <x:v>ORD-01700</x:v>
      </x:c>
      <x:c r="B188" s="43" t="n">
        <x:v>46046</x:v>
      </x:c>
      <x:c r="C188" s="5" t="str">
        <x:v>CUST-0439</x:v>
      </x:c>
      <x:c r="D188" s="5" t="str">
        <x:v>FD007</x:v>
      </x:c>
      <x:c r="E188" s="5" t="str">
        <x:v>Amala &amp; Ewedu</x:v>
      </x:c>
      <x:c r="F188" s="5" t="str">
        <x:v>Swallow</x:v>
      </x:c>
      <x:c r="G188" s="44" t="n">
        <x:v>4</x:v>
      </x:c>
      <x:c r="H188" s="45" t="n">
        <x:v>2500</x:v>
      </x:c>
      <x:c r="I188" s="46" t="n">
        <x:v>0</x:v>
      </x:c>
      <x:c r="J188" s="47" t="n">
        <x:f>G188*H188*(1-I188)</x:f>
        <x:v>10000</x:v>
      </x:c>
      <x:c r="K188" s="47" t="n">
        <x:v>1250</x:v>
      </x:c>
      <x:c r="L188" s="47" t="n">
        <x:f>G188*K188</x:f>
        <x:v>5000</x:v>
      </x:c>
      <x:c r="M188" s="47" t="n">
        <x:f>J188-L188</x:f>
        <x:v>5000</x:v>
      </x:c>
      <x:c r="N188" s="5" t="str">
        <x:v>Walk-in</x:v>
      </x:c>
      <x:c r="O188" s="5" t="str">
        <x:v>POS</x:v>
      </x:c>
      <x:c r="P188" s="5" t="str">
        <x:v>Breakfast</x:v>
      </x:c>
      <x:c r="Q188" s="48" t="n">
        <x:v>10</x:v>
      </x:c>
      <x:c r="R188" s="5" t="n">
        <x:v>5</x:v>
      </x:c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5" t="str">
        <x:v>ORD-00007</x:v>
      </x:c>
      <x:c r="B189" s="43" t="n">
        <x:v>46047</x:v>
      </x:c>
      <x:c r="C189" s="5" t="str">
        <x:v>CUST-0281</x:v>
      </x:c>
      <x:c r="D189" s="5" t="str">
        <x:v>FD010</x:v>
      </x:c>
      <x:c r="E189" s="5" t="str">
        <x:v>Soft Drink</x:v>
      </x:c>
      <x:c r="F189" s="5" t="str">
        <x:v>Beverages</x:v>
      </x:c>
      <x:c r="G189" s="44" t="n">
        <x:v>4</x:v>
      </x:c>
      <x:c r="H189" s="45" t="n">
        <x:v>600</x:v>
      </x:c>
      <x:c r="I189" s="46" t="n">
        <x:v>0</x:v>
      </x:c>
      <x:c r="J189" s="47" t="n">
        <x:f>G189*H189*(1-I189)</x:f>
        <x:v>2400</x:v>
      </x:c>
      <x:c r="K189" s="47" t="n">
        <x:v>280</x:v>
      </x:c>
      <x:c r="L189" s="47" t="n">
        <x:f>G189*K189</x:f>
        <x:v>1120</x:v>
      </x:c>
      <x:c r="M189" s="47" t="n">
        <x:f>J189-L189</x:f>
        <x:v>1280</x:v>
      </x:c>
      <x:c r="N189" s="5" t="str">
        <x:v>Walk-in</x:v>
      </x:c>
      <x:c r="O189" s="5" t="str">
        <x:v>Cash</x:v>
      </x:c>
      <x:c r="P189" s="5" t="str">
        <x:v>Lunch</x:v>
      </x:c>
      <x:c r="Q189" s="48" t="n">
        <x:v>12</x:v>
      </x:c>
      <x:c r="R189" s="5" t="n">
        <x:v>5</x:v>
      </x:c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5" t="str">
        <x:v>ORD-01289</x:v>
      </x:c>
      <x:c r="B190" s="43" t="n">
        <x:v>46047</x:v>
      </x:c>
      <x:c r="C190" s="5" t="str">
        <x:v>CUST-0558</x:v>
      </x:c>
      <x:c r="D190" s="5" t="str">
        <x:v>FD004</x:v>
      </x:c>
      <x:c r="E190" s="5" t="str">
        <x:v>Beans &amp; Plantain</x:v>
      </x:c>
      <x:c r="F190" s="5" t="str">
        <x:v>Traditional Meals</x:v>
      </x:c>
      <x:c r="G190" s="44" t="n">
        <x:v>1</x:v>
      </x:c>
      <x:c r="H190" s="45" t="n">
        <x:v>2000</x:v>
      </x:c>
      <x:c r="I190" s="46" t="n">
        <x:v>0</x:v>
      </x:c>
      <x:c r="J190" s="47" t="n">
        <x:f>G190*H190*(1-I190)</x:f>
        <x:v>2000</x:v>
      </x:c>
      <x:c r="K190" s="47" t="n">
        <x:v>960</x:v>
      </x:c>
      <x:c r="L190" s="47" t="n">
        <x:f>G190*K190</x:f>
        <x:v>960</x:v>
      </x:c>
      <x:c r="M190" s="47" t="n">
        <x:f>J190-L190</x:f>
        <x:v>1040</x:v>
      </x:c>
      <x:c r="N190" s="5" t="str">
        <x:v>Walk-in</x:v>
      </x:c>
      <x:c r="O190" s="5" t="str">
        <x:v>Cash</x:v>
      </x:c>
      <x:c r="P190" s="5" t="str">
        <x:v>Breakfast</x:v>
      </x:c>
      <x:c r="Q190" s="48" t="n">
        <x:v>10</x:v>
      </x:c>
      <x:c r="R190" s="5" t="n">
        <x:v>4</x:v>
      </x:c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5" t="str">
        <x:v>ORD-00042</x:v>
      </x:c>
      <x:c r="B191" s="43" t="n">
        <x:v>46048</x:v>
      </x:c>
      <x:c r="C191" s="5" t="str">
        <x:v>CUST-0143</x:v>
      </x:c>
      <x:c r="D191" s="5" t="str">
        <x:v>FD003</x:v>
      </x:c>
      <x:c r="E191" s="5" t="str">
        <x:v>Fried Rice &amp; Chicken</x:v>
      </x:c>
      <x:c r="F191" s="5" t="str">
        <x:v>Rice Meals</x:v>
      </x:c>
      <x:c r="G191" s="44" t="n">
        <x:v>1</x:v>
      </x:c>
      <x:c r="H191" s="45" t="n">
        <x:v>3000</x:v>
      </x:c>
      <x:c r="I191" s="46" t="n">
        <x:v>0</x:v>
      </x:c>
      <x:c r="J191" s="47" t="n">
        <x:f>G191*H191*(1-I191)</x:f>
        <x:v>3000</x:v>
      </x:c>
      <x:c r="K191" s="47" t="n">
        <x:v>1580</x:v>
      </x:c>
      <x:c r="L191" s="47" t="n">
        <x:f>G191*K191</x:f>
        <x:v>1580</x:v>
      </x:c>
      <x:c r="M191" s="47" t="n">
        <x:f>J191-L191</x:f>
        <x:v>1420</x:v>
      </x:c>
      <x:c r="N191" s="5" t="str">
        <x:v>Walk-in</x:v>
      </x:c>
      <x:c r="O191" s="5" t="str">
        <x:v>Transfer</x:v>
      </x:c>
      <x:c r="P191" s="5" t="str">
        <x:v>Lunch</x:v>
      </x:c>
      <x:c r="Q191" s="48" t="n">
        <x:v>14</x:v>
      </x:c>
      <x:c r="R191" s="5" t="n">
        <x:v>4</x:v>
      </x:c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5" t="str">
        <x:v>ORD-00657</x:v>
      </x:c>
      <x:c r="B192" s="43" t="n">
        <x:v>46048</x:v>
      </x:c>
      <x:c r="C192" s="5" t="str">
        <x:v>CUST-0317</x:v>
      </x:c>
      <x:c r="D192" s="5" t="str">
        <x:v>FD009</x:v>
      </x:c>
      <x:c r="E192" s="5" t="str">
        <x:v>Moi Moi</x:v>
      </x:c>
      <x:c r="F192" s="5" t="str">
        <x:v>Sides</x:v>
      </x:c>
      <x:c r="G192" s="44" t="n">
        <x:v>3</x:v>
      </x:c>
      <x:c r="H192" s="45" t="n">
        <x:v>900</x:v>
      </x:c>
      <x:c r="I192" s="46" t="n">
        <x:v>0</x:v>
      </x:c>
      <x:c r="J192" s="47" t="n">
        <x:f>G192*H192*(1-I192)</x:f>
        <x:v>2700</x:v>
      </x:c>
      <x:c r="K192" s="47" t="n">
        <x:v>380</x:v>
      </x:c>
      <x:c r="L192" s="47" t="n">
        <x:f>G192*K192</x:f>
        <x:v>1140</x:v>
      </x:c>
      <x:c r="M192" s="47" t="n">
        <x:f>J192-L192</x:f>
        <x:v>1560</x:v>
      </x:c>
      <x:c r="N192" s="5" t="str">
        <x:v>Delivery</x:v>
      </x:c>
      <x:c r="O192" s="5" t="str">
        <x:v>Transfer</x:v>
      </x:c>
      <x:c r="P192" s="5" t="str">
        <x:v>Breakfast</x:v>
      </x:c>
      <x:c r="Q192" s="48" t="n">
        <x:v>8</x:v>
      </x:c>
      <x:c r="R192" s="5" t="n">
        <x:v>3</x:v>
      </x:c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5" t="str">
        <x:v>ORD-00900</x:v>
      </x:c>
      <x:c r="B193" s="43" t="n">
        <x:v>46048</x:v>
      </x:c>
      <x:c r="C193" s="5" t="str">
        <x:v>CUST-0088</x:v>
      </x:c>
      <x:c r="D193" s="5" t="str">
        <x:v>FD007</x:v>
      </x:c>
      <x:c r="E193" s="5" t="str">
        <x:v>Amala &amp; Ewedu</x:v>
      </x:c>
      <x:c r="F193" s="5" t="str">
        <x:v>Swallow</x:v>
      </x:c>
      <x:c r="G193" s="44" t="n">
        <x:v>4</x:v>
      </x:c>
      <x:c r="H193" s="45" t="n">
        <x:v>2500</x:v>
      </x:c>
      <x:c r="I193" s="46" t="n">
        <x:v>0</x:v>
      </x:c>
      <x:c r="J193" s="47" t="n">
        <x:f>G193*H193*(1-I193)</x:f>
        <x:v>10000</x:v>
      </x:c>
      <x:c r="K193" s="47" t="n">
        <x:v>1250</x:v>
      </x:c>
      <x:c r="L193" s="47" t="n">
        <x:f>G193*K193</x:f>
        <x:v>5000</x:v>
      </x:c>
      <x:c r="M193" s="47" t="n">
        <x:f>J193-L193</x:f>
        <x:v>5000</x:v>
      </x:c>
      <x:c r="N193" s="5" t="str">
        <x:v>Walk-in</x:v>
      </x:c>
      <x:c r="O193" s="5" t="str">
        <x:v>POS</x:v>
      </x:c>
      <x:c r="P193" s="5" t="str">
        <x:v>Dinner</x:v>
      </x:c>
      <x:c r="Q193" s="48" t="n">
        <x:v>18</x:v>
      </x:c>
      <x:c r="R193" s="5" t="n">
        <x:v>4</x:v>
      </x:c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5" t="str">
        <x:v>ORD-01060</x:v>
      </x:c>
      <x:c r="B194" s="43" t="n">
        <x:v>46048</x:v>
      </x:c>
      <x:c r="C194" s="5" t="str">
        <x:v>CUST-0121</x:v>
      </x:c>
      <x:c r="D194" s="5" t="str">
        <x:v>FD006</x:v>
      </x:c>
      <x:c r="E194" s="5" t="str">
        <x:v>Eba &amp; Egusi Soup</x:v>
      </x:c>
      <x:c r="F194" s="5" t="str">
        <x:v>Swallow</x:v>
      </x:c>
      <x:c r="G194" s="44" t="n">
        <x:v>3</x:v>
      </x:c>
      <x:c r="H194" s="45" t="n">
        <x:v>2600</x:v>
      </x:c>
      <x:c r="I194" s="46" t="n">
        <x:v>0</x:v>
      </x:c>
      <x:c r="J194" s="47" t="n">
        <x:f>G194*H194*(1-I194)</x:f>
        <x:v>7800</x:v>
      </x:c>
      <x:c r="K194" s="47" t="n">
        <x:v>1320</x:v>
      </x:c>
      <x:c r="L194" s="47" t="n">
        <x:f>G194*K194</x:f>
        <x:v>3960</x:v>
      </x:c>
      <x:c r="M194" s="47" t="n">
        <x:f>J194-L194</x:f>
        <x:v>3840</x:v>
      </x:c>
      <x:c r="N194" s="5" t="str">
        <x:v>Delivery</x:v>
      </x:c>
      <x:c r="O194" s="5" t="str">
        <x:v>Transfer</x:v>
      </x:c>
      <x:c r="P194" s="5" t="str">
        <x:v>Dinner</x:v>
      </x:c>
      <x:c r="Q194" s="48" t="n">
        <x:v>17</x:v>
      </x:c>
      <x:c r="R194" s="5" t="n">
        <x:v>5</x:v>
      </x:c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5" t="str">
        <x:v>ORD-01073</x:v>
      </x:c>
      <x:c r="B195" s="43" t="n">
        <x:v>46048</x:v>
      </x:c>
      <x:c r="C195" s="5" t="str">
        <x:v>CUST-0309</x:v>
      </x:c>
      <x:c r="D195" s="5" t="str">
        <x:v>FD010</x:v>
      </x:c>
      <x:c r="E195" s="5" t="str">
        <x:v>Soft Drink</x:v>
      </x:c>
      <x:c r="F195" s="5" t="str">
        <x:v>Beverages</x:v>
      </x:c>
      <x:c r="G195" s="44" t="n">
        <x:v>1</x:v>
      </x:c>
      <x:c r="H195" s="45" t="n">
        <x:v>600</x:v>
      </x:c>
      <x:c r="I195" s="46" t="n">
        <x:v>0</x:v>
      </x:c>
      <x:c r="J195" s="47" t="n">
        <x:f>G195*H195*(1-I195)</x:f>
        <x:v>600</x:v>
      </x:c>
      <x:c r="K195" s="47" t="n">
        <x:v>280</x:v>
      </x:c>
      <x:c r="L195" s="47" t="n">
        <x:f>G195*K195</x:f>
        <x:v>280</x:v>
      </x:c>
      <x:c r="M195" s="47" t="n">
        <x:f>J195-L195</x:f>
        <x:v>320</x:v>
      </x:c>
      <x:c r="N195" s="5" t="str">
        <x:v>Walk-in</x:v>
      </x:c>
      <x:c r="O195" s="5" t="str">
        <x:v>Transfer</x:v>
      </x:c>
      <x:c r="P195" s="5" t="str">
        <x:v>Dinner</x:v>
      </x:c>
      <x:c r="Q195" s="48" t="n">
        <x:v>18</x:v>
      </x:c>
      <x:c r="R195" s="5" t="n">
        <x:v>3</x:v>
      </x:c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5" t="str">
        <x:v>ORD-01139</x:v>
      </x:c>
      <x:c r="B196" s="43" t="n">
        <x:v>46048</x:v>
      </x:c>
      <x:c r="C196" s="5" t="str">
        <x:v>CUST-0488</x:v>
      </x:c>
      <x:c r="D196" s="5" t="str">
        <x:v>FD011</x:v>
      </x:c>
      <x:c r="E196" s="5" t="str">
        <x:v>Bottled Water</x:v>
      </x:c>
      <x:c r="F196" s="5" t="str">
        <x:v>Beverages</x:v>
      </x:c>
      <x:c r="G196" s="44" t="n">
        <x:v>4</x:v>
      </x:c>
      <x:c r="H196" s="45" t="n">
        <x:v>300</x:v>
      </x:c>
      <x:c r="I196" s="46" t="n">
        <x:v>0</x:v>
      </x:c>
      <x:c r="J196" s="47" t="n">
        <x:f>G196*H196*(1-I196)</x:f>
        <x:v>1200</x:v>
      </x:c>
      <x:c r="K196" s="47" t="n">
        <x:v>120</x:v>
      </x:c>
      <x:c r="L196" s="47" t="n">
        <x:f>G196*K196</x:f>
        <x:v>480</x:v>
      </x:c>
      <x:c r="M196" s="47" t="n">
        <x:f>J196-L196</x:f>
        <x:v>720</x:v>
      </x:c>
      <x:c r="N196" s="5" t="str">
        <x:v>Walk-in</x:v>
      </x:c>
      <x:c r="O196" s="5" t="str">
        <x:v>Cash</x:v>
      </x:c>
      <x:c r="P196" s="5" t="str">
        <x:v>Dinner</x:v>
      </x:c>
      <x:c r="Q196" s="48" t="n">
        <x:v>16</x:v>
      </x:c>
      <x:c r="R196" s="5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5" t="str">
        <x:v>ORD-01369</x:v>
      </x:c>
      <x:c r="B197" s="43" t="n">
        <x:v>46048</x:v>
      </x:c>
      <x:c r="C197" s="5" t="str">
        <x:v>CUST-0483</x:v>
      </x:c>
      <x:c r="D197" s="5" t="str">
        <x:v>FD003</x:v>
      </x:c>
      <x:c r="E197" s="5" t="str">
        <x:v>Fried Rice &amp; Chicken</x:v>
      </x:c>
      <x:c r="F197" s="5" t="str">
        <x:v>Rice Meals</x:v>
      </x:c>
      <x:c r="G197" s="44" t="n">
        <x:v>3</x:v>
      </x:c>
      <x:c r="H197" s="45" t="n">
        <x:v>3000</x:v>
      </x:c>
      <x:c r="I197" s="46" t="n">
        <x:v>0</x:v>
      </x:c>
      <x:c r="J197" s="47" t="n">
        <x:f>G197*H197*(1-I197)</x:f>
        <x:v>9000</x:v>
      </x:c>
      <x:c r="K197" s="47" t="n">
        <x:v>1580</x:v>
      </x:c>
      <x:c r="L197" s="47" t="n">
        <x:f>G197*K197</x:f>
        <x:v>4740</x:v>
      </x:c>
      <x:c r="M197" s="47" t="n">
        <x:f>J197-L197</x:f>
        <x:v>4260</x:v>
      </x:c>
      <x:c r="N197" s="5" t="str">
        <x:v>Takeaway</x:v>
      </x:c>
      <x:c r="O197" s="5" t="str">
        <x:v>Transfer</x:v>
      </x:c>
      <x:c r="P197" s="5" t="str">
        <x:v>Lunch</x:v>
      </x:c>
      <x:c r="Q197" s="48" t="n">
        <x:v>13</x:v>
      </x:c>
      <x:c r="R197" s="5" t="n">
        <x:v>4</x:v>
      </x:c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5" t="str">
        <x:v>ORD-01520</x:v>
      </x:c>
      <x:c r="B198" s="43" t="n">
        <x:v>46048</x:v>
      </x:c>
      <x:c r="C198" s="5" t="str">
        <x:v>CUST-0532</x:v>
      </x:c>
      <x:c r="D198" s="5" t="str">
        <x:v>FD003</x:v>
      </x:c>
      <x:c r="E198" s="5" t="str">
        <x:v>Fried Rice &amp; Chicken</x:v>
      </x:c>
      <x:c r="F198" s="5" t="str">
        <x:v>Rice Meals</x:v>
      </x:c>
      <x:c r="G198" s="44" t="n">
        <x:v>4</x:v>
      </x:c>
      <x:c r="H198" s="45" t="n">
        <x:v>3000</x:v>
      </x:c>
      <x:c r="I198" s="46" t="n">
        <x:v>0</x:v>
      </x:c>
      <x:c r="J198" s="47" t="n">
        <x:f>G198*H198*(1-I198)</x:f>
        <x:v>12000</x:v>
      </x:c>
      <x:c r="K198" s="47" t="n">
        <x:v>1580</x:v>
      </x:c>
      <x:c r="L198" s="47" t="n">
        <x:f>G198*K198</x:f>
        <x:v>6320</x:v>
      </x:c>
      <x:c r="M198" s="47" t="n">
        <x:f>J198-L198</x:f>
        <x:v>5680</x:v>
      </x:c>
      <x:c r="N198" s="5" t="str">
        <x:v>Takeaway</x:v>
      </x:c>
      <x:c r="O198" s="5" t="str">
        <x:v>Cash</x:v>
      </x:c>
      <x:c r="P198" s="5" t="str">
        <x:v>Dinner</x:v>
      </x:c>
      <x:c r="Q198" s="48" t="n">
        <x:v>20</x:v>
      </x:c>
      <x:c r="R198" s="5" t="n">
        <x:v>5</x:v>
      </x:c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5" t="str">
        <x:v>ORD-00296</x:v>
      </x:c>
      <x:c r="B199" s="43" t="n">
        <x:v>46049</x:v>
      </x:c>
      <x:c r="C199" s="5" t="str">
        <x:v>CUST-0215</x:v>
      </x:c>
      <x:c r="D199" s="5" t="str">
        <x:v>FD001</x:v>
      </x:c>
      <x:c r="E199" s="5" t="str">
        <x:v>White Rice &amp; Stew</x:v>
      </x:c>
      <x:c r="F199" s="5" t="str">
        <x:v>Rice Meals</x:v>
      </x:c>
      <x:c r="G199" s="44" t="n">
        <x:v>4</x:v>
      </x:c>
      <x:c r="H199" s="45" t="n">
        <x:v>1800</x:v>
      </x:c>
      <x:c r="I199" s="46" t="n">
        <x:v>0</x:v>
      </x:c>
      <x:c r="J199" s="47" t="n">
        <x:f>G199*H199*(1-I199)</x:f>
        <x:v>7200</x:v>
      </x:c>
      <x:c r="K199" s="47" t="n">
        <x:v>820</x:v>
      </x:c>
      <x:c r="L199" s="47" t="n">
        <x:f>G199*K199</x:f>
        <x:v>3280</x:v>
      </x:c>
      <x:c r="M199" s="47" t="n">
        <x:f>J199-L199</x:f>
        <x:v>3920</x:v>
      </x:c>
      <x:c r="N199" s="5" t="str">
        <x:v>Takeaway</x:v>
      </x:c>
      <x:c r="O199" s="5" t="str">
        <x:v>Transfer</x:v>
      </x:c>
      <x:c r="P199" s="5" t="str">
        <x:v>Lunch</x:v>
      </x:c>
      <x:c r="Q199" s="48" t="n">
        <x:v>11</x:v>
      </x:c>
      <x:c r="R199" s="5" t="n">
        <x:v>5</x:v>
      </x:c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5" t="str">
        <x:v>ORD-00330</x:v>
      </x:c>
      <x:c r="B200" s="43" t="n">
        <x:v>46049</x:v>
      </x:c>
      <x:c r="C200" s="5" t="str">
        <x:v>CUST-0492</x:v>
      </x:c>
      <x:c r="D200" s="5" t="str">
        <x:v>FD008</x:v>
      </x:c>
      <x:c r="E200" s="5" t="str">
        <x:v>Pounded Yam &amp; Vegetable Soup</x:v>
      </x:c>
      <x:c r="F200" s="5" t="str">
        <x:v>Swallow</x:v>
      </x:c>
      <x:c r="G200" s="44" t="n">
        <x:v>2</x:v>
      </x:c>
      <x:c r="H200" s="45" t="n">
        <x:v>3200</x:v>
      </x:c>
      <x:c r="I200" s="46" t="n">
        <x:v>0</x:v>
      </x:c>
      <x:c r="J200" s="47" t="n">
        <x:f>G200*H200*(1-I200)</x:f>
        <x:v>6400</x:v>
      </x:c>
      <x:c r="K200" s="47" t="n">
        <x:v>1710</x:v>
      </x:c>
      <x:c r="L200" s="47" t="n">
        <x:f>G200*K200</x:f>
        <x:v>3420</x:v>
      </x:c>
      <x:c r="M200" s="47" t="n">
        <x:f>J200-L200</x:f>
        <x:v>2980</x:v>
      </x:c>
      <x:c r="N200" s="5" t="str">
        <x:v>Walk-in</x:v>
      </x:c>
      <x:c r="O200" s="5" t="str">
        <x:v>POS</x:v>
      </x:c>
      <x:c r="P200" s="5" t="str">
        <x:v>Breakfast</x:v>
      </x:c>
      <x:c r="Q200" s="48" t="n">
        <x:v>8</x:v>
      </x:c>
      <x:c r="R200" s="5" t="n">
        <x:v>5</x:v>
      </x:c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5" t="str">
        <x:v>ORD-00379</x:v>
      </x:c>
      <x:c r="B201" s="43" t="n">
        <x:v>46049</x:v>
      </x:c>
      <x:c r="C201" s="5" t="str">
        <x:v>CUST-0419</x:v>
      </x:c>
      <x:c r="D201" s="5" t="str">
        <x:v>FD002</x:v>
      </x:c>
      <x:c r="E201" s="5" t="str">
        <x:v>Jollof Rice &amp; Chicken</x:v>
      </x:c>
      <x:c r="F201" s="5" t="str">
        <x:v>Rice Meals</x:v>
      </x:c>
      <x:c r="G201" s="44" t="n">
        <x:v>1</x:v>
      </x:c>
      <x:c r="H201" s="45" t="n">
        <x:v>2800</x:v>
      </x:c>
      <x:c r="I201" s="46" t="n">
        <x:v>0</x:v>
      </x:c>
      <x:c r="J201" s="47" t="n">
        <x:f>G201*H201*(1-I201)</x:f>
        <x:v>2800</x:v>
      </x:c>
      <x:c r="K201" s="47" t="n">
        <x:v>1450</x:v>
      </x:c>
      <x:c r="L201" s="47" t="n">
        <x:f>G201*K201</x:f>
        <x:v>1450</x:v>
      </x:c>
      <x:c r="M201" s="47" t="n">
        <x:f>J201-L201</x:f>
        <x:v>1350</x:v>
      </x:c>
      <x:c r="N201" s="5" t="str">
        <x:v>Walk-in</x:v>
      </x:c>
      <x:c r="O201" s="5" t="str">
        <x:v>Cash</x:v>
      </x:c>
      <x:c r="P201" s="5" t="str">
        <x:v>Dinner</x:v>
      </x:c>
      <x:c r="Q201" s="48" t="n">
        <x:v>18</x:v>
      </x:c>
      <x:c r="R201" s="5" t="n">
        <x:v>5</x:v>
      </x:c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5" t="str">
        <x:v>ORD-00415</x:v>
      </x:c>
      <x:c r="B202" s="43" t="n">
        <x:v>46049</x:v>
      </x:c>
      <x:c r="C202" s="5" t="str">
        <x:v>CUST-0443</x:v>
      </x:c>
      <x:c r="D202" s="5" t="str">
        <x:v>FD006</x:v>
      </x:c>
      <x:c r="E202" s="5" t="str">
        <x:v>Eba &amp; Egusi Soup</x:v>
      </x:c>
      <x:c r="F202" s="5" t="str">
        <x:v>Swallow</x:v>
      </x:c>
      <x:c r="G202" s="44" t="n">
        <x:v>4</x:v>
      </x:c>
      <x:c r="H202" s="45" t="n">
        <x:v>2600</x:v>
      </x:c>
      <x:c r="I202" s="46" t="n">
        <x:v>0</x:v>
      </x:c>
      <x:c r="J202" s="47" t="n">
        <x:f>G202*H202*(1-I202)</x:f>
        <x:v>10400</x:v>
      </x:c>
      <x:c r="K202" s="47" t="n">
        <x:v>1320</x:v>
      </x:c>
      <x:c r="L202" s="47" t="n">
        <x:f>G202*K202</x:f>
        <x:v>5280</x:v>
      </x:c>
      <x:c r="M202" s="47" t="n">
        <x:f>J202-L202</x:f>
        <x:v>5120</x:v>
      </x:c>
      <x:c r="N202" s="5" t="str">
        <x:v>Walk-in</x:v>
      </x:c>
      <x:c r="O202" s="5" t="str">
        <x:v>Transfer</x:v>
      </x:c>
      <x:c r="P202" s="5" t="str">
        <x:v>Lunch</x:v>
      </x:c>
      <x:c r="Q202" s="48" t="n">
        <x:v>12</x:v>
      </x:c>
      <x:c r="R202" s="5" t="n">
        <x:v>3</x:v>
      </x:c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5" t="str">
        <x:v>ORD-00479</x:v>
      </x:c>
      <x:c r="B203" s="43" t="n">
        <x:v>46049</x:v>
      </x:c>
      <x:c r="C203" s="5" t="str">
        <x:v>CUST-0476</x:v>
      </x:c>
      <x:c r="D203" s="5" t="str">
        <x:v>FD005</x:v>
      </x:c>
      <x:c r="E203" s="5" t="str">
        <x:v>Yam Porridge</x:v>
      </x:c>
      <x:c r="F203" s="5" t="str">
        <x:v>Traditional Meals</x:v>
      </x:c>
      <x:c r="G203" s="44" t="n">
        <x:v>3</x:v>
      </x:c>
      <x:c r="H203" s="45" t="n">
        <x:v>2200</x:v>
      </x:c>
      <x:c r="I203" s="46" t="n">
        <x:v>0</x:v>
      </x:c>
      <x:c r="J203" s="47" t="n">
        <x:f>G203*H203*(1-I203)</x:f>
        <x:v>6600</x:v>
      </x:c>
      <x:c r="K203" s="47" t="n">
        <x:v>1050</x:v>
      </x:c>
      <x:c r="L203" s="47" t="n">
        <x:f>G203*K203</x:f>
        <x:v>3150</x:v>
      </x:c>
      <x:c r="M203" s="47" t="n">
        <x:f>J203-L203</x:f>
        <x:v>3450</x:v>
      </x:c>
      <x:c r="N203" s="5" t="str">
        <x:v>Walk-in</x:v>
      </x:c>
      <x:c r="O203" s="5" t="str">
        <x:v>POS</x:v>
      </x:c>
      <x:c r="P203" s="5" t="str">
        <x:v>Breakfast</x:v>
      </x:c>
      <x:c r="Q203" s="48" t="n">
        <x:v>8</x:v>
      </x:c>
      <x:c r="R203" s="5" t="n">
        <x:v>4</x:v>
      </x:c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5" t="str">
        <x:v>ORD-00873</x:v>
      </x:c>
      <x:c r="B204" s="43" t="n">
        <x:v>46049</x:v>
      </x:c>
      <x:c r="C204" s="5" t="str">
        <x:v>CUST-0339</x:v>
      </x:c>
      <x:c r="D204" s="5" t="str">
        <x:v>FD002</x:v>
      </x:c>
      <x:c r="E204" s="5" t="str">
        <x:v>Jollof Rice &amp; Chicken</x:v>
      </x:c>
      <x:c r="F204" s="5" t="str">
        <x:v>Rice Meals</x:v>
      </x:c>
      <x:c r="G204" s="44" t="n">
        <x:v>1</x:v>
      </x:c>
      <x:c r="H204" s="45" t="n">
        <x:v>2800</x:v>
      </x:c>
      <x:c r="I204" s="46" t="n">
        <x:v>0</x:v>
      </x:c>
      <x:c r="J204" s="47" t="n">
        <x:f>G204*H204*(1-I204)</x:f>
        <x:v>2800</x:v>
      </x:c>
      <x:c r="K204" s="47" t="n">
        <x:v>1450</x:v>
      </x:c>
      <x:c r="L204" s="47" t="n">
        <x:f>G204*K204</x:f>
        <x:v>1450</x:v>
      </x:c>
      <x:c r="M204" s="47" t="n">
        <x:f>J204-L204</x:f>
        <x:v>1350</x:v>
      </x:c>
      <x:c r="N204" s="5" t="str">
        <x:v>Walk-in</x:v>
      </x:c>
      <x:c r="O204" s="5" t="str">
        <x:v>Cash</x:v>
      </x:c>
      <x:c r="P204" s="5" t="str">
        <x:v>Lunch</x:v>
      </x:c>
      <x:c r="Q204" s="48" t="n">
        <x:v>14</x:v>
      </x:c>
      <x:c r="R204" s="5" t="n">
        <x:v>5</x:v>
      </x:c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5" t="str">
        <x:v>ORD-01134</x:v>
      </x:c>
      <x:c r="B205" s="43" t="n">
        <x:v>46049</x:v>
      </x:c>
      <x:c r="C205" s="5" t="str">
        <x:v>CUST-0242</x:v>
      </x:c>
      <x:c r="D205" s="5" t="str">
        <x:v>FD001</x:v>
      </x:c>
      <x:c r="E205" s="5" t="str">
        <x:v>White Rice &amp; Stew</x:v>
      </x:c>
      <x:c r="F205" s="5" t="str">
        <x:v>Rice Meals</x:v>
      </x:c>
      <x:c r="G205" s="44" t="n">
        <x:v>2</x:v>
      </x:c>
      <x:c r="H205" s="45" t="n">
        <x:v>1800</x:v>
      </x:c>
      <x:c r="I205" s="46" t="n">
        <x:v>0.05</x:v>
      </x:c>
      <x:c r="J205" s="47" t="n">
        <x:f>G205*H205*(1-I205)</x:f>
        <x:v>3420</x:v>
      </x:c>
      <x:c r="K205" s="47" t="n">
        <x:v>820</x:v>
      </x:c>
      <x:c r="L205" s="47" t="n">
        <x:f>G205*K205</x:f>
        <x:v>1640</x:v>
      </x:c>
      <x:c r="M205" s="47" t="n">
        <x:f>J205-L205</x:f>
        <x:v>1780</x:v>
      </x:c>
      <x:c r="N205" s="5" t="str">
        <x:v>Walk-in</x:v>
      </x:c>
      <x:c r="O205" s="5" t="str">
        <x:v>Transfer</x:v>
      </x:c>
      <x:c r="P205" s="5" t="str">
        <x:v>Breakfast</x:v>
      </x:c>
      <x:c r="Q205" s="48" t="n">
        <x:v>9</x:v>
      </x:c>
      <x:c r="R205" s="5" t="n">
        <x:v>5</x:v>
      </x:c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5" t="str">
        <x:v>ORD-01334</x:v>
      </x:c>
      <x:c r="B206" s="43" t="n">
        <x:v>46049</x:v>
      </x:c>
      <x:c r="C206" s="5" t="str">
        <x:v>CUST-0092</x:v>
      </x:c>
      <x:c r="D206" s="5" t="str">
        <x:v>FD005</x:v>
      </x:c>
      <x:c r="E206" s="5" t="str">
        <x:v>Yam Porridge</x:v>
      </x:c>
      <x:c r="F206" s="5" t="str">
        <x:v>Traditional Meals</x:v>
      </x:c>
      <x:c r="G206" s="44" t="n">
        <x:v>4</x:v>
      </x:c>
      <x:c r="H206" s="45" t="n">
        <x:v>2200</x:v>
      </x:c>
      <x:c r="I206" s="46" t="n">
        <x:v>0</x:v>
      </x:c>
      <x:c r="J206" s="47" t="n">
        <x:f>G206*H206*(1-I206)</x:f>
        <x:v>8800</x:v>
      </x:c>
      <x:c r="K206" s="47" t="n">
        <x:v>1050</x:v>
      </x:c>
      <x:c r="L206" s="47" t="n">
        <x:f>G206*K206</x:f>
        <x:v>4200</x:v>
      </x:c>
      <x:c r="M206" s="47" t="n">
        <x:f>J206-L206</x:f>
        <x:v>4600</x:v>
      </x:c>
      <x:c r="N206" s="5" t="str">
        <x:v>Takeaway</x:v>
      </x:c>
      <x:c r="O206" s="5" t="str">
        <x:v>Transfer</x:v>
      </x:c>
      <x:c r="P206" s="5" t="str">
        <x:v>Lunch</x:v>
      </x:c>
      <x:c r="Q206" s="48" t="n">
        <x:v>15</x:v>
      </x:c>
      <x:c r="R206" s="5" t="n">
        <x:v>4</x:v>
      </x:c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5" t="str">
        <x:v>ORD-01358</x:v>
      </x:c>
      <x:c r="B207" s="43" t="n">
        <x:v>46049</x:v>
      </x:c>
      <x:c r="C207" s="5" t="str">
        <x:v>CUST-0258</x:v>
      </x:c>
      <x:c r="D207" s="5" t="str">
        <x:v>FD001</x:v>
      </x:c>
      <x:c r="E207" s="5" t="str">
        <x:v>White Rice &amp; Stew</x:v>
      </x:c>
      <x:c r="F207" s="5" t="str">
        <x:v>Rice Meals</x:v>
      </x:c>
      <x:c r="G207" s="44" t="n">
        <x:v>2</x:v>
      </x:c>
      <x:c r="H207" s="45" t="n">
        <x:v>1800</x:v>
      </x:c>
      <x:c r="I207" s="46" t="n">
        <x:v>0</x:v>
      </x:c>
      <x:c r="J207" s="47" t="n">
        <x:f>G207*H207*(1-I207)</x:f>
        <x:v>3600</x:v>
      </x:c>
      <x:c r="K207" s="47" t="n">
        <x:v>820</x:v>
      </x:c>
      <x:c r="L207" s="47" t="n">
        <x:f>G207*K207</x:f>
        <x:v>1640</x:v>
      </x:c>
      <x:c r="M207" s="47" t="n">
        <x:f>J207-L207</x:f>
        <x:v>1960</x:v>
      </x:c>
      <x:c r="N207" s="5" t="str">
        <x:v>Takeaway</x:v>
      </x:c>
      <x:c r="O207" s="5" t="str">
        <x:v>POS</x:v>
      </x:c>
      <x:c r="P207" s="5" t="str">
        <x:v>Lunch</x:v>
      </x:c>
      <x:c r="Q207" s="48" t="n">
        <x:v>14</x:v>
      </x:c>
      <x:c r="R207" s="5" t="n">
        <x:v>5</x:v>
      </x:c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5" t="str">
        <x:v>ORD-01368</x:v>
      </x:c>
      <x:c r="B208" s="43" t="n">
        <x:v>46049</x:v>
      </x:c>
      <x:c r="C208" s="5" t="str">
        <x:v>CUST-0145</x:v>
      </x:c>
      <x:c r="D208" s="5" t="str">
        <x:v>FD001</x:v>
      </x:c>
      <x:c r="E208" s="5" t="str">
        <x:v>White Rice &amp; Stew</x:v>
      </x:c>
      <x:c r="F208" s="5" t="str">
        <x:v>Rice Meals</x:v>
      </x:c>
      <x:c r="G208" s="44" t="n">
        <x:v>1</x:v>
      </x:c>
      <x:c r="H208" s="45" t="n">
        <x:v>1800</x:v>
      </x:c>
      <x:c r="I208" s="46" t="n">
        <x:v>0</x:v>
      </x:c>
      <x:c r="J208" s="47" t="n">
        <x:f>G208*H208*(1-I208)</x:f>
        <x:v>1800</x:v>
      </x:c>
      <x:c r="K208" s="47" t="n">
        <x:v>820</x:v>
      </x:c>
      <x:c r="L208" s="47" t="n">
        <x:f>G208*K208</x:f>
        <x:v>820</x:v>
      </x:c>
      <x:c r="M208" s="47" t="n">
        <x:f>J208-L208</x:f>
        <x:v>980</x:v>
      </x:c>
      <x:c r="N208" s="5" t="str">
        <x:v>Walk-in</x:v>
      </x:c>
      <x:c r="O208" s="5" t="str">
        <x:v>Cash</x:v>
      </x:c>
      <x:c r="P208" s="5" t="str">
        <x:v>Dinner</x:v>
      </x:c>
      <x:c r="Q208" s="48" t="n">
        <x:v>18</x:v>
      </x:c>
      <x:c r="R208" s="5" t="n">
        <x:v>4</x:v>
      </x:c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5" t="str">
        <x:v>ORD-00062</x:v>
      </x:c>
      <x:c r="B209" s="43" t="n">
        <x:v>46050</x:v>
      </x:c>
      <x:c r="C209" s="5" t="str">
        <x:v>CUST-0049</x:v>
      </x:c>
      <x:c r="D209" s="5" t="str">
        <x:v>FD002</x:v>
      </x:c>
      <x:c r="E209" s="5" t="str">
        <x:v>Jollof Rice &amp; Chicken</x:v>
      </x:c>
      <x:c r="F209" s="5" t="str">
        <x:v>Rice Meals</x:v>
      </x:c>
      <x:c r="G209" s="44" t="n">
        <x:v>3</x:v>
      </x:c>
      <x:c r="H209" s="45" t="n">
        <x:v>2800</x:v>
      </x:c>
      <x:c r="I209" s="46" t="n">
        <x:v>0</x:v>
      </x:c>
      <x:c r="J209" s="47" t="n">
        <x:f>G209*H209*(1-I209)</x:f>
        <x:v>8400</x:v>
      </x:c>
      <x:c r="K209" s="47" t="n">
        <x:v>1450</x:v>
      </x:c>
      <x:c r="L209" s="47" t="n">
        <x:f>G209*K209</x:f>
        <x:v>4350</x:v>
      </x:c>
      <x:c r="M209" s="47" t="n">
        <x:f>J209-L209</x:f>
        <x:v>4050</x:v>
      </x:c>
      <x:c r="N209" s="5" t="str">
        <x:v>Walk-in</x:v>
      </x:c>
      <x:c r="O209" s="5" t="str">
        <x:v>Cash</x:v>
      </x:c>
      <x:c r="P209" s="5" t="str">
        <x:v>Lunch</x:v>
      </x:c>
      <x:c r="Q209" s="48" t="n">
        <x:v>11</x:v>
      </x:c>
      <x:c r="R209" s="5" t="n">
        <x:v>4</x:v>
      </x:c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5" t="str">
        <x:v>ORD-00119</x:v>
      </x:c>
      <x:c r="B210" s="43" t="n">
        <x:v>46050</x:v>
      </x:c>
      <x:c r="C210" s="5" t="str">
        <x:v>CUST-0206</x:v>
      </x:c>
      <x:c r="D210" s="5" t="str">
        <x:v>FD005</x:v>
      </x:c>
      <x:c r="E210" s="5" t="str">
        <x:v>Yam Porridge</x:v>
      </x:c>
      <x:c r="F210" s="5" t="str">
        <x:v>Traditional Meals</x:v>
      </x:c>
      <x:c r="G210" s="44" t="n">
        <x:v>1</x:v>
      </x:c>
      <x:c r="H210" s="45" t="n">
        <x:v>2200</x:v>
      </x:c>
      <x:c r="I210" s="46" t="n">
        <x:v>0</x:v>
      </x:c>
      <x:c r="J210" s="47" t="n">
        <x:f>G210*H210*(1-I210)</x:f>
        <x:v>2200</x:v>
      </x:c>
      <x:c r="K210" s="47" t="n">
        <x:v>1050</x:v>
      </x:c>
      <x:c r="L210" s="47" t="n">
        <x:f>G210*K210</x:f>
        <x:v>1050</x:v>
      </x:c>
      <x:c r="M210" s="47" t="n">
        <x:f>J210-L210</x:f>
        <x:v>1150</x:v>
      </x:c>
      <x:c r="N210" s="5" t="str">
        <x:v>Walk-in</x:v>
      </x:c>
      <x:c r="O210" s="5" t="str">
        <x:v>POS</x:v>
      </x:c>
      <x:c r="P210" s="5" t="str">
        <x:v>Dinner</x:v>
      </x:c>
      <x:c r="Q210" s="48" t="n">
        <x:v>16</x:v>
      </x:c>
      <x:c r="R210" s="5" t="n">
        <x:v>5</x:v>
      </x:c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5" t="str">
        <x:v>ORD-00187</x:v>
      </x:c>
      <x:c r="B211" s="43" t="n">
        <x:v>46050</x:v>
      </x:c>
      <x:c r="C211" s="5" t="str">
        <x:v>CUST-0404</x:v>
      </x:c>
      <x:c r="D211" s="5" t="str">
        <x:v>FD009</x:v>
      </x:c>
      <x:c r="E211" s="5" t="str">
        <x:v>Moi Moi</x:v>
      </x:c>
      <x:c r="F211" s="5" t="str">
        <x:v>Sides</x:v>
      </x:c>
      <x:c r="G211" s="44" t="n">
        <x:v>4</x:v>
      </x:c>
      <x:c r="H211" s="45" t="n">
        <x:v>900</x:v>
      </x:c>
      <x:c r="I211" s="46" t="n">
        <x:v>0</x:v>
      </x:c>
      <x:c r="J211" s="47" t="n">
        <x:f>G211*H211*(1-I211)</x:f>
        <x:v>3600</x:v>
      </x:c>
      <x:c r="K211" s="47" t="n">
        <x:v>380</x:v>
      </x:c>
      <x:c r="L211" s="47" t="n">
        <x:f>G211*K211</x:f>
        <x:v>1520</x:v>
      </x:c>
      <x:c r="M211" s="47" t="n">
        <x:f>J211-L211</x:f>
        <x:v>2080</x:v>
      </x:c>
      <x:c r="N211" s="5" t="str">
        <x:v>Delivery</x:v>
      </x:c>
      <x:c r="O211" s="5" t="str">
        <x:v>Transfer</x:v>
      </x:c>
      <x:c r="P211" s="5" t="str">
        <x:v>Dinner</x:v>
      </x:c>
      <x:c r="Q211" s="48" t="n">
        <x:v>20</x:v>
      </x:c>
      <x:c r="R211" s="5" t="n">
        <x:v>5</x:v>
      </x:c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5" t="str">
        <x:v>ORD-00351</x:v>
      </x:c>
      <x:c r="B212" s="43" t="n">
        <x:v>46050</x:v>
      </x:c>
      <x:c r="C212" s="5" t="str">
        <x:v>CUST-0554</x:v>
      </x:c>
      <x:c r="D212" s="5" t="str">
        <x:v>FD003</x:v>
      </x:c>
      <x:c r="E212" s="5" t="str">
        <x:v>Fried Rice &amp; Chicken</x:v>
      </x:c>
      <x:c r="F212" s="5" t="str">
        <x:v>Rice Meals</x:v>
      </x:c>
      <x:c r="G212" s="44" t="n">
        <x:v>1</x:v>
      </x:c>
      <x:c r="H212" s="45" t="n">
        <x:v>3000</x:v>
      </x:c>
      <x:c r="I212" s="46" t="n">
        <x:v>0</x:v>
      </x:c>
      <x:c r="J212" s="47" t="n">
        <x:f>G212*H212*(1-I212)</x:f>
        <x:v>3000</x:v>
      </x:c>
      <x:c r="K212" s="47" t="n">
        <x:v>1580</x:v>
      </x:c>
      <x:c r="L212" s="47" t="n">
        <x:f>G212*K212</x:f>
        <x:v>1580</x:v>
      </x:c>
      <x:c r="M212" s="47" t="n">
        <x:f>J212-L212</x:f>
        <x:v>1420</x:v>
      </x:c>
      <x:c r="N212" s="5" t="str">
        <x:v>Walk-in</x:v>
      </x:c>
      <x:c r="O212" s="5" t="str">
        <x:v>Cash</x:v>
      </x:c>
      <x:c r="P212" s="5" t="str">
        <x:v>Lunch</x:v>
      </x:c>
      <x:c r="Q212" s="48" t="n">
        <x:v>13</x:v>
      </x:c>
      <x:c r="R212" s="5" t="n">
        <x:v>4</x:v>
      </x:c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5" t="str">
        <x:v>ORD-00436</x:v>
      </x:c>
      <x:c r="B213" s="43" t="n">
        <x:v>46050</x:v>
      </x:c>
      <x:c r="C213" s="5" t="str">
        <x:v>CUST-0395</x:v>
      </x:c>
      <x:c r="D213" s="5" t="str">
        <x:v>FD006</x:v>
      </x:c>
      <x:c r="E213" s="5" t="str">
        <x:v>Eba &amp; Egusi Soup</x:v>
      </x:c>
      <x:c r="F213" s="5" t="str">
        <x:v>Swallow</x:v>
      </x:c>
      <x:c r="G213" s="44" t="n">
        <x:v>2</x:v>
      </x:c>
      <x:c r="H213" s="45" t="n">
        <x:v>2600</x:v>
      </x:c>
      <x:c r="I213" s="46" t="n">
        <x:v>0</x:v>
      </x:c>
      <x:c r="J213" s="47" t="n">
        <x:f>G213*H213*(1-I213)</x:f>
        <x:v>5200</x:v>
      </x:c>
      <x:c r="K213" s="47" t="n">
        <x:v>1320</x:v>
      </x:c>
      <x:c r="L213" s="47" t="n">
        <x:f>G213*K213</x:f>
        <x:v>2640</x:v>
      </x:c>
      <x:c r="M213" s="47" t="n">
        <x:f>J213-L213</x:f>
        <x:v>2560</x:v>
      </x:c>
      <x:c r="N213" s="5" t="str">
        <x:v>Takeaway</x:v>
      </x:c>
      <x:c r="O213" s="5" t="str">
        <x:v>Cash</x:v>
      </x:c>
      <x:c r="P213" s="5" t="str">
        <x:v>Lunch</x:v>
      </x:c>
      <x:c r="Q213" s="48" t="n">
        <x:v>12</x:v>
      </x:c>
      <x:c r="R213" s="5" t="n">
        <x:v>4</x:v>
      </x:c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5" t="str">
        <x:v>ORD-00584</x:v>
      </x:c>
      <x:c r="B214" s="43" t="n">
        <x:v>46050</x:v>
      </x:c>
      <x:c r="C214" s="5" t="str">
        <x:v>CUST-0336</x:v>
      </x:c>
      <x:c r="D214" s="5" t="str">
        <x:v>FD001</x:v>
      </x:c>
      <x:c r="E214" s="5" t="str">
        <x:v>White Rice &amp; Stew</x:v>
      </x:c>
      <x:c r="F214" s="5" t="str">
        <x:v>Rice Meals</x:v>
      </x:c>
      <x:c r="G214" s="44" t="n">
        <x:v>2</x:v>
      </x:c>
      <x:c r="H214" s="45" t="n">
        <x:v>1800</x:v>
      </x:c>
      <x:c r="I214" s="46" t="n">
        <x:v>0</x:v>
      </x:c>
      <x:c r="J214" s="47" t="n">
        <x:f>G214*H214*(1-I214)</x:f>
        <x:v>3600</x:v>
      </x:c>
      <x:c r="K214" s="47" t="n">
        <x:v>820</x:v>
      </x:c>
      <x:c r="L214" s="47" t="n">
        <x:f>G214*K214</x:f>
        <x:v>1640</x:v>
      </x:c>
      <x:c r="M214" s="47" t="n">
        <x:f>J214-L214</x:f>
        <x:v>1960</x:v>
      </x:c>
      <x:c r="N214" s="5" t="str">
        <x:v>Walk-in</x:v>
      </x:c>
      <x:c r="O214" s="5" t="str">
        <x:v>POS</x:v>
      </x:c>
      <x:c r="P214" s="5" t="str">
        <x:v>Lunch</x:v>
      </x:c>
      <x:c r="Q214" s="48" t="n">
        <x:v>14</x:v>
      </x:c>
      <x:c r="R214" s="5" t="n">
        <x:v>4</x:v>
      </x:c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5" t="str">
        <x:v>ORD-00944</x:v>
      </x:c>
      <x:c r="B215" s="43" t="n">
        <x:v>46050</x:v>
      </x:c>
      <x:c r="C215" s="5" t="str">
        <x:v>CUST-0061</x:v>
      </x:c>
      <x:c r="D215" s="5" t="str">
        <x:v>FD012</x:v>
      </x:c>
      <x:c r="E215" s="5" t="str">
        <x:v>Fried Plantain</x:v>
      </x:c>
      <x:c r="F215" s="5" t="str">
        <x:v>Sides</x:v>
      </x:c>
      <x:c r="G215" s="44" t="n">
        <x:v>3</x:v>
      </x:c>
      <x:c r="H215" s="45" t="n">
        <x:v>700</x:v>
      </x:c>
      <x:c r="I215" s="46" t="n">
        <x:v>0</x:v>
      </x:c>
      <x:c r="J215" s="47" t="n">
        <x:f>G215*H215*(1-I215)</x:f>
        <x:v>2100</x:v>
      </x:c>
      <x:c r="K215" s="47" t="n">
        <x:v>300</x:v>
      </x:c>
      <x:c r="L215" s="47" t="n">
        <x:f>G215*K215</x:f>
        <x:v>900</x:v>
      </x:c>
      <x:c r="M215" s="47" t="n">
        <x:f>J215-L215</x:f>
        <x:v>1200</x:v>
      </x:c>
      <x:c r="N215" s="5" t="str">
        <x:v>Takeaway</x:v>
      </x:c>
      <x:c r="O215" s="5" t="str">
        <x:v>POS</x:v>
      </x:c>
      <x:c r="P215" s="5" t="str">
        <x:v>Lunch</x:v>
      </x:c>
      <x:c r="Q215" s="48" t="n">
        <x:v>13</x:v>
      </x:c>
      <x:c r="R215" s="5" t="n">
        <x:v>5</x:v>
      </x:c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5" t="str">
        <x:v>ORD-01288</x:v>
      </x:c>
      <x:c r="B216" s="43" t="n">
        <x:v>46050</x:v>
      </x:c>
      <x:c r="C216" s="5" t="str">
        <x:v>CUST-0173</x:v>
      </x:c>
      <x:c r="D216" s="5" t="str">
        <x:v>FD006</x:v>
      </x:c>
      <x:c r="E216" s="5" t="str">
        <x:v>Eba &amp; Egusi Soup</x:v>
      </x:c>
      <x:c r="F216" s="5" t="str">
        <x:v>Swallow</x:v>
      </x:c>
      <x:c r="G216" s="44" t="n">
        <x:v>1</x:v>
      </x:c>
      <x:c r="H216" s="45" t="n">
        <x:v>2600</x:v>
      </x:c>
      <x:c r="I216" s="46" t="n">
        <x:v>0</x:v>
      </x:c>
      <x:c r="J216" s="47" t="n">
        <x:f>G216*H216*(1-I216)</x:f>
        <x:v>2600</x:v>
      </x:c>
      <x:c r="K216" s="47" t="n">
        <x:v>1320</x:v>
      </x:c>
      <x:c r="L216" s="47" t="n">
        <x:f>G216*K216</x:f>
        <x:v>1320</x:v>
      </x:c>
      <x:c r="M216" s="47" t="n">
        <x:f>J216-L216</x:f>
        <x:v>1280</x:v>
      </x:c>
      <x:c r="N216" s="5" t="str">
        <x:v>Walk-in</x:v>
      </x:c>
      <x:c r="O216" s="5" t="str">
        <x:v>Cash</x:v>
      </x:c>
      <x:c r="P216" s="5" t="str">
        <x:v>Lunch</x:v>
      </x:c>
      <x:c r="Q216" s="48" t="n">
        <x:v>11</x:v>
      </x:c>
      <x:c r="R216" s="5" t="n">
        <x:v>4</x:v>
      </x:c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5" t="str">
        <x:v>ORD-00715</x:v>
      </x:c>
      <x:c r="B217" s="43" t="n">
        <x:v>46051</x:v>
      </x:c>
      <x:c r="C217" s="5" t="str">
        <x:v>CUST-0439</x:v>
      </x:c>
      <x:c r="D217" s="5" t="str">
        <x:v>FD003</x:v>
      </x:c>
      <x:c r="E217" s="5" t="str">
        <x:v>Fried Rice &amp; Chicken</x:v>
      </x:c>
      <x:c r="F217" s="5" t="str">
        <x:v>Rice Meals</x:v>
      </x:c>
      <x:c r="G217" s="44" t="n">
        <x:v>4</x:v>
      </x:c>
      <x:c r="H217" s="45" t="n">
        <x:v>3000</x:v>
      </x:c>
      <x:c r="I217" s="46" t="n">
        <x:v>0</x:v>
      </x:c>
      <x:c r="J217" s="47" t="n">
        <x:f>G217*H217*(1-I217)</x:f>
        <x:v>12000</x:v>
      </x:c>
      <x:c r="K217" s="47" t="n">
        <x:v>1580</x:v>
      </x:c>
      <x:c r="L217" s="47" t="n">
        <x:f>G217*K217</x:f>
        <x:v>6320</x:v>
      </x:c>
      <x:c r="M217" s="47" t="n">
        <x:f>J217-L217</x:f>
        <x:v>5680</x:v>
      </x:c>
      <x:c r="N217" s="5" t="str">
        <x:v>Delivery</x:v>
      </x:c>
      <x:c r="O217" s="5" t="str">
        <x:v>POS</x:v>
      </x:c>
      <x:c r="P217" s="5" t="str">
        <x:v>Lunch</x:v>
      </x:c>
      <x:c r="Q217" s="48" t="n">
        <x:v>12</x:v>
      </x:c>
      <x:c r="R217" s="5" t="n">
        <x:v>5</x:v>
      </x:c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5" t="str">
        <x:v>ORD-00867</x:v>
      </x:c>
      <x:c r="B218" s="43" t="n">
        <x:v>46051</x:v>
      </x:c>
      <x:c r="C218" s="5" t="str">
        <x:v>CUST-0358</x:v>
      </x:c>
      <x:c r="D218" s="5" t="str">
        <x:v>FD001</x:v>
      </x:c>
      <x:c r="E218" s="5" t="str">
        <x:v>White Rice &amp; Stew</x:v>
      </x:c>
      <x:c r="F218" s="5" t="str">
        <x:v>Rice Meals</x:v>
      </x:c>
      <x:c r="G218" s="44" t="n">
        <x:v>1</x:v>
      </x:c>
      <x:c r="H218" s="45" t="n">
        <x:v>1800</x:v>
      </x:c>
      <x:c r="I218" s="46" t="n">
        <x:v>0</x:v>
      </x:c>
      <x:c r="J218" s="47" t="n">
        <x:f>G218*H218*(1-I218)</x:f>
        <x:v>1800</x:v>
      </x:c>
      <x:c r="K218" s="47" t="n">
        <x:v>820</x:v>
      </x:c>
      <x:c r="L218" s="47" t="n">
        <x:f>G218*K218</x:f>
        <x:v>820</x:v>
      </x:c>
      <x:c r="M218" s="47" t="n">
        <x:f>J218-L218</x:f>
        <x:v>980</x:v>
      </x:c>
      <x:c r="N218" s="5" t="str">
        <x:v>Takeaway</x:v>
      </x:c>
      <x:c r="O218" s="5" t="str">
        <x:v>POS</x:v>
      </x:c>
      <x:c r="P218" s="5" t="str">
        <x:v>Lunch</x:v>
      </x:c>
      <x:c r="Q218" s="48" t="n">
        <x:v>14</x:v>
      </x:c>
      <x:c r="R218" s="5" t="n">
        <x:v>4</x:v>
      </x:c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5" t="str">
        <x:v>ORD-01106</x:v>
      </x:c>
      <x:c r="B219" s="43" t="n">
        <x:v>46051</x:v>
      </x:c>
      <x:c r="C219" s="5" t="str">
        <x:v>CUST-0310</x:v>
      </x:c>
      <x:c r="D219" s="5" t="str">
        <x:v>FD007</x:v>
      </x:c>
      <x:c r="E219" s="5" t="str">
        <x:v>Amala &amp; Ewedu</x:v>
      </x:c>
      <x:c r="F219" s="5" t="str">
        <x:v>Swallow</x:v>
      </x:c>
      <x:c r="G219" s="44" t="n">
        <x:v>2</x:v>
      </x:c>
      <x:c r="H219" s="45" t="n">
        <x:v>2500</x:v>
      </x:c>
      <x:c r="I219" s="46" t="n">
        <x:v>0</x:v>
      </x:c>
      <x:c r="J219" s="47" t="n">
        <x:f>G219*H219*(1-I219)</x:f>
        <x:v>5000</x:v>
      </x:c>
      <x:c r="K219" s="47" t="n">
        <x:v>1250</x:v>
      </x:c>
      <x:c r="L219" s="47" t="n">
        <x:f>G219*K219</x:f>
        <x:v>2500</x:v>
      </x:c>
      <x:c r="M219" s="47" t="n">
        <x:f>J219-L219</x:f>
        <x:v>2500</x:v>
      </x:c>
      <x:c r="N219" s="5" t="str">
        <x:v>Takeaway</x:v>
      </x:c>
      <x:c r="O219" s="5" t="str">
        <x:v>POS</x:v>
      </x:c>
      <x:c r="P219" s="5" t="str">
        <x:v>Dinner</x:v>
      </x:c>
      <x:c r="Q219" s="48" t="n">
        <x:v>18</x:v>
      </x:c>
      <x:c r="R219" s="5" t="n">
        <x:v>4</x:v>
      </x:c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5" t="str">
        <x:v>ORD-01238</x:v>
      </x:c>
      <x:c r="B220" s="43" t="n">
        <x:v>46051</x:v>
      </x:c>
      <x:c r="C220" s="5" t="str">
        <x:v>CUST-0590</x:v>
      </x:c>
      <x:c r="D220" s="5" t="str">
        <x:v>FD008</x:v>
      </x:c>
      <x:c r="E220" s="5" t="str">
        <x:v>Pounded Yam &amp; Vegetable Soup</x:v>
      </x:c>
      <x:c r="F220" s="5" t="str">
        <x:v>Swallow</x:v>
      </x:c>
      <x:c r="G220" s="44" t="n">
        <x:v>3</x:v>
      </x:c>
      <x:c r="H220" s="45" t="n">
        <x:v>3200</x:v>
      </x:c>
      <x:c r="I220" s="46" t="n">
        <x:v>0</x:v>
      </x:c>
      <x:c r="J220" s="47" t="n">
        <x:f>G220*H220*(1-I220)</x:f>
        <x:v>9600</x:v>
      </x:c>
      <x:c r="K220" s="47" t="n">
        <x:v>1710</x:v>
      </x:c>
      <x:c r="L220" s="47" t="n">
        <x:f>G220*K220</x:f>
        <x:v>5130</x:v>
      </x:c>
      <x:c r="M220" s="47" t="n">
        <x:f>J220-L220</x:f>
        <x:v>4470</x:v>
      </x:c>
      <x:c r="N220" s="5" t="str">
        <x:v>Walk-in</x:v>
      </x:c>
      <x:c r="O220" s="5" t="str">
        <x:v>Transfer</x:v>
      </x:c>
      <x:c r="P220" s="5" t="str">
        <x:v>Lunch</x:v>
      </x:c>
      <x:c r="Q220" s="48" t="n">
        <x:v>13</x:v>
      </x:c>
      <x:c r="R220" s="5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5" t="str">
        <x:v>ORD-01612</x:v>
      </x:c>
      <x:c r="B221" s="43" t="n">
        <x:v>46051</x:v>
      </x:c>
      <x:c r="C221" s="5" t="str">
        <x:v>CUST-0163</x:v>
      </x:c>
      <x:c r="D221" s="5" t="str">
        <x:v>FD005</x:v>
      </x:c>
      <x:c r="E221" s="5" t="str">
        <x:v>Yam Porridge</x:v>
      </x:c>
      <x:c r="F221" s="5" t="str">
        <x:v>Traditional Meals</x:v>
      </x:c>
      <x:c r="G221" s="44" t="n">
        <x:v>4</x:v>
      </x:c>
      <x:c r="H221" s="45" t="n">
        <x:v>2200</x:v>
      </x:c>
      <x:c r="I221" s="46" t="n">
        <x:v>0</x:v>
      </x:c>
      <x:c r="J221" s="47" t="n">
        <x:f>G221*H221*(1-I221)</x:f>
        <x:v>8800</x:v>
      </x:c>
      <x:c r="K221" s="47" t="n">
        <x:v>1050</x:v>
      </x:c>
      <x:c r="L221" s="47" t="n">
        <x:f>G221*K221</x:f>
        <x:v>4200</x:v>
      </x:c>
      <x:c r="M221" s="47" t="n">
        <x:f>J221-L221</x:f>
        <x:v>4600</x:v>
      </x:c>
      <x:c r="N221" s="5" t="str">
        <x:v>Walk-in</x:v>
      </x:c>
      <x:c r="O221" s="5" t="str">
        <x:v>Transfer</x:v>
      </x:c>
      <x:c r="P221" s="5" t="str">
        <x:v>Lunch</x:v>
      </x:c>
      <x:c r="Q221" s="48" t="n">
        <x:v>12</x:v>
      </x:c>
      <x:c r="R221" s="5" t="n">
        <x:v>5</x:v>
      </x:c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5" t="str">
        <x:v>ORD-01784</x:v>
      </x:c>
      <x:c r="B222" s="43" t="n">
        <x:v>46051</x:v>
      </x:c>
      <x:c r="C222" s="5" t="str">
        <x:v>CUST-0429</x:v>
      </x:c>
      <x:c r="D222" s="5" t="str">
        <x:v>FD006</x:v>
      </x:c>
      <x:c r="E222" s="5" t="str">
        <x:v>Eba &amp; Egusi Soup</x:v>
      </x:c>
      <x:c r="F222" s="5" t="str">
        <x:v>Swallow</x:v>
      </x:c>
      <x:c r="G222" s="44" t="n">
        <x:v>1</x:v>
      </x:c>
      <x:c r="H222" s="45" t="n">
        <x:v>2600</x:v>
      </x:c>
      <x:c r="I222" s="46" t="n">
        <x:v>0</x:v>
      </x:c>
      <x:c r="J222" s="47" t="n">
        <x:f>G222*H222*(1-I222)</x:f>
        <x:v>2600</x:v>
      </x:c>
      <x:c r="K222" s="47" t="n">
        <x:v>1320</x:v>
      </x:c>
      <x:c r="L222" s="47" t="n">
        <x:f>G222*K222</x:f>
        <x:v>1320</x:v>
      </x:c>
      <x:c r="M222" s="47" t="n">
        <x:f>J222-L222</x:f>
        <x:v>1280</x:v>
      </x:c>
      <x:c r="N222" s="5" t="str">
        <x:v>Takeaway</x:v>
      </x:c>
      <x:c r="O222" s="5" t="str">
        <x:v>POS</x:v>
      </x:c>
      <x:c r="P222" s="5" t="str">
        <x:v>Lunch</x:v>
      </x:c>
      <x:c r="Q222" s="48" t="n">
        <x:v>14</x:v>
      </x:c>
      <x:c r="R222" s="5" t="n">
        <x:v>5</x:v>
      </x:c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5" t="str">
        <x:v>ORD-01800</x:v>
      </x:c>
      <x:c r="B223" s="43" t="n">
        <x:v>46051</x:v>
      </x:c>
      <x:c r="C223" s="5" t="str">
        <x:v>CUST-0191</x:v>
      </x:c>
      <x:c r="D223" s="5" t="str">
        <x:v>FD008</x:v>
      </x:c>
      <x:c r="E223" s="5" t="str">
        <x:v>Pounded Yam &amp; Vegetable Soup</x:v>
      </x:c>
      <x:c r="F223" s="5" t="str">
        <x:v>Swallow</x:v>
      </x:c>
      <x:c r="G223" s="44" t="n">
        <x:v>3</x:v>
      </x:c>
      <x:c r="H223" s="45" t="n">
        <x:v>3200</x:v>
      </x:c>
      <x:c r="I223" s="46" t="n">
        <x:v>0</x:v>
      </x:c>
      <x:c r="J223" s="47" t="n">
        <x:f>G223*H223*(1-I223)</x:f>
        <x:v>9600</x:v>
      </x:c>
      <x:c r="K223" s="47" t="n">
        <x:v>1710</x:v>
      </x:c>
      <x:c r="L223" s="47" t="n">
        <x:f>G223*K223</x:f>
        <x:v>5130</x:v>
      </x:c>
      <x:c r="M223" s="47" t="n">
        <x:f>J223-L223</x:f>
        <x:v>4470</x:v>
      </x:c>
      <x:c r="N223" s="5" t="str">
        <x:v>Delivery</x:v>
      </x:c>
      <x:c r="O223" s="5" t="str">
        <x:v>POS</x:v>
      </x:c>
      <x:c r="P223" s="5" t="str">
        <x:v>Dinner</x:v>
      </x:c>
      <x:c r="Q223" s="48" t="n">
        <x:v>20</x:v>
      </x:c>
      <x:c r="R223" s="5" t="n">
        <x:v>5</x:v>
      </x:c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5" t="str">
        <x:v>ORD-00218</x:v>
      </x:c>
      <x:c r="B224" s="43" t="n">
        <x:v>46052</x:v>
      </x:c>
      <x:c r="C224" s="5" t="str">
        <x:v>CUST-0084</x:v>
      </x:c>
      <x:c r="D224" s="5" t="str">
        <x:v>FD001</x:v>
      </x:c>
      <x:c r="E224" s="5" t="str">
        <x:v>White Rice &amp; Stew</x:v>
      </x:c>
      <x:c r="F224" s="5" t="str">
        <x:v>Rice Meals</x:v>
      </x:c>
      <x:c r="G224" s="44" t="n">
        <x:v>2</x:v>
      </x:c>
      <x:c r="H224" s="45" t="n">
        <x:v>1800</x:v>
      </x:c>
      <x:c r="I224" s="46" t="n">
        <x:v>0</x:v>
      </x:c>
      <x:c r="J224" s="47" t="n">
        <x:f>G224*H224*(1-I224)</x:f>
        <x:v>3600</x:v>
      </x:c>
      <x:c r="K224" s="47" t="n">
        <x:v>820</x:v>
      </x:c>
      <x:c r="L224" s="47" t="n">
        <x:f>G224*K224</x:f>
        <x:v>1640</x:v>
      </x:c>
      <x:c r="M224" s="47" t="n">
        <x:f>J224-L224</x:f>
        <x:v>1960</x:v>
      </x:c>
      <x:c r="N224" s="5" t="str">
        <x:v>Walk-in</x:v>
      </x:c>
      <x:c r="O224" s="5" t="str">
        <x:v>POS</x:v>
      </x:c>
      <x:c r="P224" s="5" t="str">
        <x:v>Lunch</x:v>
      </x:c>
      <x:c r="Q224" s="48" t="n">
        <x:v>12</x:v>
      </x:c>
      <x:c r="R224" s="5" t="n">
        <x:v>4</x:v>
      </x:c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5" t="str">
        <x:v>ORD-00425</x:v>
      </x:c>
      <x:c r="B225" s="43" t="n">
        <x:v>46052</x:v>
      </x:c>
      <x:c r="C225" s="5" t="str">
        <x:v>CUST-0203</x:v>
      </x:c>
      <x:c r="D225" s="5" t="str">
        <x:v>FD001</x:v>
      </x:c>
      <x:c r="E225" s="5" t="str">
        <x:v>White Rice &amp; Stew</x:v>
      </x:c>
      <x:c r="F225" s="5" t="str">
        <x:v>Rice Meals</x:v>
      </x:c>
      <x:c r="G225" s="44" t="n">
        <x:v>1</x:v>
      </x:c>
      <x:c r="H225" s="45" t="n">
        <x:v>1800</x:v>
      </x:c>
      <x:c r="I225" s="46" t="n">
        <x:v>0</x:v>
      </x:c>
      <x:c r="J225" s="47" t="n">
        <x:f>G225*H225*(1-I225)</x:f>
        <x:v>1800</x:v>
      </x:c>
      <x:c r="K225" s="47" t="n">
        <x:v>820</x:v>
      </x:c>
      <x:c r="L225" s="47" t="n">
        <x:f>G225*K225</x:f>
        <x:v>820</x:v>
      </x:c>
      <x:c r="M225" s="47" t="n">
        <x:f>J225-L225</x:f>
        <x:v>980</x:v>
      </x:c>
      <x:c r="N225" s="5" t="str">
        <x:v>Takeaway</x:v>
      </x:c>
      <x:c r="O225" s="5" t="str">
        <x:v>Transfer</x:v>
      </x:c>
      <x:c r="P225" s="5" t="str">
        <x:v>Dinner</x:v>
      </x:c>
      <x:c r="Q225" s="48" t="n">
        <x:v>16</x:v>
      </x:c>
      <x:c r="R225" s="5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5" t="str">
        <x:v>ORD-00462</x:v>
      </x:c>
      <x:c r="B226" s="43" t="n">
        <x:v>46052</x:v>
      </x:c>
      <x:c r="C226" s="5" t="str">
        <x:v>CUST-0237</x:v>
      </x:c>
      <x:c r="D226" s="5" t="str">
        <x:v>FD005</x:v>
      </x:c>
      <x:c r="E226" s="5" t="str">
        <x:v>Yam Porridge</x:v>
      </x:c>
      <x:c r="F226" s="5" t="str">
        <x:v>Traditional Meals</x:v>
      </x:c>
      <x:c r="G226" s="44" t="n">
        <x:v>2</x:v>
      </x:c>
      <x:c r="H226" s="45" t="n">
        <x:v>2200</x:v>
      </x:c>
      <x:c r="I226" s="46" t="n">
        <x:v>0</x:v>
      </x:c>
      <x:c r="J226" s="47" t="n">
        <x:f>G226*H226*(1-I226)</x:f>
        <x:v>4400</x:v>
      </x:c>
      <x:c r="K226" s="47" t="n">
        <x:v>1050</x:v>
      </x:c>
      <x:c r="L226" s="47" t="n">
        <x:f>G226*K226</x:f>
        <x:v>2100</x:v>
      </x:c>
      <x:c r="M226" s="47" t="n">
        <x:f>J226-L226</x:f>
        <x:v>2300</x:v>
      </x:c>
      <x:c r="N226" s="5" t="str">
        <x:v>Walk-in</x:v>
      </x:c>
      <x:c r="O226" s="5" t="str">
        <x:v>Cash</x:v>
      </x:c>
      <x:c r="P226" s="5" t="str">
        <x:v>Lunch</x:v>
      </x:c>
      <x:c r="Q226" s="48" t="n">
        <x:v>11</x:v>
      </x:c>
      <x:c r="R226" s="5" t="n">
        <x:v>5</x:v>
      </x:c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5" t="str">
        <x:v>ORD-00878</x:v>
      </x:c>
      <x:c r="B227" s="43" t="n">
        <x:v>46052</x:v>
      </x:c>
      <x:c r="C227" s="5" t="str">
        <x:v>CUST-0612</x:v>
      </x:c>
      <x:c r="D227" s="5" t="str">
        <x:v>FD002</x:v>
      </x:c>
      <x:c r="E227" s="5" t="str">
        <x:v>Jollof Rice &amp; Chicken</x:v>
      </x:c>
      <x:c r="F227" s="5" t="str">
        <x:v>Rice Meals</x:v>
      </x:c>
      <x:c r="G227" s="44" t="n">
        <x:v>1</x:v>
      </x:c>
      <x:c r="H227" s="45" t="n">
        <x:v>2800</x:v>
      </x:c>
      <x:c r="I227" s="46" t="n">
        <x:v>0</x:v>
      </x:c>
      <x:c r="J227" s="47" t="n">
        <x:f>G227*H227*(1-I227)</x:f>
        <x:v>2800</x:v>
      </x:c>
      <x:c r="K227" s="47" t="n">
        <x:v>1450</x:v>
      </x:c>
      <x:c r="L227" s="47" t="n">
        <x:f>G227*K227</x:f>
        <x:v>1450</x:v>
      </x:c>
      <x:c r="M227" s="47" t="n">
        <x:f>J227-L227</x:f>
        <x:v>1350</x:v>
      </x:c>
      <x:c r="N227" s="5" t="str">
        <x:v>Walk-in</x:v>
      </x:c>
      <x:c r="O227" s="5" t="str">
        <x:v>POS</x:v>
      </x:c>
      <x:c r="P227" s="5" t="str">
        <x:v>Lunch</x:v>
      </x:c>
      <x:c r="Q227" s="48" t="n">
        <x:v>13</x:v>
      </x:c>
      <x:c r="R227" s="5" t="n">
        <x:v>4</x:v>
      </x:c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5" t="str">
        <x:v>ORD-00985</x:v>
      </x:c>
      <x:c r="B228" s="43" t="n">
        <x:v>46052</x:v>
      </x:c>
      <x:c r="C228" s="5" t="str">
        <x:v>CUST-0220</x:v>
      </x:c>
      <x:c r="D228" s="5" t="str">
        <x:v>FD003</x:v>
      </x:c>
      <x:c r="E228" s="5" t="str">
        <x:v>Fried Rice &amp; Chicken</x:v>
      </x:c>
      <x:c r="F228" s="5" t="str">
        <x:v>Rice Meals</x:v>
      </x:c>
      <x:c r="G228" s="44" t="n">
        <x:v>1</x:v>
      </x:c>
      <x:c r="H228" s="45" t="n">
        <x:v>3000</x:v>
      </x:c>
      <x:c r="I228" s="46" t="n">
        <x:v>0</x:v>
      </x:c>
      <x:c r="J228" s="47" t="n">
        <x:f>G228*H228*(1-I228)</x:f>
        <x:v>3000</x:v>
      </x:c>
      <x:c r="K228" s="47" t="n">
        <x:v>1580</x:v>
      </x:c>
      <x:c r="L228" s="47" t="n">
        <x:f>G228*K228</x:f>
        <x:v>1580</x:v>
      </x:c>
      <x:c r="M228" s="47" t="n">
        <x:f>J228-L228</x:f>
        <x:v>1420</x:v>
      </x:c>
      <x:c r="N228" s="5" t="str">
        <x:v>Walk-in</x:v>
      </x:c>
      <x:c r="O228" s="5" t="str">
        <x:v>Cash</x:v>
      </x:c>
      <x:c r="P228" s="5" t="str">
        <x:v>Lunch</x:v>
      </x:c>
      <x:c r="Q228" s="48" t="n">
        <x:v>14</x:v>
      </x:c>
      <x:c r="R228" s="5" t="n">
        <x:v>3</x:v>
      </x:c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5" t="str">
        <x:v>ORD-01095</x:v>
      </x:c>
      <x:c r="B229" s="43" t="n">
        <x:v>46052</x:v>
      </x:c>
      <x:c r="C229" s="5" t="str">
        <x:v>CUST-0240</x:v>
      </x:c>
      <x:c r="D229" s="5" t="str">
        <x:v>FD003</x:v>
      </x:c>
      <x:c r="E229" s="5" t="str">
        <x:v>Fried Rice &amp; Chicken</x:v>
      </x:c>
      <x:c r="F229" s="5" t="str">
        <x:v>Rice Meals</x:v>
      </x:c>
      <x:c r="G229" s="44" t="n">
        <x:v>3</x:v>
      </x:c>
      <x:c r="H229" s="45" t="n">
        <x:v>3000</x:v>
      </x:c>
      <x:c r="I229" s="46" t="n">
        <x:v>0</x:v>
      </x:c>
      <x:c r="J229" s="47" t="n">
        <x:f>G229*H229*(1-I229)</x:f>
        <x:v>9000</x:v>
      </x:c>
      <x:c r="K229" s="47" t="n">
        <x:v>1580</x:v>
      </x:c>
      <x:c r="L229" s="47" t="n">
        <x:f>G229*K229</x:f>
        <x:v>4740</x:v>
      </x:c>
      <x:c r="M229" s="47" t="n">
        <x:f>J229-L229</x:f>
        <x:v>4260</x:v>
      </x:c>
      <x:c r="N229" s="5" t="str">
        <x:v>Walk-in</x:v>
      </x:c>
      <x:c r="O229" s="5" t="str">
        <x:v>Transfer</x:v>
      </x:c>
      <x:c r="P229" s="5" t="str">
        <x:v>Dinner</x:v>
      </x:c>
      <x:c r="Q229" s="48" t="n">
        <x:v>19</x:v>
      </x:c>
      <x:c r="R229" s="5" t="n">
        <x:v>5</x:v>
      </x:c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5" t="str">
        <x:v>ORD-01697</x:v>
      </x:c>
      <x:c r="B230" s="43" t="n">
        <x:v>46052</x:v>
      </x:c>
      <x:c r="C230" s="5" t="str">
        <x:v>CUST-0444</x:v>
      </x:c>
      <x:c r="D230" s="5" t="str">
        <x:v>FD006</x:v>
      </x:c>
      <x:c r="E230" s="5" t="str">
        <x:v>Eba &amp; Egusi Soup</x:v>
      </x:c>
      <x:c r="F230" s="5" t="str">
        <x:v>Swallow</x:v>
      </x:c>
      <x:c r="G230" s="44" t="n">
        <x:v>4</x:v>
      </x:c>
      <x:c r="H230" s="45" t="n">
        <x:v>2600</x:v>
      </x:c>
      <x:c r="I230" s="46" t="n">
        <x:v>0.05</x:v>
      </x:c>
      <x:c r="J230" s="47" t="n">
        <x:f>G230*H230*(1-I230)</x:f>
        <x:v>9880</x:v>
      </x:c>
      <x:c r="K230" s="47" t="n">
        <x:v>1320</x:v>
      </x:c>
      <x:c r="L230" s="47" t="n">
        <x:f>G230*K230</x:f>
        <x:v>5280</x:v>
      </x:c>
      <x:c r="M230" s="47" t="n">
        <x:f>J230-L230</x:f>
        <x:v>4600</x:v>
      </x:c>
      <x:c r="N230" s="5" t="str">
        <x:v>Walk-in</x:v>
      </x:c>
      <x:c r="O230" s="5" t="str">
        <x:v>Cash</x:v>
      </x:c>
      <x:c r="P230" s="5" t="str">
        <x:v>Lunch</x:v>
      </x:c>
      <x:c r="Q230" s="48" t="n">
        <x:v>11</x:v>
      </x:c>
      <x:c r="R230" s="5" t="n">
        <x:v>5</x:v>
      </x:c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5" t="str">
        <x:v>ORD-00108</x:v>
      </x:c>
      <x:c r="B231" s="43" t="n">
        <x:v>46053</x:v>
      </x:c>
      <x:c r="C231" s="5" t="str">
        <x:v>CUST-0264</x:v>
      </x:c>
      <x:c r="D231" s="5" t="str">
        <x:v>FD002</x:v>
      </x:c>
      <x:c r="E231" s="5" t="str">
        <x:v>Jollof Rice &amp; Chicken</x:v>
      </x:c>
      <x:c r="F231" s="5" t="str">
        <x:v>Rice Meals</x:v>
      </x:c>
      <x:c r="G231" s="44" t="n">
        <x:v>3</x:v>
      </x:c>
      <x:c r="H231" s="45" t="n">
        <x:v>2800</x:v>
      </x:c>
      <x:c r="I231" s="46" t="n">
        <x:v>0</x:v>
      </x:c>
      <x:c r="J231" s="47" t="n">
        <x:f>G231*H231*(1-I231)</x:f>
        <x:v>8400</x:v>
      </x:c>
      <x:c r="K231" s="47" t="n">
        <x:v>1450</x:v>
      </x:c>
      <x:c r="L231" s="47" t="n">
        <x:f>G231*K231</x:f>
        <x:v>4350</x:v>
      </x:c>
      <x:c r="M231" s="47" t="n">
        <x:f>J231-L231</x:f>
        <x:v>4050</x:v>
      </x:c>
      <x:c r="N231" s="5" t="str">
        <x:v>Takeaway</x:v>
      </x:c>
      <x:c r="O231" s="5" t="str">
        <x:v>Transfer</x:v>
      </x:c>
      <x:c r="P231" s="5" t="str">
        <x:v>Lunch</x:v>
      </x:c>
      <x:c r="Q231" s="48" t="n">
        <x:v>14</x:v>
      </x:c>
      <x:c r="R231" s="5" t="n">
        <x:v>4</x:v>
      </x:c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5" t="str">
        <x:v>ORD-00134</x:v>
      </x:c>
      <x:c r="B232" s="43" t="n">
        <x:v>46053</x:v>
      </x:c>
      <x:c r="C232" s="5" t="str">
        <x:v>CUST-0249</x:v>
      </x:c>
      <x:c r="D232" s="5" t="str">
        <x:v>FD004</x:v>
      </x:c>
      <x:c r="E232" s="5" t="str">
        <x:v>Beans &amp; Plantain</x:v>
      </x:c>
      <x:c r="F232" s="5" t="str">
        <x:v>Traditional Meals</x:v>
      </x:c>
      <x:c r="G232" s="44" t="n">
        <x:v>1</x:v>
      </x:c>
      <x:c r="H232" s="45" t="n">
        <x:v>2000</x:v>
      </x:c>
      <x:c r="I232" s="46" t="n">
        <x:v>0.1</x:v>
      </x:c>
      <x:c r="J232" s="47" t="n">
        <x:f>G232*H232*(1-I232)</x:f>
        <x:v>1800</x:v>
      </x:c>
      <x:c r="K232" s="47" t="n">
        <x:v>960</x:v>
      </x:c>
      <x:c r="L232" s="47" t="n">
        <x:f>G232*K232</x:f>
        <x:v>960</x:v>
      </x:c>
      <x:c r="M232" s="47" t="n">
        <x:f>J232-L232</x:f>
        <x:v>840</x:v>
      </x:c>
      <x:c r="N232" s="5" t="str">
        <x:v>Takeaway</x:v>
      </x:c>
      <x:c r="O232" s="5" t="str">
        <x:v>Cash</x:v>
      </x:c>
      <x:c r="P232" s="5" t="str">
        <x:v>Breakfast</x:v>
      </x:c>
      <x:c r="Q232" s="48" t="n">
        <x:v>10</x:v>
      </x:c>
      <x:c r="R232" s="5" t="n">
        <x:v>5</x:v>
      </x:c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5" t="str">
        <x:v>ORD-00387</x:v>
      </x:c>
      <x:c r="B233" s="43" t="n">
        <x:v>46053</x:v>
      </x:c>
      <x:c r="C233" s="5" t="str">
        <x:v>CUST-0485</x:v>
      </x:c>
      <x:c r="D233" s="5" t="str">
        <x:v>FD004</x:v>
      </x:c>
      <x:c r="E233" s="5" t="str">
        <x:v>Beans &amp; Plantain</x:v>
      </x:c>
      <x:c r="F233" s="5" t="str">
        <x:v>Traditional Meals</x:v>
      </x:c>
      <x:c r="G233" s="44" t="n">
        <x:v>4</x:v>
      </x:c>
      <x:c r="H233" s="45" t="n">
        <x:v>2000</x:v>
      </x:c>
      <x:c r="I233" s="46" t="n">
        <x:v>0</x:v>
      </x:c>
      <x:c r="J233" s="47" t="n">
        <x:f>G233*H233*(1-I233)</x:f>
        <x:v>8000</x:v>
      </x:c>
      <x:c r="K233" s="47" t="n">
        <x:v>960</x:v>
      </x:c>
      <x:c r="L233" s="47" t="n">
        <x:f>G233*K233</x:f>
        <x:v>3840</x:v>
      </x:c>
      <x:c r="M233" s="47" t="n">
        <x:f>J233-L233</x:f>
        <x:v>4160</x:v>
      </x:c>
      <x:c r="N233" s="5" t="str">
        <x:v>Walk-in</x:v>
      </x:c>
      <x:c r="O233" s="5" t="str">
        <x:v>Cash</x:v>
      </x:c>
      <x:c r="P233" s="5" t="str">
        <x:v>Lunch</x:v>
      </x:c>
      <x:c r="Q233" s="48" t="n">
        <x:v>15</x:v>
      </x:c>
      <x:c r="R233" s="5" t="n">
        <x:v>4</x:v>
      </x:c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5" t="str">
        <x:v>ORD-00889</x:v>
      </x:c>
      <x:c r="B234" s="43" t="n">
        <x:v>46053</x:v>
      </x:c>
      <x:c r="C234" s="5" t="str">
        <x:v>CUST-0160</x:v>
      </x:c>
      <x:c r="D234" s="5" t="str">
        <x:v>FD009</x:v>
      </x:c>
      <x:c r="E234" s="5" t="str">
        <x:v>Moi Moi</x:v>
      </x:c>
      <x:c r="F234" s="5" t="str">
        <x:v>Sides</x:v>
      </x:c>
      <x:c r="G234" s="44" t="n">
        <x:v>3</x:v>
      </x:c>
      <x:c r="H234" s="45" t="n">
        <x:v>900</x:v>
      </x:c>
      <x:c r="I234" s="46" t="n">
        <x:v>0</x:v>
      </x:c>
      <x:c r="J234" s="47" t="n">
        <x:f>G234*H234*(1-I234)</x:f>
        <x:v>2700</x:v>
      </x:c>
      <x:c r="K234" s="47" t="n">
        <x:v>380</x:v>
      </x:c>
      <x:c r="L234" s="47" t="n">
        <x:f>G234*K234</x:f>
        <x:v>1140</x:v>
      </x:c>
      <x:c r="M234" s="47" t="n">
        <x:f>J234-L234</x:f>
        <x:v>1560</x:v>
      </x:c>
      <x:c r="N234" s="5" t="str">
        <x:v>Walk-in</x:v>
      </x:c>
      <x:c r="O234" s="5" t="str">
        <x:v>POS</x:v>
      </x:c>
      <x:c r="P234" s="5" t="str">
        <x:v>Dinner</x:v>
      </x:c>
      <x:c r="Q234" s="48" t="n">
        <x:v>16</x:v>
      </x:c>
      <x:c r="R234" s="5" t="n">
        <x:v>3</x:v>
      </x:c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5" t="str">
        <x:v>ORD-00924</x:v>
      </x:c>
      <x:c r="B235" s="43" t="n">
        <x:v>46053</x:v>
      </x:c>
      <x:c r="C235" s="5" t="str">
        <x:v>CUST-0376</x:v>
      </x:c>
      <x:c r="D235" s="5" t="str">
        <x:v>FD005</x:v>
      </x:c>
      <x:c r="E235" s="5" t="str">
        <x:v>Yam Porridge</x:v>
      </x:c>
      <x:c r="F235" s="5" t="str">
        <x:v>Traditional Meals</x:v>
      </x:c>
      <x:c r="G235" s="44" t="n">
        <x:v>4</x:v>
      </x:c>
      <x:c r="H235" s="45" t="n">
        <x:v>2200</x:v>
      </x:c>
      <x:c r="I235" s="46" t="n">
        <x:v>0</x:v>
      </x:c>
      <x:c r="J235" s="47" t="n">
        <x:f>G235*H235*(1-I235)</x:f>
        <x:v>8800</x:v>
      </x:c>
      <x:c r="K235" s="47" t="n">
        <x:v>1050</x:v>
      </x:c>
      <x:c r="L235" s="47" t="n">
        <x:f>G235*K235</x:f>
        <x:v>4200</x:v>
      </x:c>
      <x:c r="M235" s="47" t="n">
        <x:f>J235-L235</x:f>
        <x:v>4600</x:v>
      </x:c>
      <x:c r="N235" s="5" t="str">
        <x:v>Walk-in</x:v>
      </x:c>
      <x:c r="O235" s="5" t="str">
        <x:v>Cash</x:v>
      </x:c>
      <x:c r="P235" s="5" t="str">
        <x:v>Lunch</x:v>
      </x:c>
      <x:c r="Q235" s="48" t="n">
        <x:v>12</x:v>
      </x:c>
      <x:c r="R235" s="5" t="n">
        <x:v>5</x:v>
      </x:c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5" t="str">
        <x:v>ORD-01662</x:v>
      </x:c>
      <x:c r="B236" s="43" t="n">
        <x:v>46053</x:v>
      </x:c>
      <x:c r="C236" s="5" t="str">
        <x:v>CUST-0351</x:v>
      </x:c>
      <x:c r="D236" s="5" t="str">
        <x:v>FD002</x:v>
      </x:c>
      <x:c r="E236" s="5" t="str">
        <x:v>Jollof Rice &amp; Chicken</x:v>
      </x:c>
      <x:c r="F236" s="5" t="str">
        <x:v>Rice Meals</x:v>
      </x:c>
      <x:c r="G236" s="44" t="n">
        <x:v>1</x:v>
      </x:c>
      <x:c r="H236" s="45" t="n">
        <x:v>2800</x:v>
      </x:c>
      <x:c r="I236" s="46" t="n">
        <x:v>0</x:v>
      </x:c>
      <x:c r="J236" s="47" t="n">
        <x:f>G236*H236*(1-I236)</x:f>
        <x:v>2800</x:v>
      </x:c>
      <x:c r="K236" s="47" t="n">
        <x:v>1450</x:v>
      </x:c>
      <x:c r="L236" s="47" t="n">
        <x:f>G236*K236</x:f>
        <x:v>1450</x:v>
      </x:c>
      <x:c r="M236" s="47" t="n">
        <x:f>J236-L236</x:f>
        <x:v>1350</x:v>
      </x:c>
      <x:c r="N236" s="5" t="str">
        <x:v>Takeaway</x:v>
      </x:c>
      <x:c r="O236" s="5" t="str">
        <x:v>Cash</x:v>
      </x:c>
      <x:c r="P236" s="5" t="str">
        <x:v>Lunch</x:v>
      </x:c>
      <x:c r="Q236" s="48" t="n">
        <x:v>12</x:v>
      </x:c>
      <x:c r="R236" s="5" t="n">
        <x:v>4</x:v>
      </x:c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5" t="str">
        <x:v>ORD-00057</x:v>
      </x:c>
      <x:c r="B237" s="43" t="n">
        <x:v>46054</x:v>
      </x:c>
      <x:c r="C237" s="5" t="str">
        <x:v>CUST-0426</x:v>
      </x:c>
      <x:c r="D237" s="5" t="str">
        <x:v>FD004</x:v>
      </x:c>
      <x:c r="E237" s="5" t="str">
        <x:v>Beans &amp; Plantain</x:v>
      </x:c>
      <x:c r="F237" s="5" t="str">
        <x:v>Traditional Meals</x:v>
      </x:c>
      <x:c r="G237" s="44" t="n">
        <x:v>4</x:v>
      </x:c>
      <x:c r="H237" s="45" t="n">
        <x:v>2000</x:v>
      </x:c>
      <x:c r="I237" s="46" t="n">
        <x:v>0</x:v>
      </x:c>
      <x:c r="J237" s="47" t="n">
        <x:f>G237*H237*(1-I237)</x:f>
        <x:v>8000</x:v>
      </x:c>
      <x:c r="K237" s="47" t="n">
        <x:v>960</x:v>
      </x:c>
      <x:c r="L237" s="47" t="n">
        <x:f>G237*K237</x:f>
        <x:v>3840</x:v>
      </x:c>
      <x:c r="M237" s="47" t="n">
        <x:f>J237-L237</x:f>
        <x:v>4160</x:v>
      </x:c>
      <x:c r="N237" s="5" t="str">
        <x:v>Walk-in</x:v>
      </x:c>
      <x:c r="O237" s="5" t="str">
        <x:v>Cash</x:v>
      </x:c>
      <x:c r="P237" s="5" t="str">
        <x:v>Dinner</x:v>
      </x:c>
      <x:c r="Q237" s="48" t="n">
        <x:v>18</x:v>
      </x:c>
      <x:c r="R237" s="5" t="n">
        <x:v>4</x:v>
      </x:c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5" t="str">
        <x:v>ORD-00320</x:v>
      </x:c>
      <x:c r="B238" s="43" t="n">
        <x:v>46054</x:v>
      </x:c>
      <x:c r="C238" s="5" t="str">
        <x:v>CUST-0631</x:v>
      </x:c>
      <x:c r="D238" s="5" t="str">
        <x:v>FD007</x:v>
      </x:c>
      <x:c r="E238" s="5" t="str">
        <x:v>Amala &amp; Ewedu</x:v>
      </x:c>
      <x:c r="F238" s="5" t="str">
        <x:v>Swallow</x:v>
      </x:c>
      <x:c r="G238" s="44" t="n">
        <x:v>3</x:v>
      </x:c>
      <x:c r="H238" s="45" t="n">
        <x:v>2500</x:v>
      </x:c>
      <x:c r="I238" s="46" t="n">
        <x:v>0</x:v>
      </x:c>
      <x:c r="J238" s="47" t="n">
        <x:f>G238*H238*(1-I238)</x:f>
        <x:v>7500</x:v>
      </x:c>
      <x:c r="K238" s="47" t="n">
        <x:v>1250</x:v>
      </x:c>
      <x:c r="L238" s="47" t="n">
        <x:f>G238*K238</x:f>
        <x:v>3750</x:v>
      </x:c>
      <x:c r="M238" s="47" t="n">
        <x:f>J238-L238</x:f>
        <x:v>3750</x:v>
      </x:c>
      <x:c r="N238" s="5" t="str">
        <x:v>Takeaway</x:v>
      </x:c>
      <x:c r="O238" s="5" t="str">
        <x:v>POS</x:v>
      </x:c>
      <x:c r="P238" s="5" t="str">
        <x:v>Dinner</x:v>
      </x:c>
      <x:c r="Q238" s="48" t="n">
        <x:v>20</x:v>
      </x:c>
      <x:c r="R238" s="5" t="n">
        <x:v>5</x:v>
      </x:c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5" t="str">
        <x:v>ORD-00354</x:v>
      </x:c>
      <x:c r="B239" s="43" t="n">
        <x:v>46054</x:v>
      </x:c>
      <x:c r="C239" s="5" t="str">
        <x:v>CUST-0461</x:v>
      </x:c>
      <x:c r="D239" s="5" t="str">
        <x:v>FD001</x:v>
      </x:c>
      <x:c r="E239" s="5" t="str">
        <x:v>White Rice &amp; Stew</x:v>
      </x:c>
      <x:c r="F239" s="5" t="str">
        <x:v>Rice Meals</x:v>
      </x:c>
      <x:c r="G239" s="44" t="n">
        <x:v>4</x:v>
      </x:c>
      <x:c r="H239" s="45" t="n">
        <x:v>1800</x:v>
      </x:c>
      <x:c r="I239" s="46" t="n">
        <x:v>0</x:v>
      </x:c>
      <x:c r="J239" s="47" t="n">
        <x:f>G239*H239*(1-I239)</x:f>
        <x:v>7200</x:v>
      </x:c>
      <x:c r="K239" s="47" t="n">
        <x:v>820</x:v>
      </x:c>
      <x:c r="L239" s="47" t="n">
        <x:f>G239*K239</x:f>
        <x:v>3280</x:v>
      </x:c>
      <x:c r="M239" s="47" t="n">
        <x:f>J239-L239</x:f>
        <x:v>3920</x:v>
      </x:c>
      <x:c r="N239" s="5" t="str">
        <x:v>Walk-in</x:v>
      </x:c>
      <x:c r="O239" s="5" t="str">
        <x:v>Transfer</x:v>
      </x:c>
      <x:c r="P239" s="5" t="str">
        <x:v>Lunch</x:v>
      </x:c>
      <x:c r="Q239" s="48" t="n">
        <x:v>11</x:v>
      </x:c>
      <x:c r="R239" s="5" t="n">
        <x:v>4</x:v>
      </x:c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5" t="str">
        <x:v>ORD-00377</x:v>
      </x:c>
      <x:c r="B240" s="43" t="n">
        <x:v>46054</x:v>
      </x:c>
      <x:c r="C240" s="5" t="str">
        <x:v>CUST-0041</x:v>
      </x:c>
      <x:c r="D240" s="5" t="str">
        <x:v>FD005</x:v>
      </x:c>
      <x:c r="E240" s="5" t="str">
        <x:v>Yam Porridge</x:v>
      </x:c>
      <x:c r="F240" s="5" t="str">
        <x:v>Traditional Meals</x:v>
      </x:c>
      <x:c r="G240" s="44" t="n">
        <x:v>4</x:v>
      </x:c>
      <x:c r="H240" s="45" t="n">
        <x:v>2200</x:v>
      </x:c>
      <x:c r="I240" s="46" t="n">
        <x:v>0</x:v>
      </x:c>
      <x:c r="J240" s="47" t="n">
        <x:f>G240*H240*(1-I240)</x:f>
        <x:v>8800</x:v>
      </x:c>
      <x:c r="K240" s="47" t="n">
        <x:v>1050</x:v>
      </x:c>
      <x:c r="L240" s="47" t="n">
        <x:f>G240*K240</x:f>
        <x:v>4200</x:v>
      </x:c>
      <x:c r="M240" s="47" t="n">
        <x:f>J240-L240</x:f>
        <x:v>4600</x:v>
      </x:c>
      <x:c r="N240" s="5" t="str">
        <x:v>Takeaway</x:v>
      </x:c>
      <x:c r="O240" s="5" t="str">
        <x:v>POS</x:v>
      </x:c>
      <x:c r="P240" s="5" t="str">
        <x:v>Lunch</x:v>
      </x:c>
      <x:c r="Q240" s="48" t="n">
        <x:v>13</x:v>
      </x:c>
      <x:c r="R240" s="5" t="n">
        <x:v>5</x:v>
      </x:c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5" t="str">
        <x:v>ORD-00802</x:v>
      </x:c>
      <x:c r="B241" s="43" t="n">
        <x:v>46054</x:v>
      </x:c>
      <x:c r="C241" s="5" t="str">
        <x:v>CUST-0505</x:v>
      </x:c>
      <x:c r="D241" s="5" t="str">
        <x:v>FD008</x:v>
      </x:c>
      <x:c r="E241" s="5" t="str">
        <x:v>Pounded Yam &amp; Vegetable Soup</x:v>
      </x:c>
      <x:c r="F241" s="5" t="str">
        <x:v>Swallow</x:v>
      </x:c>
      <x:c r="G241" s="44" t="n">
        <x:v>2</x:v>
      </x:c>
      <x:c r="H241" s="45" t="n">
        <x:v>3200</x:v>
      </x:c>
      <x:c r="I241" s="46" t="n">
        <x:v>0</x:v>
      </x:c>
      <x:c r="J241" s="47" t="n">
        <x:f>G241*H241*(1-I241)</x:f>
        <x:v>6400</x:v>
      </x:c>
      <x:c r="K241" s="47" t="n">
        <x:v>1710</x:v>
      </x:c>
      <x:c r="L241" s="47" t="n">
        <x:f>G241*K241</x:f>
        <x:v>3420</x:v>
      </x:c>
      <x:c r="M241" s="47" t="n">
        <x:f>J241-L241</x:f>
        <x:v>2980</x:v>
      </x:c>
      <x:c r="N241" s="5" t="str">
        <x:v>Takeaway</x:v>
      </x:c>
      <x:c r="O241" s="5" t="str">
        <x:v>Cash</x:v>
      </x:c>
      <x:c r="P241" s="5" t="str">
        <x:v>Lunch</x:v>
      </x:c>
      <x:c r="Q241" s="48" t="n">
        <x:v>14</x:v>
      </x:c>
      <x:c r="R241" s="5" t="n">
        <x:v>4</x:v>
      </x:c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5" t="str">
        <x:v>ORD-00819</x:v>
      </x:c>
      <x:c r="B242" s="43" t="n">
        <x:v>46054</x:v>
      </x:c>
      <x:c r="C242" s="5" t="str">
        <x:v>CUST-0465</x:v>
      </x:c>
      <x:c r="D242" s="5" t="str">
        <x:v>FD003</x:v>
      </x:c>
      <x:c r="E242" s="5" t="str">
        <x:v>Fried Rice &amp; Chicken</x:v>
      </x:c>
      <x:c r="F242" s="5" t="str">
        <x:v>Rice Meals</x:v>
      </x:c>
      <x:c r="G242" s="44" t="n">
        <x:v>4</x:v>
      </x:c>
      <x:c r="H242" s="45" t="n">
        <x:v>3000</x:v>
      </x:c>
      <x:c r="I242" s="46" t="n">
        <x:v>0.05</x:v>
      </x:c>
      <x:c r="J242" s="47" t="n">
        <x:f>G242*H242*(1-I242)</x:f>
        <x:v>11400</x:v>
      </x:c>
      <x:c r="K242" s="47" t="n">
        <x:v>1580</x:v>
      </x:c>
      <x:c r="L242" s="47" t="n">
        <x:f>G242*K242</x:f>
        <x:v>6320</x:v>
      </x:c>
      <x:c r="M242" s="47" t="n">
        <x:f>J242-L242</x:f>
        <x:v>5080</x:v>
      </x:c>
      <x:c r="N242" s="5" t="str">
        <x:v>Takeaway</x:v>
      </x:c>
      <x:c r="O242" s="5" t="str">
        <x:v>Cash</x:v>
      </x:c>
      <x:c r="P242" s="5" t="str">
        <x:v>Lunch</x:v>
      </x:c>
      <x:c r="Q242" s="48" t="n">
        <x:v>12</x:v>
      </x:c>
      <x:c r="R242" s="5" t="n">
        <x:v>4</x:v>
      </x:c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5" t="str">
        <x:v>ORD-01412</x:v>
      </x:c>
      <x:c r="B243" s="43" t="n">
        <x:v>46054</x:v>
      </x:c>
      <x:c r="C243" s="5" t="str">
        <x:v>CUST-0028</x:v>
      </x:c>
      <x:c r="D243" s="5" t="str">
        <x:v>FD002</x:v>
      </x:c>
      <x:c r="E243" s="5" t="str">
        <x:v>Jollof Rice &amp; Chicken</x:v>
      </x:c>
      <x:c r="F243" s="5" t="str">
        <x:v>Rice Meals</x:v>
      </x:c>
      <x:c r="G243" s="44" t="n">
        <x:v>3</x:v>
      </x:c>
      <x:c r="H243" s="45" t="n">
        <x:v>2800</x:v>
      </x:c>
      <x:c r="I243" s="46" t="n">
        <x:v>0</x:v>
      </x:c>
      <x:c r="J243" s="47" t="n">
        <x:f>G243*H243*(1-I243)</x:f>
        <x:v>8400</x:v>
      </x:c>
      <x:c r="K243" s="47" t="n">
        <x:v>1450</x:v>
      </x:c>
      <x:c r="L243" s="47" t="n">
        <x:f>G243*K243</x:f>
        <x:v>4350</x:v>
      </x:c>
      <x:c r="M243" s="47" t="n">
        <x:f>J243-L243</x:f>
        <x:v>4050</x:v>
      </x:c>
      <x:c r="N243" s="5" t="str">
        <x:v>Walk-in</x:v>
      </x:c>
      <x:c r="O243" s="5" t="str">
        <x:v>POS</x:v>
      </x:c>
      <x:c r="P243" s="5" t="str">
        <x:v>Breakfast</x:v>
      </x:c>
      <x:c r="Q243" s="48" t="n">
        <x:v>8</x:v>
      </x:c>
      <x:c r="R243" s="5" t="n">
        <x:v>4</x:v>
      </x:c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5" t="str">
        <x:v>ORD-01446</x:v>
      </x:c>
      <x:c r="B244" s="43" t="n">
        <x:v>46054</x:v>
      </x:c>
      <x:c r="C244" s="5" t="str">
        <x:v>CUST-0258</x:v>
      </x:c>
      <x:c r="D244" s="5" t="str">
        <x:v>FD001</x:v>
      </x:c>
      <x:c r="E244" s="5" t="str">
        <x:v>White Rice &amp; Stew</x:v>
      </x:c>
      <x:c r="F244" s="5" t="str">
        <x:v>Rice Meals</x:v>
      </x:c>
      <x:c r="G244" s="44" t="n">
        <x:v>3</x:v>
      </x:c>
      <x:c r="H244" s="45" t="n">
        <x:v>1800</x:v>
      </x:c>
      <x:c r="I244" s="46" t="n">
        <x:v>0</x:v>
      </x:c>
      <x:c r="J244" s="47" t="n">
        <x:f>G244*H244*(1-I244)</x:f>
        <x:v>5400</x:v>
      </x:c>
      <x:c r="K244" s="47" t="n">
        <x:v>820</x:v>
      </x:c>
      <x:c r="L244" s="47" t="n">
        <x:f>G244*K244</x:f>
        <x:v>2460</x:v>
      </x:c>
      <x:c r="M244" s="47" t="n">
        <x:f>J244-L244</x:f>
        <x:v>2940</x:v>
      </x:c>
      <x:c r="N244" s="5" t="str">
        <x:v>Walk-in</x:v>
      </x:c>
      <x:c r="O244" s="5" t="str">
        <x:v>Cash</x:v>
      </x:c>
      <x:c r="P244" s="5" t="str">
        <x:v>Breakfast</x:v>
      </x:c>
      <x:c r="Q244" s="48" t="n">
        <x:v>8</x:v>
      </x:c>
      <x:c r="R244" s="5" t="n">
        <x:v>4</x:v>
      </x:c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5" t="str">
        <x:v>ORD-00510</x:v>
      </x:c>
      <x:c r="B245" s="43" t="n">
        <x:v>46055</x:v>
      </x:c>
      <x:c r="C245" s="5" t="str">
        <x:v>CUST-0230</x:v>
      </x:c>
      <x:c r="D245" s="5" t="str">
        <x:v>FD003</x:v>
      </x:c>
      <x:c r="E245" s="5" t="str">
        <x:v>Fried Rice &amp; Chicken</x:v>
      </x:c>
      <x:c r="F245" s="5" t="str">
        <x:v>Rice Meals</x:v>
      </x:c>
      <x:c r="G245" s="44" t="n">
        <x:v>1</x:v>
      </x:c>
      <x:c r="H245" s="45" t="n">
        <x:v>3000</x:v>
      </x:c>
      <x:c r="I245" s="46" t="n">
        <x:v>0</x:v>
      </x:c>
      <x:c r="J245" s="47" t="n">
        <x:f>G245*H245*(1-I245)</x:f>
        <x:v>3000</x:v>
      </x:c>
      <x:c r="K245" s="47" t="n">
        <x:v>1580</x:v>
      </x:c>
      <x:c r="L245" s="47" t="n">
        <x:f>G245*K245</x:f>
        <x:v>1580</x:v>
      </x:c>
      <x:c r="M245" s="47" t="n">
        <x:f>J245-L245</x:f>
        <x:v>1420</x:v>
      </x:c>
      <x:c r="N245" s="5" t="str">
        <x:v>Walk-in</x:v>
      </x:c>
      <x:c r="O245" s="5" t="str">
        <x:v>Cash</x:v>
      </x:c>
      <x:c r="P245" s="5" t="str">
        <x:v>Lunch</x:v>
      </x:c>
      <x:c r="Q245" s="48" t="n">
        <x:v>14</x:v>
      </x:c>
      <x:c r="R245" s="5" t="n">
        <x:v>5</x:v>
      </x:c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5" t="str">
        <x:v>ORD-00640</x:v>
      </x:c>
      <x:c r="B246" s="43" t="n">
        <x:v>46055</x:v>
      </x:c>
      <x:c r="C246" s="5" t="str">
        <x:v>CUST-0122</x:v>
      </x:c>
      <x:c r="D246" s="5" t="str">
        <x:v>FD001</x:v>
      </x:c>
      <x:c r="E246" s="5" t="str">
        <x:v>White Rice &amp; Stew</x:v>
      </x:c>
      <x:c r="F246" s="5" t="str">
        <x:v>Rice Meals</x:v>
      </x:c>
      <x:c r="G246" s="44" t="n">
        <x:v>3</x:v>
      </x:c>
      <x:c r="H246" s="45" t="n">
        <x:v>1800</x:v>
      </x:c>
      <x:c r="I246" s="46" t="n">
        <x:v>0</x:v>
      </x:c>
      <x:c r="J246" s="47" t="n">
        <x:f>G246*H246*(1-I246)</x:f>
        <x:v>5400</x:v>
      </x:c>
      <x:c r="K246" s="47" t="n">
        <x:v>820</x:v>
      </x:c>
      <x:c r="L246" s="47" t="n">
        <x:f>G246*K246</x:f>
        <x:v>2460</x:v>
      </x:c>
      <x:c r="M246" s="47" t="n">
        <x:f>J246-L246</x:f>
        <x:v>2940</x:v>
      </x:c>
      <x:c r="N246" s="5" t="str">
        <x:v>Walk-in</x:v>
      </x:c>
      <x:c r="O246" s="5" t="str">
        <x:v>Transfer</x:v>
      </x:c>
      <x:c r="P246" s="5" t="str">
        <x:v>Lunch</x:v>
      </x:c>
      <x:c r="Q246" s="48" t="n">
        <x:v>12</x:v>
      </x:c>
      <x:c r="R246" s="5" t="n">
        <x:v>4</x:v>
      </x:c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5" t="str">
        <x:v>ORD-00705</x:v>
      </x:c>
      <x:c r="B247" s="43" t="n">
        <x:v>46055</x:v>
      </x:c>
      <x:c r="C247" s="5" t="str">
        <x:v>CUST-0495</x:v>
      </x:c>
      <x:c r="D247" s="5" t="str">
        <x:v>FD001</x:v>
      </x:c>
      <x:c r="E247" s="5" t="str">
        <x:v>White Rice &amp; Stew</x:v>
      </x:c>
      <x:c r="F247" s="5" t="str">
        <x:v>Rice Meals</x:v>
      </x:c>
      <x:c r="G247" s="44" t="n">
        <x:v>4</x:v>
      </x:c>
      <x:c r="H247" s="45" t="n">
        <x:v>1800</x:v>
      </x:c>
      <x:c r="I247" s="46" t="n">
        <x:v>0</x:v>
      </x:c>
      <x:c r="J247" s="47" t="n">
        <x:f>G247*H247*(1-I247)</x:f>
        <x:v>7200</x:v>
      </x:c>
      <x:c r="K247" s="47" t="n">
        <x:v>820</x:v>
      </x:c>
      <x:c r="L247" s="47" t="n">
        <x:f>G247*K247</x:f>
        <x:v>3280</x:v>
      </x:c>
      <x:c r="M247" s="47" t="n">
        <x:f>J247-L247</x:f>
        <x:v>3920</x:v>
      </x:c>
      <x:c r="N247" s="5" t="str">
        <x:v>Walk-in</x:v>
      </x:c>
      <x:c r="O247" s="5" t="str">
        <x:v>Cash</x:v>
      </x:c>
      <x:c r="P247" s="5" t="str">
        <x:v>Lunch</x:v>
      </x:c>
      <x:c r="Q247" s="48" t="n">
        <x:v>14</x:v>
      </x:c>
      <x:c r="R247" s="5" t="n">
        <x:v>5</x:v>
      </x:c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5" t="str">
        <x:v>ORD-00958</x:v>
      </x:c>
      <x:c r="B248" s="43" t="n">
        <x:v>46055</x:v>
      </x:c>
      <x:c r="C248" s="5" t="str">
        <x:v>CUST-0074</x:v>
      </x:c>
      <x:c r="D248" s="5" t="str">
        <x:v>FD005</x:v>
      </x:c>
      <x:c r="E248" s="5" t="str">
        <x:v>Yam Porridge</x:v>
      </x:c>
      <x:c r="F248" s="5" t="str">
        <x:v>Traditional Meals</x:v>
      </x:c>
      <x:c r="G248" s="44" t="n">
        <x:v>3</x:v>
      </x:c>
      <x:c r="H248" s="45" t="n">
        <x:v>2200</x:v>
      </x:c>
      <x:c r="I248" s="46" t="n">
        <x:v>0</x:v>
      </x:c>
      <x:c r="J248" s="47" t="n">
        <x:f>G248*H248*(1-I248)</x:f>
        <x:v>6600</x:v>
      </x:c>
      <x:c r="K248" s="47" t="n">
        <x:v>1050</x:v>
      </x:c>
      <x:c r="L248" s="47" t="n">
        <x:f>G248*K248</x:f>
        <x:v>3150</x:v>
      </x:c>
      <x:c r="M248" s="47" t="n">
        <x:f>J248-L248</x:f>
        <x:v>3450</x:v>
      </x:c>
      <x:c r="N248" s="5" t="str">
        <x:v>Delivery</x:v>
      </x:c>
      <x:c r="O248" s="5" t="str">
        <x:v>Transfer</x:v>
      </x:c>
      <x:c r="P248" s="5" t="str">
        <x:v>Lunch</x:v>
      </x:c>
      <x:c r="Q248" s="48" t="n">
        <x:v>13</x:v>
      </x:c>
      <x:c r="R248" s="5" t="n">
        <x:v>5</x:v>
      </x:c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5" t="str">
        <x:v>ORD-01065</x:v>
      </x:c>
      <x:c r="B249" s="43" t="n">
        <x:v>46055</x:v>
      </x:c>
      <x:c r="C249" s="5" t="str">
        <x:v>CUST-0100</x:v>
      </x:c>
      <x:c r="D249" s="5" t="str">
        <x:v>FD005</x:v>
      </x:c>
      <x:c r="E249" s="5" t="str">
        <x:v>Yam Porridge</x:v>
      </x:c>
      <x:c r="F249" s="5" t="str">
        <x:v>Traditional Meals</x:v>
      </x:c>
      <x:c r="G249" s="44" t="n">
        <x:v>3</x:v>
      </x:c>
      <x:c r="H249" s="45" t="n">
        <x:v>2200</x:v>
      </x:c>
      <x:c r="I249" s="46" t="n">
        <x:v>0</x:v>
      </x:c>
      <x:c r="J249" s="47" t="n">
        <x:f>G249*H249*(1-I249)</x:f>
        <x:v>6600</x:v>
      </x:c>
      <x:c r="K249" s="47" t="n">
        <x:v>1050</x:v>
      </x:c>
      <x:c r="L249" s="47" t="n">
        <x:f>G249*K249</x:f>
        <x:v>3150</x:v>
      </x:c>
      <x:c r="M249" s="47" t="n">
        <x:f>J249-L249</x:f>
        <x:v>3450</x:v>
      </x:c>
      <x:c r="N249" s="5" t="str">
        <x:v>Walk-in</x:v>
      </x:c>
      <x:c r="O249" s="5" t="str">
        <x:v>POS</x:v>
      </x:c>
      <x:c r="P249" s="5" t="str">
        <x:v>Lunch</x:v>
      </x:c>
      <x:c r="Q249" s="48" t="n">
        <x:v>14</x:v>
      </x:c>
      <x:c r="R249" s="5" t="n">
        <x:v>4</x:v>
      </x:c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5" t="str">
        <x:v>ORD-01127</x:v>
      </x:c>
      <x:c r="B250" s="43" t="n">
        <x:v>46055</x:v>
      </x:c>
      <x:c r="C250" s="5" t="str">
        <x:v>CUST-0126</x:v>
      </x:c>
      <x:c r="D250" s="5" t="str">
        <x:v>FD001</x:v>
      </x:c>
      <x:c r="E250" s="5" t="str">
        <x:v>White Rice &amp; Stew</x:v>
      </x:c>
      <x:c r="F250" s="5" t="str">
        <x:v>Rice Meals</x:v>
      </x:c>
      <x:c r="G250" s="44" t="n">
        <x:v>3</x:v>
      </x:c>
      <x:c r="H250" s="45" t="n">
        <x:v>1800</x:v>
      </x:c>
      <x:c r="I250" s="46" t="n">
        <x:v>0</x:v>
      </x:c>
      <x:c r="J250" s="47" t="n">
        <x:f>G250*H250*(1-I250)</x:f>
        <x:v>5400</x:v>
      </x:c>
      <x:c r="K250" s="47" t="n">
        <x:v>820</x:v>
      </x:c>
      <x:c r="L250" s="47" t="n">
        <x:f>G250*K250</x:f>
        <x:v>2460</x:v>
      </x:c>
      <x:c r="M250" s="47" t="n">
        <x:f>J250-L250</x:f>
        <x:v>2940</x:v>
      </x:c>
      <x:c r="N250" s="5" t="str">
        <x:v>Delivery</x:v>
      </x:c>
      <x:c r="O250" s="5" t="str">
        <x:v>POS</x:v>
      </x:c>
      <x:c r="P250" s="5" t="str">
        <x:v>Lunch</x:v>
      </x:c>
      <x:c r="Q250" s="48" t="n">
        <x:v>12</x:v>
      </x:c>
      <x:c r="R250" s="5" t="n">
        <x:v>4</x:v>
      </x:c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5" t="str">
        <x:v>ORD-01128</x:v>
      </x:c>
      <x:c r="B251" s="43" t="n">
        <x:v>46055</x:v>
      </x:c>
      <x:c r="C251" s="5" t="str">
        <x:v>CUST-0090</x:v>
      </x:c>
      <x:c r="D251" s="5" t="str">
        <x:v>FD002</x:v>
      </x:c>
      <x:c r="E251" s="5" t="str">
        <x:v>Jollof Rice &amp; Chicken</x:v>
      </x:c>
      <x:c r="F251" s="5" t="str">
        <x:v>Rice Meals</x:v>
      </x:c>
      <x:c r="G251" s="44" t="n">
        <x:v>3</x:v>
      </x:c>
      <x:c r="H251" s="45" t="n">
        <x:v>2800</x:v>
      </x:c>
      <x:c r="I251" s="46" t="n">
        <x:v>0</x:v>
      </x:c>
      <x:c r="J251" s="47" t="n">
        <x:f>G251*H251*(1-I251)</x:f>
        <x:v>8400</x:v>
      </x:c>
      <x:c r="K251" s="47" t="n">
        <x:v>1450</x:v>
      </x:c>
      <x:c r="L251" s="47" t="n">
        <x:f>G251*K251</x:f>
        <x:v>4350</x:v>
      </x:c>
      <x:c r="M251" s="47" t="n">
        <x:f>J251-L251</x:f>
        <x:v>4050</x:v>
      </x:c>
      <x:c r="N251" s="5" t="str">
        <x:v>Walk-in</x:v>
      </x:c>
      <x:c r="O251" s="5" t="str">
        <x:v>Transfer</x:v>
      </x:c>
      <x:c r="P251" s="5" t="str">
        <x:v>Lunch</x:v>
      </x:c>
      <x:c r="Q251" s="48" t="n">
        <x:v>14</x:v>
      </x:c>
      <x:c r="R251" s="5" t="n">
        <x:v>5</x:v>
      </x:c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5" t="str">
        <x:v>ORD-01281</x:v>
      </x:c>
      <x:c r="B252" s="43" t="n">
        <x:v>46055</x:v>
      </x:c>
      <x:c r="C252" s="5" t="str">
        <x:v>CUST-0015</x:v>
      </x:c>
      <x:c r="D252" s="5" t="str">
        <x:v>FD012</x:v>
      </x:c>
      <x:c r="E252" s="5" t="str">
        <x:v>Fried Plantain</x:v>
      </x:c>
      <x:c r="F252" s="5" t="str">
        <x:v>Sides</x:v>
      </x:c>
      <x:c r="G252" s="44" t="n">
        <x:v>4</x:v>
      </x:c>
      <x:c r="H252" s="45" t="n">
        <x:v>700</x:v>
      </x:c>
      <x:c r="I252" s="46" t="n">
        <x:v>0</x:v>
      </x:c>
      <x:c r="J252" s="47" t="n">
        <x:f>G252*H252*(1-I252)</x:f>
        <x:v>2800</x:v>
      </x:c>
      <x:c r="K252" s="47" t="n">
        <x:v>300</x:v>
      </x:c>
      <x:c r="L252" s="47" t="n">
        <x:f>G252*K252</x:f>
        <x:v>1200</x:v>
      </x:c>
      <x:c r="M252" s="47" t="n">
        <x:f>J252-L252</x:f>
        <x:v>1600</x:v>
      </x:c>
      <x:c r="N252" s="5" t="str">
        <x:v>Delivery</x:v>
      </x:c>
      <x:c r="O252" s="5" t="str">
        <x:v>Cash</x:v>
      </x:c>
      <x:c r="P252" s="5" t="str">
        <x:v>Lunch</x:v>
      </x:c>
      <x:c r="Q252" s="48" t="n">
        <x:v>13</x:v>
      </x:c>
      <x:c r="R252" s="5" t="n">
        <x:v>3</x:v>
      </x:c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5" t="str">
        <x:v>ORD-01436</x:v>
      </x:c>
      <x:c r="B253" s="43" t="n">
        <x:v>46055</x:v>
      </x:c>
      <x:c r="C253" s="5" t="str">
        <x:v>CUST-0409</x:v>
      </x:c>
      <x:c r="D253" s="5" t="str">
        <x:v>FD009</x:v>
      </x:c>
      <x:c r="E253" s="5" t="str">
        <x:v>Moi Moi</x:v>
      </x:c>
      <x:c r="F253" s="5" t="str">
        <x:v>Sides</x:v>
      </x:c>
      <x:c r="G253" s="44" t="n">
        <x:v>2</x:v>
      </x:c>
      <x:c r="H253" s="45" t="n">
        <x:v>900</x:v>
      </x:c>
      <x:c r="I253" s="46" t="n">
        <x:v>0</x:v>
      </x:c>
      <x:c r="J253" s="47" t="n">
        <x:f>G253*H253*(1-I253)</x:f>
        <x:v>1800</x:v>
      </x:c>
      <x:c r="K253" s="47" t="n">
        <x:v>380</x:v>
      </x:c>
      <x:c r="L253" s="47" t="n">
        <x:f>G253*K253</x:f>
        <x:v>760</x:v>
      </x:c>
      <x:c r="M253" s="47" t="n">
        <x:f>J253-L253</x:f>
        <x:v>1040</x:v>
      </x:c>
      <x:c r="N253" s="5" t="str">
        <x:v>Walk-in</x:v>
      </x:c>
      <x:c r="O253" s="5" t="str">
        <x:v>POS</x:v>
      </x:c>
      <x:c r="P253" s="5" t="str">
        <x:v>Dinner</x:v>
      </x:c>
      <x:c r="Q253" s="48" t="n">
        <x:v>18</x:v>
      </x:c>
      <x:c r="R253" s="5" t="n">
        <x:v>5</x:v>
      </x:c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5" t="str">
        <x:v>ORD-01575</x:v>
      </x:c>
      <x:c r="B254" s="43" t="n">
        <x:v>46055</x:v>
      </x:c>
      <x:c r="C254" s="5" t="str">
        <x:v>CUST-0181</x:v>
      </x:c>
      <x:c r="D254" s="5" t="str">
        <x:v>FD008</x:v>
      </x:c>
      <x:c r="E254" s="5" t="str">
        <x:v>Pounded Yam &amp; Vegetable Soup</x:v>
      </x:c>
      <x:c r="F254" s="5" t="str">
        <x:v>Swallow</x:v>
      </x:c>
      <x:c r="G254" s="44" t="n">
        <x:v>2</x:v>
      </x:c>
      <x:c r="H254" s="45" t="n">
        <x:v>3200</x:v>
      </x:c>
      <x:c r="I254" s="46" t="n">
        <x:v>0</x:v>
      </x:c>
      <x:c r="J254" s="47" t="n">
        <x:f>G254*H254*(1-I254)</x:f>
        <x:v>6400</x:v>
      </x:c>
      <x:c r="K254" s="47" t="n">
        <x:v>1710</x:v>
      </x:c>
      <x:c r="L254" s="47" t="n">
        <x:f>G254*K254</x:f>
        <x:v>3420</x:v>
      </x:c>
      <x:c r="M254" s="47" t="n">
        <x:f>J254-L254</x:f>
        <x:v>2980</x:v>
      </x:c>
      <x:c r="N254" s="5" t="str">
        <x:v>Takeaway</x:v>
      </x:c>
      <x:c r="O254" s="5" t="str">
        <x:v>POS</x:v>
      </x:c>
      <x:c r="P254" s="5" t="str">
        <x:v>Lunch</x:v>
      </x:c>
      <x:c r="Q254" s="48" t="n">
        <x:v>14</x:v>
      </x:c>
      <x:c r="R254" s="5" t="n">
        <x:v>4</x:v>
      </x:c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5" t="str">
        <x:v>ORD-01580</x:v>
      </x:c>
      <x:c r="B255" s="43" t="n">
        <x:v>46055</x:v>
      </x:c>
      <x:c r="C255" s="5" t="str">
        <x:v>CUST-0517</x:v>
      </x:c>
      <x:c r="D255" s="5" t="str">
        <x:v>FD007</x:v>
      </x:c>
      <x:c r="E255" s="5" t="str">
        <x:v>Amala &amp; Ewedu</x:v>
      </x:c>
      <x:c r="F255" s="5" t="str">
        <x:v>Swallow</x:v>
      </x:c>
      <x:c r="G255" s="44" t="n">
        <x:v>3</x:v>
      </x:c>
      <x:c r="H255" s="45" t="n">
        <x:v>2500</x:v>
      </x:c>
      <x:c r="I255" s="46" t="n">
        <x:v>0.05</x:v>
      </x:c>
      <x:c r="J255" s="47" t="n">
        <x:f>G255*H255*(1-I255)</x:f>
        <x:v>7125</x:v>
      </x:c>
      <x:c r="K255" s="47" t="n">
        <x:v>1250</x:v>
      </x:c>
      <x:c r="L255" s="47" t="n">
        <x:f>G255*K255</x:f>
        <x:v>3750</x:v>
      </x:c>
      <x:c r="M255" s="47" t="n">
        <x:f>J255-L255</x:f>
        <x:v>3375</x:v>
      </x:c>
      <x:c r="N255" s="5" t="str">
        <x:v>Takeaway</x:v>
      </x:c>
      <x:c r="O255" s="5" t="str">
        <x:v>Transfer</x:v>
      </x:c>
      <x:c r="P255" s="5" t="str">
        <x:v>Dinner</x:v>
      </x:c>
      <x:c r="Q255" s="48" t="n">
        <x:v>17</x:v>
      </x:c>
      <x:c r="R255" s="5" t="n">
        <x:v>4</x:v>
      </x:c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5" t="str">
        <x:v>ORD-00114</x:v>
      </x:c>
      <x:c r="B256" s="43" t="n">
        <x:v>46056</x:v>
      </x:c>
      <x:c r="C256" s="5" t="str">
        <x:v>CUST-0256</x:v>
      </x:c>
      <x:c r="D256" s="5" t="str">
        <x:v>FD002</x:v>
      </x:c>
      <x:c r="E256" s="5" t="str">
        <x:v>Jollof Rice &amp; Chicken</x:v>
      </x:c>
      <x:c r="F256" s="5" t="str">
        <x:v>Rice Meals</x:v>
      </x:c>
      <x:c r="G256" s="44" t="n">
        <x:v>3</x:v>
      </x:c>
      <x:c r="H256" s="45" t="n">
        <x:v>2800</x:v>
      </x:c>
      <x:c r="I256" s="46" t="n">
        <x:v>0</x:v>
      </x:c>
      <x:c r="J256" s="47" t="n">
        <x:f>G256*H256*(1-I256)</x:f>
        <x:v>8400</x:v>
      </x:c>
      <x:c r="K256" s="47" t="n">
        <x:v>1450</x:v>
      </x:c>
      <x:c r="L256" s="47" t="n">
        <x:f>G256*K256</x:f>
        <x:v>4350</x:v>
      </x:c>
      <x:c r="M256" s="47" t="n">
        <x:f>J256-L256</x:f>
        <x:v>4050</x:v>
      </x:c>
      <x:c r="N256" s="5" t="str">
        <x:v>Walk-in</x:v>
      </x:c>
      <x:c r="O256" s="5" t="str">
        <x:v>POS</x:v>
      </x:c>
      <x:c r="P256" s="5" t="str">
        <x:v>Lunch</x:v>
      </x:c>
      <x:c r="Q256" s="48" t="n">
        <x:v>14</x:v>
      </x:c>
      <x:c r="R256" s="5" t="n">
        <x:v>5</x:v>
      </x:c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5" t="str">
        <x:v>ORD-00193</x:v>
      </x:c>
      <x:c r="B257" s="43" t="n">
        <x:v>46056</x:v>
      </x:c>
      <x:c r="C257" s="5" t="str">
        <x:v>CUST-0192</x:v>
      </x:c>
      <x:c r="D257" s="5" t="str">
        <x:v>FD004</x:v>
      </x:c>
      <x:c r="E257" s="5" t="str">
        <x:v>Beans &amp; Plantain</x:v>
      </x:c>
      <x:c r="F257" s="5" t="str">
        <x:v>Traditional Meals</x:v>
      </x:c>
      <x:c r="G257" s="44" t="n">
        <x:v>3</x:v>
      </x:c>
      <x:c r="H257" s="45" t="n">
        <x:v>2000</x:v>
      </x:c>
      <x:c r="I257" s="46" t="n">
        <x:v>0</x:v>
      </x:c>
      <x:c r="J257" s="47" t="n">
        <x:f>G257*H257*(1-I257)</x:f>
        <x:v>6000</x:v>
      </x:c>
      <x:c r="K257" s="47" t="n">
        <x:v>960</x:v>
      </x:c>
      <x:c r="L257" s="47" t="n">
        <x:f>G257*K257</x:f>
        <x:v>2880</x:v>
      </x:c>
      <x:c r="M257" s="47" t="n">
        <x:f>J257-L257</x:f>
        <x:v>3120</x:v>
      </x:c>
      <x:c r="N257" s="5" t="str">
        <x:v>Walk-in</x:v>
      </x:c>
      <x:c r="O257" s="5" t="str">
        <x:v>Cash</x:v>
      </x:c>
      <x:c r="P257" s="5" t="str">
        <x:v>Breakfast</x:v>
      </x:c>
      <x:c r="Q257" s="48" t="n">
        <x:v>10</x:v>
      </x:c>
      <x:c r="R257" s="5" t="n">
        <x:v>4</x:v>
      </x:c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5" t="str">
        <x:v>ORD-00324</x:v>
      </x:c>
      <x:c r="B258" s="43" t="n">
        <x:v>46056</x:v>
      </x:c>
      <x:c r="C258" s="5" t="str">
        <x:v>CUST-0269</x:v>
      </x:c>
      <x:c r="D258" s="5" t="str">
        <x:v>FD011</x:v>
      </x:c>
      <x:c r="E258" s="5" t="str">
        <x:v>Bottled Water</x:v>
      </x:c>
      <x:c r="F258" s="5" t="str">
        <x:v>Beverages</x:v>
      </x:c>
      <x:c r="G258" s="44" t="n">
        <x:v>2</x:v>
      </x:c>
      <x:c r="H258" s="45" t="n">
        <x:v>300</x:v>
      </x:c>
      <x:c r="I258" s="46" t="n">
        <x:v>0</x:v>
      </x:c>
      <x:c r="J258" s="47" t="n">
        <x:f>G258*H258*(1-I258)</x:f>
        <x:v>600</x:v>
      </x:c>
      <x:c r="K258" s="47" t="n">
        <x:v>120</x:v>
      </x:c>
      <x:c r="L258" s="47" t="n">
        <x:f>G258*K258</x:f>
        <x:v>240</x:v>
      </x:c>
      <x:c r="M258" s="47" t="n">
        <x:f>J258-L258</x:f>
        <x:v>360</x:v>
      </x:c>
      <x:c r="N258" s="5" t="str">
        <x:v>Walk-in</x:v>
      </x:c>
      <x:c r="O258" s="5" t="str">
        <x:v>POS</x:v>
      </x:c>
      <x:c r="P258" s="5" t="str">
        <x:v>Breakfast</x:v>
      </x:c>
      <x:c r="Q258" s="48" t="n">
        <x:v>9</x:v>
      </x:c>
      <x:c r="R258" s="5" t="n">
        <x:v>4</x:v>
      </x:c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5" t="str">
        <x:v>ORD-00838</x:v>
      </x:c>
      <x:c r="B259" s="43" t="n">
        <x:v>46056</x:v>
      </x:c>
      <x:c r="C259" s="5" t="str">
        <x:v>CUST-0573</x:v>
      </x:c>
      <x:c r="D259" s="5" t="str">
        <x:v>FD004</x:v>
      </x:c>
      <x:c r="E259" s="5" t="str">
        <x:v>Beans &amp; Plantain</x:v>
      </x:c>
      <x:c r="F259" s="5" t="str">
        <x:v>Traditional Meals</x:v>
      </x:c>
      <x:c r="G259" s="44" t="n">
        <x:v>2</x:v>
      </x:c>
      <x:c r="H259" s="45" t="n">
        <x:v>2000</x:v>
      </x:c>
      <x:c r="I259" s="46" t="n">
        <x:v>0</x:v>
      </x:c>
      <x:c r="J259" s="47" t="n">
        <x:f>G259*H259*(1-I259)</x:f>
        <x:v>4000</x:v>
      </x:c>
      <x:c r="K259" s="47" t="n">
        <x:v>960</x:v>
      </x:c>
      <x:c r="L259" s="47" t="n">
        <x:f>G259*K259</x:f>
        <x:v>1920</x:v>
      </x:c>
      <x:c r="M259" s="47" t="n">
        <x:f>J259-L259</x:f>
        <x:v>2080</x:v>
      </x:c>
      <x:c r="N259" s="5" t="str">
        <x:v>Walk-in</x:v>
      </x:c>
      <x:c r="O259" s="5" t="str">
        <x:v>Cash</x:v>
      </x:c>
      <x:c r="P259" s="5" t="str">
        <x:v>Lunch</x:v>
      </x:c>
      <x:c r="Q259" s="48" t="n">
        <x:v>13</x:v>
      </x:c>
      <x:c r="R259" s="5" t="n">
        <x:v>5</x:v>
      </x:c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5" t="str">
        <x:v>ORD-00901</x:v>
      </x:c>
      <x:c r="B260" s="43" t="n">
        <x:v>46056</x:v>
      </x:c>
      <x:c r="C260" s="5" t="str">
        <x:v>CUST-0333</x:v>
      </x:c>
      <x:c r="D260" s="5" t="str">
        <x:v>FD002</x:v>
      </x:c>
      <x:c r="E260" s="5" t="str">
        <x:v>Jollof Rice &amp; Chicken</x:v>
      </x:c>
      <x:c r="F260" s="5" t="str">
        <x:v>Rice Meals</x:v>
      </x:c>
      <x:c r="G260" s="44" t="n">
        <x:v>1</x:v>
      </x:c>
      <x:c r="H260" s="45" t="n">
        <x:v>2800</x:v>
      </x:c>
      <x:c r="I260" s="46" t="n">
        <x:v>0</x:v>
      </x:c>
      <x:c r="J260" s="47" t="n">
        <x:f>G260*H260*(1-I260)</x:f>
        <x:v>2800</x:v>
      </x:c>
      <x:c r="K260" s="47" t="n">
        <x:v>1450</x:v>
      </x:c>
      <x:c r="L260" s="47" t="n">
        <x:f>G260*K260</x:f>
        <x:v>1450</x:v>
      </x:c>
      <x:c r="M260" s="47" t="n">
        <x:f>J260-L260</x:f>
        <x:v>1350</x:v>
      </x:c>
      <x:c r="N260" s="5" t="str">
        <x:v>Delivery</x:v>
      </x:c>
      <x:c r="O260" s="5" t="str">
        <x:v>Transfer</x:v>
      </x:c>
      <x:c r="P260" s="5" t="str">
        <x:v>Dinner</x:v>
      </x:c>
      <x:c r="Q260" s="48" t="n">
        <x:v>19</x:v>
      </x:c>
      <x:c r="R260" s="5" t="n">
        <x:v>5</x:v>
      </x:c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5" t="str">
        <x:v>ORD-00926</x:v>
      </x:c>
      <x:c r="B261" s="43" t="n">
        <x:v>46056</x:v>
      </x:c>
      <x:c r="C261" s="5" t="str">
        <x:v>CUST-0066</x:v>
      </x:c>
      <x:c r="D261" s="5" t="str">
        <x:v>FD005</x:v>
      </x:c>
      <x:c r="E261" s="5" t="str">
        <x:v>Yam Porridge</x:v>
      </x:c>
      <x:c r="F261" s="5" t="str">
        <x:v>Traditional Meals</x:v>
      </x:c>
      <x:c r="G261" s="44" t="n">
        <x:v>3</x:v>
      </x:c>
      <x:c r="H261" s="45" t="n">
        <x:v>2200</x:v>
      </x:c>
      <x:c r="I261" s="46" t="n">
        <x:v>0</x:v>
      </x:c>
      <x:c r="J261" s="47" t="n">
        <x:f>G261*H261*(1-I261)</x:f>
        <x:v>6600</x:v>
      </x:c>
      <x:c r="K261" s="47" t="n">
        <x:v>1050</x:v>
      </x:c>
      <x:c r="L261" s="47" t="n">
        <x:f>G261*K261</x:f>
        <x:v>3150</x:v>
      </x:c>
      <x:c r="M261" s="47" t="n">
        <x:f>J261-L261</x:f>
        <x:v>3450</x:v>
      </x:c>
      <x:c r="N261" s="5" t="str">
        <x:v>Delivery</x:v>
      </x:c>
      <x:c r="O261" s="5" t="str">
        <x:v>Transfer</x:v>
      </x:c>
      <x:c r="P261" s="5" t="str">
        <x:v>Dinner</x:v>
      </x:c>
      <x:c r="Q261" s="48" t="n">
        <x:v>18</x:v>
      </x:c>
      <x:c r="R261" s="5" t="n">
        <x:v>3</x:v>
      </x:c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5" t="str">
        <x:v>ORD-01227</x:v>
      </x:c>
      <x:c r="B262" s="43" t="n">
        <x:v>46056</x:v>
      </x:c>
      <x:c r="C262" s="5" t="str">
        <x:v>CUST-0572</x:v>
      </x:c>
      <x:c r="D262" s="5" t="str">
        <x:v>FD006</x:v>
      </x:c>
      <x:c r="E262" s="5" t="str">
        <x:v>Eba &amp; Egusi Soup</x:v>
      </x:c>
      <x:c r="F262" s="5" t="str">
        <x:v>Swallow</x:v>
      </x:c>
      <x:c r="G262" s="44" t="n">
        <x:v>2</x:v>
      </x:c>
      <x:c r="H262" s="45" t="n">
        <x:v>2600</x:v>
      </x:c>
      <x:c r="I262" s="46" t="n">
        <x:v>0</x:v>
      </x:c>
      <x:c r="J262" s="47" t="n">
        <x:f>G262*H262*(1-I262)</x:f>
        <x:v>5200</x:v>
      </x:c>
      <x:c r="K262" s="47" t="n">
        <x:v>1320</x:v>
      </x:c>
      <x:c r="L262" s="47" t="n">
        <x:f>G262*K262</x:f>
        <x:v>2640</x:v>
      </x:c>
      <x:c r="M262" s="47" t="n">
        <x:f>J262-L262</x:f>
        <x:v>2560</x:v>
      </x:c>
      <x:c r="N262" s="5" t="str">
        <x:v>Walk-in</x:v>
      </x:c>
      <x:c r="O262" s="5" t="str">
        <x:v>Cash</x:v>
      </x:c>
      <x:c r="P262" s="5" t="str">
        <x:v>Breakfast</x:v>
      </x:c>
      <x:c r="Q262" s="48" t="n">
        <x:v>8</x:v>
      </x:c>
      <x:c r="R262" s="5" t="n">
        <x:v>4</x:v>
      </x:c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5" t="str">
        <x:v>ORD-01450</x:v>
      </x:c>
      <x:c r="B263" s="43" t="n">
        <x:v>46056</x:v>
      </x:c>
      <x:c r="C263" s="5" t="str">
        <x:v>CUST-0482</x:v>
      </x:c>
      <x:c r="D263" s="5" t="str">
        <x:v>FD003</x:v>
      </x:c>
      <x:c r="E263" s="5" t="str">
        <x:v>Fried Rice &amp; Chicken</x:v>
      </x:c>
      <x:c r="F263" s="5" t="str">
        <x:v>Rice Meals</x:v>
      </x:c>
      <x:c r="G263" s="44" t="n">
        <x:v>1</x:v>
      </x:c>
      <x:c r="H263" s="45" t="n">
        <x:v>3000</x:v>
      </x:c>
      <x:c r="I263" s="46" t="n">
        <x:v>0</x:v>
      </x:c>
      <x:c r="J263" s="47" t="n">
        <x:f>G263*H263*(1-I263)</x:f>
        <x:v>3000</x:v>
      </x:c>
      <x:c r="K263" s="47" t="n">
        <x:v>1580</x:v>
      </x:c>
      <x:c r="L263" s="47" t="n">
        <x:f>G263*K263</x:f>
        <x:v>1580</x:v>
      </x:c>
      <x:c r="M263" s="47" t="n">
        <x:f>J263-L263</x:f>
        <x:v>1420</x:v>
      </x:c>
      <x:c r="N263" s="5" t="str">
        <x:v>Takeaway</x:v>
      </x:c>
      <x:c r="O263" s="5" t="str">
        <x:v>Cash</x:v>
      </x:c>
      <x:c r="P263" s="5" t="str">
        <x:v>Lunch</x:v>
      </x:c>
      <x:c r="Q263" s="48" t="n">
        <x:v>13</x:v>
      </x:c>
      <x:c r="R263" s="5" t="n">
        <x:v>3</x:v>
      </x:c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5" t="str">
        <x:v>ORD-01764</x:v>
      </x:c>
      <x:c r="B264" s="43" t="n">
        <x:v>46056</x:v>
      </x:c>
      <x:c r="C264" s="5" t="str">
        <x:v>CUST-0012</x:v>
      </x:c>
      <x:c r="D264" s="5" t="str">
        <x:v>FD006</x:v>
      </x:c>
      <x:c r="E264" s="5" t="str">
        <x:v>Eba &amp; Egusi Soup</x:v>
      </x:c>
      <x:c r="F264" s="5" t="str">
        <x:v>Swallow</x:v>
      </x:c>
      <x:c r="G264" s="44" t="n">
        <x:v>2</x:v>
      </x:c>
      <x:c r="H264" s="45" t="n">
        <x:v>2600</x:v>
      </x:c>
      <x:c r="I264" s="46" t="n">
        <x:v>0</x:v>
      </x:c>
      <x:c r="J264" s="47" t="n">
        <x:f>G264*H264*(1-I264)</x:f>
        <x:v>5200</x:v>
      </x:c>
      <x:c r="K264" s="47" t="n">
        <x:v>1320</x:v>
      </x:c>
      <x:c r="L264" s="47" t="n">
        <x:f>G264*K264</x:f>
        <x:v>2640</x:v>
      </x:c>
      <x:c r="M264" s="47" t="n">
        <x:f>J264-L264</x:f>
        <x:v>2560</x:v>
      </x:c>
      <x:c r="N264" s="5" t="str">
        <x:v>Takeaway</x:v>
      </x:c>
      <x:c r="O264" s="5" t="str">
        <x:v>POS</x:v>
      </x:c>
      <x:c r="P264" s="5" t="str">
        <x:v>Lunch</x:v>
      </x:c>
      <x:c r="Q264" s="48" t="n">
        <x:v>14</x:v>
      </x:c>
      <x:c r="R264" s="5" t="n">
        <x:v>5</x:v>
      </x:c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5" t="str">
        <x:v>ORD-00140</x:v>
      </x:c>
      <x:c r="B265" s="43" t="n">
        <x:v>46057</x:v>
      </x:c>
      <x:c r="C265" s="5" t="str">
        <x:v>CUST-0254</x:v>
      </x:c>
      <x:c r="D265" s="5" t="str">
        <x:v>FD007</x:v>
      </x:c>
      <x:c r="E265" s="5" t="str">
        <x:v>Amala &amp; Ewedu</x:v>
      </x:c>
      <x:c r="F265" s="5" t="str">
        <x:v>Swallow</x:v>
      </x:c>
      <x:c r="G265" s="44" t="n">
        <x:v>4</x:v>
      </x:c>
      <x:c r="H265" s="45" t="n">
        <x:v>2500</x:v>
      </x:c>
      <x:c r="I265" s="46" t="n">
        <x:v>0</x:v>
      </x:c>
      <x:c r="J265" s="47" t="n">
        <x:f>G265*H265*(1-I265)</x:f>
        <x:v>10000</x:v>
      </x:c>
      <x:c r="K265" s="47" t="n">
        <x:v>1250</x:v>
      </x:c>
      <x:c r="L265" s="47" t="n">
        <x:f>G265*K265</x:f>
        <x:v>5000</x:v>
      </x:c>
      <x:c r="M265" s="47" t="n">
        <x:f>J265-L265</x:f>
        <x:v>5000</x:v>
      </x:c>
      <x:c r="N265" s="5" t="str">
        <x:v>Walk-in</x:v>
      </x:c>
      <x:c r="O265" s="5" t="str">
        <x:v>Cash</x:v>
      </x:c>
      <x:c r="P265" s="5" t="str">
        <x:v>Lunch</x:v>
      </x:c>
      <x:c r="Q265" s="48" t="n">
        <x:v>11</x:v>
      </x:c>
      <x:c r="R265" s="5" t="n">
        <x:v>5</x:v>
      </x:c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5" t="str">
        <x:v>ORD-00397</x:v>
      </x:c>
      <x:c r="B266" s="43" t="n">
        <x:v>46057</x:v>
      </x:c>
      <x:c r="C266" s="5" t="str">
        <x:v>CUST-0600</x:v>
      </x:c>
      <x:c r="D266" s="5" t="str">
        <x:v>FD001</x:v>
      </x:c>
      <x:c r="E266" s="5" t="str">
        <x:v>White Rice &amp; Stew</x:v>
      </x:c>
      <x:c r="F266" s="5" t="str">
        <x:v>Rice Meals</x:v>
      </x:c>
      <x:c r="G266" s="44" t="n">
        <x:v>2</x:v>
      </x:c>
      <x:c r="H266" s="45" t="n">
        <x:v>1800</x:v>
      </x:c>
      <x:c r="I266" s="46" t="n">
        <x:v>0</x:v>
      </x:c>
      <x:c r="J266" s="47" t="n">
        <x:f>G266*H266*(1-I266)</x:f>
        <x:v>3600</x:v>
      </x:c>
      <x:c r="K266" s="47" t="n">
        <x:v>820</x:v>
      </x:c>
      <x:c r="L266" s="47" t="n">
        <x:f>G266*K266</x:f>
        <x:v>1640</x:v>
      </x:c>
      <x:c r="M266" s="47" t="n">
        <x:f>J266-L266</x:f>
        <x:v>1960</x:v>
      </x:c>
      <x:c r="N266" s="5" t="str">
        <x:v>Takeaway</x:v>
      </x:c>
      <x:c r="O266" s="5" t="str">
        <x:v>Transfer</x:v>
      </x:c>
      <x:c r="P266" s="5" t="str">
        <x:v>Dinner</x:v>
      </x:c>
      <x:c r="Q266" s="48" t="n">
        <x:v>16</x:v>
      </x:c>
      <x:c r="R266" s="5" t="n">
        <x:v>4</x:v>
      </x:c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5" t="str">
        <x:v>ORD-00679</x:v>
      </x:c>
      <x:c r="B267" s="43" t="n">
        <x:v>46057</x:v>
      </x:c>
      <x:c r="C267" s="5" t="str">
        <x:v>CUST-0616</x:v>
      </x:c>
      <x:c r="D267" s="5" t="str">
        <x:v>FD008</x:v>
      </x:c>
      <x:c r="E267" s="5" t="str">
        <x:v>Pounded Yam &amp; Vegetable Soup</x:v>
      </x:c>
      <x:c r="F267" s="5" t="str">
        <x:v>Swallow</x:v>
      </x:c>
      <x:c r="G267" s="44" t="n">
        <x:v>3</x:v>
      </x:c>
      <x:c r="H267" s="45" t="n">
        <x:v>3200</x:v>
      </x:c>
      <x:c r="I267" s="46" t="n">
        <x:v>0</x:v>
      </x:c>
      <x:c r="J267" s="47" t="n">
        <x:f>G267*H267*(1-I267)</x:f>
        <x:v>9600</x:v>
      </x:c>
      <x:c r="K267" s="47" t="n">
        <x:v>1710</x:v>
      </x:c>
      <x:c r="L267" s="47" t="n">
        <x:f>G267*K267</x:f>
        <x:v>5130</x:v>
      </x:c>
      <x:c r="M267" s="47" t="n">
        <x:f>J267-L267</x:f>
        <x:v>4470</x:v>
      </x:c>
      <x:c r="N267" s="5" t="str">
        <x:v>Walk-in</x:v>
      </x:c>
      <x:c r="O267" s="5" t="str">
        <x:v>Cash</x:v>
      </x:c>
      <x:c r="P267" s="5" t="str">
        <x:v>Lunch</x:v>
      </x:c>
      <x:c r="Q267" s="48" t="n">
        <x:v>11</x:v>
      </x:c>
      <x:c r="R267" s="5" t="n">
        <x:v>5</x:v>
      </x:c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5" t="str">
        <x:v>ORD-00746</x:v>
      </x:c>
      <x:c r="B268" s="43" t="n">
        <x:v>46057</x:v>
      </x:c>
      <x:c r="C268" s="5" t="str">
        <x:v>CUST-0457</x:v>
      </x:c>
      <x:c r="D268" s="5" t="str">
        <x:v>FD001</x:v>
      </x:c>
      <x:c r="E268" s="5" t="str">
        <x:v>White Rice &amp; Stew</x:v>
      </x:c>
      <x:c r="F268" s="5" t="str">
        <x:v>Rice Meals</x:v>
      </x:c>
      <x:c r="G268" s="44" t="n">
        <x:v>1</x:v>
      </x:c>
      <x:c r="H268" s="45" t="n">
        <x:v>1800</x:v>
      </x:c>
      <x:c r="I268" s="46" t="n">
        <x:v>0</x:v>
      </x:c>
      <x:c r="J268" s="47" t="n">
        <x:f>G268*H268*(1-I268)</x:f>
        <x:v>1800</x:v>
      </x:c>
      <x:c r="K268" s="47" t="n">
        <x:v>820</x:v>
      </x:c>
      <x:c r="L268" s="47" t="n">
        <x:f>G268*K268</x:f>
        <x:v>820</x:v>
      </x:c>
      <x:c r="M268" s="47" t="n">
        <x:f>J268-L268</x:f>
        <x:v>980</x:v>
      </x:c>
      <x:c r="N268" s="5" t="str">
        <x:v>Takeaway</x:v>
      </x:c>
      <x:c r="O268" s="5" t="str">
        <x:v>Transfer</x:v>
      </x:c>
      <x:c r="P268" s="5" t="str">
        <x:v>Lunch</x:v>
      </x:c>
      <x:c r="Q268" s="48" t="n">
        <x:v>12</x:v>
      </x:c>
      <x:c r="R268" s="5" t="n">
        <x:v>5</x:v>
      </x:c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5" t="str">
        <x:v>ORD-00943</x:v>
      </x:c>
      <x:c r="B269" s="43" t="n">
        <x:v>46057</x:v>
      </x:c>
      <x:c r="C269" s="5" t="str">
        <x:v>CUST-0076</x:v>
      </x:c>
      <x:c r="D269" s="5" t="str">
        <x:v>FD001</x:v>
      </x:c>
      <x:c r="E269" s="5" t="str">
        <x:v>White Rice &amp; Stew</x:v>
      </x:c>
      <x:c r="F269" s="5" t="str">
        <x:v>Rice Meals</x:v>
      </x:c>
      <x:c r="G269" s="44" t="n">
        <x:v>1</x:v>
      </x:c>
      <x:c r="H269" s="45" t="n">
        <x:v>1800</x:v>
      </x:c>
      <x:c r="I269" s="46" t="n">
        <x:v>0</x:v>
      </x:c>
      <x:c r="J269" s="47" t="n">
        <x:f>G269*H269*(1-I269)</x:f>
        <x:v>1800</x:v>
      </x:c>
      <x:c r="K269" s="47" t="n">
        <x:v>820</x:v>
      </x:c>
      <x:c r="L269" s="47" t="n">
        <x:f>G269*K269</x:f>
        <x:v>820</x:v>
      </x:c>
      <x:c r="M269" s="47" t="n">
        <x:f>J269-L269</x:f>
        <x:v>980</x:v>
      </x:c>
      <x:c r="N269" s="5" t="str">
        <x:v>Walk-in</x:v>
      </x:c>
      <x:c r="O269" s="5" t="str">
        <x:v>POS</x:v>
      </x:c>
      <x:c r="P269" s="5" t="str">
        <x:v>Lunch</x:v>
      </x:c>
      <x:c r="Q269" s="48" t="n">
        <x:v>15</x:v>
      </x:c>
      <x:c r="R269" s="5" t="n">
        <x:v>3</x:v>
      </x:c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5" t="str">
        <x:v>ORD-00974</x:v>
      </x:c>
      <x:c r="B270" s="43" t="n">
        <x:v>46057</x:v>
      </x:c>
      <x:c r="C270" s="5" t="str">
        <x:v>CUST-0052</x:v>
      </x:c>
      <x:c r="D270" s="5" t="str">
        <x:v>FD001</x:v>
      </x:c>
      <x:c r="E270" s="5" t="str">
        <x:v>White Rice &amp; Stew</x:v>
      </x:c>
      <x:c r="F270" s="5" t="str">
        <x:v>Rice Meals</x:v>
      </x:c>
      <x:c r="G270" s="44" t="n">
        <x:v>2</x:v>
      </x:c>
      <x:c r="H270" s="45" t="n">
        <x:v>1800</x:v>
      </x:c>
      <x:c r="I270" s="46" t="n">
        <x:v>0</x:v>
      </x:c>
      <x:c r="J270" s="47" t="n">
        <x:f>G270*H270*(1-I270)</x:f>
        <x:v>3600</x:v>
      </x:c>
      <x:c r="K270" s="47" t="n">
        <x:v>820</x:v>
      </x:c>
      <x:c r="L270" s="47" t="n">
        <x:f>G270*K270</x:f>
        <x:v>1640</x:v>
      </x:c>
      <x:c r="M270" s="47" t="n">
        <x:f>J270-L270</x:f>
        <x:v>1960</x:v>
      </x:c>
      <x:c r="N270" s="5" t="str">
        <x:v>Takeaway</x:v>
      </x:c>
      <x:c r="O270" s="5" t="str">
        <x:v>Transfer</x:v>
      </x:c>
      <x:c r="P270" s="5" t="str">
        <x:v>Breakfast</x:v>
      </x:c>
      <x:c r="Q270" s="48" t="n">
        <x:v>10</x:v>
      </x:c>
      <x:c r="R270" s="5" t="n">
        <x:v>5</x:v>
      </x:c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5" t="str">
        <x:v>ORD-01113</x:v>
      </x:c>
      <x:c r="B271" s="43" t="n">
        <x:v>46057</x:v>
      </x:c>
      <x:c r="C271" s="5" t="str">
        <x:v>CUST-0322</x:v>
      </x:c>
      <x:c r="D271" s="5" t="str">
        <x:v>FD005</x:v>
      </x:c>
      <x:c r="E271" s="5" t="str">
        <x:v>Yam Porridge</x:v>
      </x:c>
      <x:c r="F271" s="5" t="str">
        <x:v>Traditional Meals</x:v>
      </x:c>
      <x:c r="G271" s="44" t="n">
        <x:v>3</x:v>
      </x:c>
      <x:c r="H271" s="45" t="n">
        <x:v>2200</x:v>
      </x:c>
      <x:c r="I271" s="46" t="n">
        <x:v>0</x:v>
      </x:c>
      <x:c r="J271" s="47" t="n">
        <x:f>G271*H271*(1-I271)</x:f>
        <x:v>6600</x:v>
      </x:c>
      <x:c r="K271" s="47" t="n">
        <x:v>1050</x:v>
      </x:c>
      <x:c r="L271" s="47" t="n">
        <x:f>G271*K271</x:f>
        <x:v>3150</x:v>
      </x:c>
      <x:c r="M271" s="47" t="n">
        <x:f>J271-L271</x:f>
        <x:v>3450</x:v>
      </x:c>
      <x:c r="N271" s="5" t="str">
        <x:v>Delivery</x:v>
      </x:c>
      <x:c r="O271" s="5" t="str">
        <x:v>POS</x:v>
      </x:c>
      <x:c r="P271" s="5" t="str">
        <x:v>Lunch</x:v>
      </x:c>
      <x:c r="Q271" s="48" t="n">
        <x:v>13</x:v>
      </x:c>
      <x:c r="R271" s="5" t="n">
        <x:v>5</x:v>
      </x:c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5" t="str">
        <x:v>ORD-01581</x:v>
      </x:c>
      <x:c r="B272" s="43" t="n">
        <x:v>46057</x:v>
      </x:c>
      <x:c r="C272" s="5" t="str">
        <x:v>CUST-0095</x:v>
      </x:c>
      <x:c r="D272" s="5" t="str">
        <x:v>FD002</x:v>
      </x:c>
      <x:c r="E272" s="5" t="str">
        <x:v>Jollof Rice &amp; Chicken</x:v>
      </x:c>
      <x:c r="F272" s="5" t="str">
        <x:v>Rice Meals</x:v>
      </x:c>
      <x:c r="G272" s="44" t="n">
        <x:v>4</x:v>
      </x:c>
      <x:c r="H272" s="45" t="n">
        <x:v>2800</x:v>
      </x:c>
      <x:c r="I272" s="46" t="n">
        <x:v>0</x:v>
      </x:c>
      <x:c r="J272" s="47" t="n">
        <x:f>G272*H272*(1-I272)</x:f>
        <x:v>11200</x:v>
      </x:c>
      <x:c r="K272" s="47" t="n">
        <x:v>1450</x:v>
      </x:c>
      <x:c r="L272" s="47" t="n">
        <x:f>G272*K272</x:f>
        <x:v>5800</x:v>
      </x:c>
      <x:c r="M272" s="47" t="n">
        <x:f>J272-L272</x:f>
        <x:v>5400</x:v>
      </x:c>
      <x:c r="N272" s="5" t="str">
        <x:v>Walk-in</x:v>
      </x:c>
      <x:c r="O272" s="5" t="str">
        <x:v>Cash</x:v>
      </x:c>
      <x:c r="P272" s="5" t="str">
        <x:v>Lunch</x:v>
      </x:c>
      <x:c r="Q272" s="48" t="n">
        <x:v>13</x:v>
      </x:c>
      <x:c r="R272" s="5" t="n">
        <x:v>3</x:v>
      </x:c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5" t="str">
        <x:v>ORD-01665</x:v>
      </x:c>
      <x:c r="B273" s="43" t="n">
        <x:v>46057</x:v>
      </x:c>
      <x:c r="C273" s="5" t="str">
        <x:v>CUST-0156</x:v>
      </x:c>
      <x:c r="D273" s="5" t="str">
        <x:v>FD001</x:v>
      </x:c>
      <x:c r="E273" s="5" t="str">
        <x:v>White Rice &amp; Stew</x:v>
      </x:c>
      <x:c r="F273" s="5" t="str">
        <x:v>Rice Meals</x:v>
      </x:c>
      <x:c r="G273" s="44" t="n">
        <x:v>2</x:v>
      </x:c>
      <x:c r="H273" s="45" t="n">
        <x:v>1800</x:v>
      </x:c>
      <x:c r="I273" s="46" t="n">
        <x:v>0</x:v>
      </x:c>
      <x:c r="J273" s="47" t="n">
        <x:f>G273*H273*(1-I273)</x:f>
        <x:v>3600</x:v>
      </x:c>
      <x:c r="K273" s="47" t="n">
        <x:v>820</x:v>
      </x:c>
      <x:c r="L273" s="47" t="n">
        <x:f>G273*K273</x:f>
        <x:v>1640</x:v>
      </x:c>
      <x:c r="M273" s="47" t="n">
        <x:f>J273-L273</x:f>
        <x:v>1960</x:v>
      </x:c>
      <x:c r="N273" s="5" t="str">
        <x:v>Takeaway</x:v>
      </x:c>
      <x:c r="O273" s="5" t="str">
        <x:v>POS</x:v>
      </x:c>
      <x:c r="P273" s="5" t="str">
        <x:v>Lunch</x:v>
      </x:c>
      <x:c r="Q273" s="48" t="n">
        <x:v>15</x:v>
      </x:c>
      <x:c r="R273" s="5" t="n">
        <x:v>5</x:v>
      </x:c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5" t="str">
        <x:v>ORD-01684</x:v>
      </x:c>
      <x:c r="B274" s="43" t="n">
        <x:v>46057</x:v>
      </x:c>
      <x:c r="C274" s="5" t="str">
        <x:v>CUST-0586</x:v>
      </x:c>
      <x:c r="D274" s="5" t="str">
        <x:v>FD001</x:v>
      </x:c>
      <x:c r="E274" s="5" t="str">
        <x:v>White Rice &amp; Stew</x:v>
      </x:c>
      <x:c r="F274" s="5" t="str">
        <x:v>Rice Meals</x:v>
      </x:c>
      <x:c r="G274" s="44" t="n">
        <x:v>4</x:v>
      </x:c>
      <x:c r="H274" s="45" t="n">
        <x:v>1800</x:v>
      </x:c>
      <x:c r="I274" s="46" t="n">
        <x:v>0</x:v>
      </x:c>
      <x:c r="J274" s="47" t="n">
        <x:f>G274*H274*(1-I274)</x:f>
        <x:v>7200</x:v>
      </x:c>
      <x:c r="K274" s="47" t="n">
        <x:v>820</x:v>
      </x:c>
      <x:c r="L274" s="47" t="n">
        <x:f>G274*K274</x:f>
        <x:v>3280</x:v>
      </x:c>
      <x:c r="M274" s="47" t="n">
        <x:f>J274-L274</x:f>
        <x:v>3920</x:v>
      </x:c>
      <x:c r="N274" s="5" t="str">
        <x:v>Walk-in</x:v>
      </x:c>
      <x:c r="O274" s="5" t="str">
        <x:v>Cash</x:v>
      </x:c>
      <x:c r="P274" s="5" t="str">
        <x:v>Dinner</x:v>
      </x:c>
      <x:c r="Q274" s="48" t="n">
        <x:v>19</x:v>
      </x:c>
      <x:c r="R274" s="5" t="n">
        <x:v>4</x:v>
      </x:c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5" t="str">
        <x:v>ORD-00195</x:v>
      </x:c>
      <x:c r="B275" s="43" t="n">
        <x:v>46058</x:v>
      </x:c>
      <x:c r="C275" s="5" t="str">
        <x:v>CUST-0173</x:v>
      </x:c>
      <x:c r="D275" s="5" t="str">
        <x:v>FD009</x:v>
      </x:c>
      <x:c r="E275" s="5" t="str">
        <x:v>Moi Moi</x:v>
      </x:c>
      <x:c r="F275" s="5" t="str">
        <x:v>Sides</x:v>
      </x:c>
      <x:c r="G275" s="44" t="n">
        <x:v>3</x:v>
      </x:c>
      <x:c r="H275" s="45" t="n">
        <x:v>900</x:v>
      </x:c>
      <x:c r="I275" s="46" t="n">
        <x:v>0</x:v>
      </x:c>
      <x:c r="J275" s="47" t="n">
        <x:f>G275*H275*(1-I275)</x:f>
        <x:v>2700</x:v>
      </x:c>
      <x:c r="K275" s="47" t="n">
        <x:v>380</x:v>
      </x:c>
      <x:c r="L275" s="47" t="n">
        <x:f>G275*K275</x:f>
        <x:v>1140</x:v>
      </x:c>
      <x:c r="M275" s="47" t="n">
        <x:f>J275-L275</x:f>
        <x:v>1560</x:v>
      </x:c>
      <x:c r="N275" s="5" t="str">
        <x:v>Takeaway</x:v>
      </x:c>
      <x:c r="O275" s="5" t="str">
        <x:v>Transfer</x:v>
      </x:c>
      <x:c r="P275" s="5" t="str">
        <x:v>Breakfast</x:v>
      </x:c>
      <x:c r="Q275" s="48" t="n">
        <x:v>8</x:v>
      </x:c>
      <x:c r="R275" s="5" t="n">
        <x:v>4</x:v>
      </x:c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5" t="str">
        <x:v>ORD-00551</x:v>
      </x:c>
      <x:c r="B276" s="43" t="n">
        <x:v>46058</x:v>
      </x:c>
      <x:c r="C276" s="5" t="str">
        <x:v>CUST-0598</x:v>
      </x:c>
      <x:c r="D276" s="5" t="str">
        <x:v>FD003</x:v>
      </x:c>
      <x:c r="E276" s="5" t="str">
        <x:v>Fried Rice &amp; Chicken</x:v>
      </x:c>
      <x:c r="F276" s="5" t="str">
        <x:v>Rice Meals</x:v>
      </x:c>
      <x:c r="G276" s="44" t="n">
        <x:v>2</x:v>
      </x:c>
      <x:c r="H276" s="45" t="n">
        <x:v>3000</x:v>
      </x:c>
      <x:c r="I276" s="46" t="n">
        <x:v>0.1</x:v>
      </x:c>
      <x:c r="J276" s="47" t="n">
        <x:f>G276*H276*(1-I276)</x:f>
        <x:v>5400</x:v>
      </x:c>
      <x:c r="K276" s="47" t="n">
        <x:v>1580</x:v>
      </x:c>
      <x:c r="L276" s="47" t="n">
        <x:f>G276*K276</x:f>
        <x:v>3160</x:v>
      </x:c>
      <x:c r="M276" s="47" t="n">
        <x:f>J276-L276</x:f>
        <x:v>2240</x:v>
      </x:c>
      <x:c r="N276" s="5" t="str">
        <x:v>Walk-in</x:v>
      </x:c>
      <x:c r="O276" s="5" t="str">
        <x:v>Transfer</x:v>
      </x:c>
      <x:c r="P276" s="5" t="str">
        <x:v>Dinner</x:v>
      </x:c>
      <x:c r="Q276" s="48" t="n">
        <x:v>17</x:v>
      </x:c>
      <x:c r="R276" s="5" t="n">
        <x:v>5</x:v>
      </x:c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5" t="str">
        <x:v>ORD-00581</x:v>
      </x:c>
      <x:c r="B277" s="43" t="n">
        <x:v>46058</x:v>
      </x:c>
      <x:c r="C277" s="5" t="str">
        <x:v>CUST-0316</x:v>
      </x:c>
      <x:c r="D277" s="5" t="str">
        <x:v>FD003</x:v>
      </x:c>
      <x:c r="E277" s="5" t="str">
        <x:v>Fried Rice &amp; Chicken</x:v>
      </x:c>
      <x:c r="F277" s="5" t="str">
        <x:v>Rice Meals</x:v>
      </x:c>
      <x:c r="G277" s="44" t="n">
        <x:v>1</x:v>
      </x:c>
      <x:c r="H277" s="45" t="n">
        <x:v>3000</x:v>
      </x:c>
      <x:c r="I277" s="46" t="n">
        <x:v>0</x:v>
      </x:c>
      <x:c r="J277" s="47" t="n">
        <x:f>G277*H277*(1-I277)</x:f>
        <x:v>3000</x:v>
      </x:c>
      <x:c r="K277" s="47" t="n">
        <x:v>1580</x:v>
      </x:c>
      <x:c r="L277" s="47" t="n">
        <x:f>G277*K277</x:f>
        <x:v>1580</x:v>
      </x:c>
      <x:c r="M277" s="47" t="n">
        <x:f>J277-L277</x:f>
        <x:v>1420</x:v>
      </x:c>
      <x:c r="N277" s="5" t="str">
        <x:v>Walk-in</x:v>
      </x:c>
      <x:c r="O277" s="5" t="str">
        <x:v>POS</x:v>
      </x:c>
      <x:c r="P277" s="5" t="str">
        <x:v>Dinner</x:v>
      </x:c>
      <x:c r="Q277" s="48" t="n">
        <x:v>17</x:v>
      </x:c>
      <x:c r="R277" s="5" t="n">
        <x:v>5</x:v>
      </x:c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5" t="str">
        <x:v>ORD-01123</x:v>
      </x:c>
      <x:c r="B278" s="43" t="n">
        <x:v>46058</x:v>
      </x:c>
      <x:c r="C278" s="5" t="str">
        <x:v>CUST-0227</x:v>
      </x:c>
      <x:c r="D278" s="5" t="str">
        <x:v>FD003</x:v>
      </x:c>
      <x:c r="E278" s="5" t="str">
        <x:v>Fried Rice &amp; Chicken</x:v>
      </x:c>
      <x:c r="F278" s="5" t="str">
        <x:v>Rice Meals</x:v>
      </x:c>
      <x:c r="G278" s="44" t="n">
        <x:v>4</x:v>
      </x:c>
      <x:c r="H278" s="45" t="n">
        <x:v>3000</x:v>
      </x:c>
      <x:c r="I278" s="46" t="n">
        <x:v>0</x:v>
      </x:c>
      <x:c r="J278" s="47" t="n">
        <x:f>G278*H278*(1-I278)</x:f>
        <x:v>12000</x:v>
      </x:c>
      <x:c r="K278" s="47" t="n">
        <x:v>1580</x:v>
      </x:c>
      <x:c r="L278" s="47" t="n">
        <x:f>G278*K278</x:f>
        <x:v>6320</x:v>
      </x:c>
      <x:c r="M278" s="47" t="n">
        <x:f>J278-L278</x:f>
        <x:v>5680</x:v>
      </x:c>
      <x:c r="N278" s="5" t="str">
        <x:v>Takeaway</x:v>
      </x:c>
      <x:c r="O278" s="5" t="str">
        <x:v>Cash</x:v>
      </x:c>
      <x:c r="P278" s="5" t="str">
        <x:v>Lunch</x:v>
      </x:c>
      <x:c r="Q278" s="48" t="n">
        <x:v>11</x:v>
      </x:c>
      <x:c r="R278" s="5" t="n">
        <x:v>3</x:v>
      </x:c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5" t="str">
        <x:v>ORD-01373</x:v>
      </x:c>
      <x:c r="B279" s="43" t="n">
        <x:v>46058</x:v>
      </x:c>
      <x:c r="C279" s="5" t="str">
        <x:v>CUST-0068</x:v>
      </x:c>
      <x:c r="D279" s="5" t="str">
        <x:v>FD006</x:v>
      </x:c>
      <x:c r="E279" s="5" t="str">
        <x:v>Eba &amp; Egusi Soup</x:v>
      </x:c>
      <x:c r="F279" s="5" t="str">
        <x:v>Swallow</x:v>
      </x:c>
      <x:c r="G279" s="44" t="n">
        <x:v>4</x:v>
      </x:c>
      <x:c r="H279" s="45" t="n">
        <x:v>2600</x:v>
      </x:c>
      <x:c r="I279" s="46" t="n">
        <x:v>0</x:v>
      </x:c>
      <x:c r="J279" s="47" t="n">
        <x:f>G279*H279*(1-I279)</x:f>
        <x:v>10400</x:v>
      </x:c>
      <x:c r="K279" s="47" t="n">
        <x:v>1320</x:v>
      </x:c>
      <x:c r="L279" s="47" t="n">
        <x:f>G279*K279</x:f>
        <x:v>5280</x:v>
      </x:c>
      <x:c r="M279" s="47" t="n">
        <x:f>J279-L279</x:f>
        <x:v>5120</x:v>
      </x:c>
      <x:c r="N279" s="5" t="str">
        <x:v>Walk-in</x:v>
      </x:c>
      <x:c r="O279" s="5" t="str">
        <x:v>POS</x:v>
      </x:c>
      <x:c r="P279" s="5" t="str">
        <x:v>Lunch</x:v>
      </x:c>
      <x:c r="Q279" s="48" t="n">
        <x:v>13</x:v>
      </x:c>
      <x:c r="R279" s="5" t="n">
        <x:v>4</x:v>
      </x:c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5" t="str">
        <x:v>ORD-01497</x:v>
      </x:c>
      <x:c r="B280" s="43" t="n">
        <x:v>46058</x:v>
      </x:c>
      <x:c r="C280" s="5" t="str">
        <x:v>CUST-0458</x:v>
      </x:c>
      <x:c r="D280" s="5" t="str">
        <x:v>FD008</x:v>
      </x:c>
      <x:c r="E280" s="5" t="str">
        <x:v>Pounded Yam &amp; Vegetable Soup</x:v>
      </x:c>
      <x:c r="F280" s="5" t="str">
        <x:v>Swallow</x:v>
      </x:c>
      <x:c r="G280" s="44" t="n">
        <x:v>3</x:v>
      </x:c>
      <x:c r="H280" s="45" t="n">
        <x:v>3200</x:v>
      </x:c>
      <x:c r="I280" s="46" t="n">
        <x:v>0.05</x:v>
      </x:c>
      <x:c r="J280" s="47" t="n">
        <x:f>G280*H280*(1-I280)</x:f>
        <x:v>9120</x:v>
      </x:c>
      <x:c r="K280" s="47" t="n">
        <x:v>1710</x:v>
      </x:c>
      <x:c r="L280" s="47" t="n">
        <x:f>G280*K280</x:f>
        <x:v>5130</x:v>
      </x:c>
      <x:c r="M280" s="47" t="n">
        <x:f>J280-L280</x:f>
        <x:v>3990</x:v>
      </x:c>
      <x:c r="N280" s="5" t="str">
        <x:v>Takeaway</x:v>
      </x:c>
      <x:c r="O280" s="5" t="str">
        <x:v>POS</x:v>
      </x:c>
      <x:c r="P280" s="5" t="str">
        <x:v>Lunch</x:v>
      </x:c>
      <x:c r="Q280" s="48" t="n">
        <x:v>12</x:v>
      </x:c>
      <x:c r="R280" s="5" t="n">
        <x:v>5</x:v>
      </x:c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5" t="str">
        <x:v>ORD-00651</x:v>
      </x:c>
      <x:c r="B281" s="43" t="n">
        <x:v>46059</x:v>
      </x:c>
      <x:c r="C281" s="5" t="str">
        <x:v>CUST-0440</x:v>
      </x:c>
      <x:c r="D281" s="5" t="str">
        <x:v>FD005</x:v>
      </x:c>
      <x:c r="E281" s="5" t="str">
        <x:v>Yam Porridge</x:v>
      </x:c>
      <x:c r="F281" s="5" t="str">
        <x:v>Traditional Meals</x:v>
      </x:c>
      <x:c r="G281" s="44" t="n">
        <x:v>1</x:v>
      </x:c>
      <x:c r="H281" s="45" t="n">
        <x:v>2200</x:v>
      </x:c>
      <x:c r="I281" s="46" t="n">
        <x:v>0.05</x:v>
      </x:c>
      <x:c r="J281" s="47" t="n">
        <x:f>G281*H281*(1-I281)</x:f>
        <x:v>2090</x:v>
      </x:c>
      <x:c r="K281" s="47" t="n">
        <x:v>1050</x:v>
      </x:c>
      <x:c r="L281" s="47" t="n">
        <x:f>G281*K281</x:f>
        <x:v>1050</x:v>
      </x:c>
      <x:c r="M281" s="47" t="n">
        <x:f>J281-L281</x:f>
        <x:v>1040</x:v>
      </x:c>
      <x:c r="N281" s="5" t="str">
        <x:v>Delivery</x:v>
      </x:c>
      <x:c r="O281" s="5" t="str">
        <x:v>Transfer</x:v>
      </x:c>
      <x:c r="P281" s="5" t="str">
        <x:v>Dinner</x:v>
      </x:c>
      <x:c r="Q281" s="48" t="n">
        <x:v>16</x:v>
      </x:c>
      <x:c r="R281" s="5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5" t="str">
        <x:v>ORD-00676</x:v>
      </x:c>
      <x:c r="B282" s="43" t="n">
        <x:v>46059</x:v>
      </x:c>
      <x:c r="C282" s="5" t="str">
        <x:v>CUST-0166</x:v>
      </x:c>
      <x:c r="D282" s="5" t="str">
        <x:v>FD004</x:v>
      </x:c>
      <x:c r="E282" s="5" t="str">
        <x:v>Beans &amp; Plantain</x:v>
      </x:c>
      <x:c r="F282" s="5" t="str">
        <x:v>Traditional Meals</x:v>
      </x:c>
      <x:c r="G282" s="44" t="n">
        <x:v>1</x:v>
      </x:c>
      <x:c r="H282" s="45" t="n">
        <x:v>2000</x:v>
      </x:c>
      <x:c r="I282" s="46" t="n">
        <x:v>0</x:v>
      </x:c>
      <x:c r="J282" s="47" t="n">
        <x:f>G282*H282*(1-I282)</x:f>
        <x:v>2000</x:v>
      </x:c>
      <x:c r="K282" s="47" t="n">
        <x:v>960</x:v>
      </x:c>
      <x:c r="L282" s="47" t="n">
        <x:f>G282*K282</x:f>
        <x:v>960</x:v>
      </x:c>
      <x:c r="M282" s="47" t="n">
        <x:f>J282-L282</x:f>
        <x:v>1040</x:v>
      </x:c>
      <x:c r="N282" s="5" t="str">
        <x:v>Delivery</x:v>
      </x:c>
      <x:c r="O282" s="5" t="str">
        <x:v>POS</x:v>
      </x:c>
      <x:c r="P282" s="5" t="str">
        <x:v>Dinner</x:v>
      </x:c>
      <x:c r="Q282" s="48" t="n">
        <x:v>16</x:v>
      </x:c>
      <x:c r="R282" s="5" t="n">
        <x:v>5</x:v>
      </x:c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5" t="str">
        <x:v>ORD-00794</x:v>
      </x:c>
      <x:c r="B283" s="43" t="n">
        <x:v>46059</x:v>
      </x:c>
      <x:c r="C283" s="5" t="str">
        <x:v>CUST-0263</x:v>
      </x:c>
      <x:c r="D283" s="5" t="str">
        <x:v>FD001</x:v>
      </x:c>
      <x:c r="E283" s="5" t="str">
        <x:v>White Rice &amp; Stew</x:v>
      </x:c>
      <x:c r="F283" s="5" t="str">
        <x:v>Rice Meals</x:v>
      </x:c>
      <x:c r="G283" s="44" t="n">
        <x:v>4</x:v>
      </x:c>
      <x:c r="H283" s="45" t="n">
        <x:v>1800</x:v>
      </x:c>
      <x:c r="I283" s="46" t="n">
        <x:v>0.05</x:v>
      </x:c>
      <x:c r="J283" s="47" t="n">
        <x:f>G283*H283*(1-I283)</x:f>
        <x:v>6840</x:v>
      </x:c>
      <x:c r="K283" s="47" t="n">
        <x:v>820</x:v>
      </x:c>
      <x:c r="L283" s="47" t="n">
        <x:f>G283*K283</x:f>
        <x:v>3280</x:v>
      </x:c>
      <x:c r="M283" s="47" t="n">
        <x:f>J283-L283</x:f>
        <x:v>3560</x:v>
      </x:c>
      <x:c r="N283" s="5" t="str">
        <x:v>Walk-in</x:v>
      </x:c>
      <x:c r="O283" s="5" t="str">
        <x:v>Transfer</x:v>
      </x:c>
      <x:c r="P283" s="5" t="str">
        <x:v>Lunch</x:v>
      </x:c>
      <x:c r="Q283" s="48" t="n">
        <x:v>15</x:v>
      </x:c>
      <x:c r="R283" s="5" t="n">
        <x:v>3</x:v>
      </x:c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5" t="str">
        <x:v>ORD-00993</x:v>
      </x:c>
      <x:c r="B284" s="43" t="n">
        <x:v>46059</x:v>
      </x:c>
      <x:c r="C284" s="5" t="str">
        <x:v>CUST-0398</x:v>
      </x:c>
      <x:c r="D284" s="5" t="str">
        <x:v>FD006</x:v>
      </x:c>
      <x:c r="E284" s="5" t="str">
        <x:v>Eba &amp; Egusi Soup</x:v>
      </x:c>
      <x:c r="F284" s="5" t="str">
        <x:v>Swallow</x:v>
      </x:c>
      <x:c r="G284" s="44" t="n">
        <x:v>1</x:v>
      </x:c>
      <x:c r="H284" s="45" t="n">
        <x:v>2600</x:v>
      </x:c>
      <x:c r="I284" s="46" t="n">
        <x:v>0</x:v>
      </x:c>
      <x:c r="J284" s="47" t="n">
        <x:f>G284*H284*(1-I284)</x:f>
        <x:v>2600</x:v>
      </x:c>
      <x:c r="K284" s="47" t="n">
        <x:v>1320</x:v>
      </x:c>
      <x:c r="L284" s="47" t="n">
        <x:f>G284*K284</x:f>
        <x:v>1320</x:v>
      </x:c>
      <x:c r="M284" s="47" t="n">
        <x:f>J284-L284</x:f>
        <x:v>1280</x:v>
      </x:c>
      <x:c r="N284" s="5" t="str">
        <x:v>Walk-in</x:v>
      </x:c>
      <x:c r="O284" s="5" t="str">
        <x:v>Cash</x:v>
      </x:c>
      <x:c r="P284" s="5" t="str">
        <x:v>Breakfast</x:v>
      </x:c>
      <x:c r="Q284" s="48" t="n">
        <x:v>9</x:v>
      </x:c>
      <x:c r="R284" s="5" t="n">
        <x:v>5</x:v>
      </x:c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5" t="str">
        <x:v>ORD-01147</x:v>
      </x:c>
      <x:c r="B285" s="43" t="n">
        <x:v>46059</x:v>
      </x:c>
      <x:c r="C285" s="5" t="str">
        <x:v>CUST-0303</x:v>
      </x:c>
      <x:c r="D285" s="5" t="str">
        <x:v>FD003</x:v>
      </x:c>
      <x:c r="E285" s="5" t="str">
        <x:v>Fried Rice &amp; Chicken</x:v>
      </x:c>
      <x:c r="F285" s="5" t="str">
        <x:v>Rice Meals</x:v>
      </x:c>
      <x:c r="G285" s="44" t="n">
        <x:v>3</x:v>
      </x:c>
      <x:c r="H285" s="45" t="n">
        <x:v>3000</x:v>
      </x:c>
      <x:c r="I285" s="46" t="n">
        <x:v>0</x:v>
      </x:c>
      <x:c r="J285" s="47" t="n">
        <x:f>G285*H285*(1-I285)</x:f>
        <x:v>9000</x:v>
      </x:c>
      <x:c r="K285" s="47" t="n">
        <x:v>1580</x:v>
      </x:c>
      <x:c r="L285" s="47" t="n">
        <x:f>G285*K285</x:f>
        <x:v>4740</x:v>
      </x:c>
      <x:c r="M285" s="47" t="n">
        <x:f>J285-L285</x:f>
        <x:v>4260</x:v>
      </x:c>
      <x:c r="N285" s="5" t="str">
        <x:v>Walk-in</x:v>
      </x:c>
      <x:c r="O285" s="5" t="str">
        <x:v>Cash</x:v>
      </x:c>
      <x:c r="P285" s="5" t="str">
        <x:v>Lunch</x:v>
      </x:c>
      <x:c r="Q285" s="48" t="n">
        <x:v>14</x:v>
      </x:c>
      <x:c r="R285" s="5" t="n">
        <x:v>4</x:v>
      </x:c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5" t="str">
        <x:v>ORD-01306</x:v>
      </x:c>
      <x:c r="B286" s="43" t="n">
        <x:v>46059</x:v>
      </x:c>
      <x:c r="C286" s="5" t="str">
        <x:v>CUST-0570</x:v>
      </x:c>
      <x:c r="D286" s="5" t="str">
        <x:v>FD001</x:v>
      </x:c>
      <x:c r="E286" s="5" t="str">
        <x:v>White Rice &amp; Stew</x:v>
      </x:c>
      <x:c r="F286" s="5" t="str">
        <x:v>Rice Meals</x:v>
      </x:c>
      <x:c r="G286" s="44" t="n">
        <x:v>1</x:v>
      </x:c>
      <x:c r="H286" s="45" t="n">
        <x:v>1800</x:v>
      </x:c>
      <x:c r="I286" s="46" t="n">
        <x:v>0</x:v>
      </x:c>
      <x:c r="J286" s="47" t="n">
        <x:f>G286*H286*(1-I286)</x:f>
        <x:v>1800</x:v>
      </x:c>
      <x:c r="K286" s="47" t="n">
        <x:v>820</x:v>
      </x:c>
      <x:c r="L286" s="47" t="n">
        <x:f>G286*K286</x:f>
        <x:v>820</x:v>
      </x:c>
      <x:c r="M286" s="47" t="n">
        <x:f>J286-L286</x:f>
        <x:v>980</x:v>
      </x:c>
      <x:c r="N286" s="5" t="str">
        <x:v>Walk-in</x:v>
      </x:c>
      <x:c r="O286" s="5" t="str">
        <x:v>POS</x:v>
      </x:c>
      <x:c r="P286" s="5" t="str">
        <x:v>Lunch</x:v>
      </x:c>
      <x:c r="Q286" s="48" t="n">
        <x:v>14</x:v>
      </x:c>
      <x:c r="R286" s="5" t="n">
        <x:v>3</x:v>
      </x:c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5" t="str">
        <x:v>ORD-01356</x:v>
      </x:c>
      <x:c r="B287" s="43" t="n">
        <x:v>46059</x:v>
      </x:c>
      <x:c r="C287" s="5" t="str">
        <x:v>CUST-0404</x:v>
      </x:c>
      <x:c r="D287" s="5" t="str">
        <x:v>FD006</x:v>
      </x:c>
      <x:c r="E287" s="5" t="str">
        <x:v>Eba &amp; Egusi Soup</x:v>
      </x:c>
      <x:c r="F287" s="5" t="str">
        <x:v>Swallow</x:v>
      </x:c>
      <x:c r="G287" s="44" t="n">
        <x:v>2</x:v>
      </x:c>
      <x:c r="H287" s="45" t="n">
        <x:v>2600</x:v>
      </x:c>
      <x:c r="I287" s="46" t="n">
        <x:v>0</x:v>
      </x:c>
      <x:c r="J287" s="47" t="n">
        <x:f>G287*H287*(1-I287)</x:f>
        <x:v>5200</x:v>
      </x:c>
      <x:c r="K287" s="47" t="n">
        <x:v>1320</x:v>
      </x:c>
      <x:c r="L287" s="47" t="n">
        <x:f>G287*K287</x:f>
        <x:v>2640</x:v>
      </x:c>
      <x:c r="M287" s="47" t="n">
        <x:f>J287-L287</x:f>
        <x:v>2560</x:v>
      </x:c>
      <x:c r="N287" s="5" t="str">
        <x:v>Walk-in</x:v>
      </x:c>
      <x:c r="O287" s="5" t="str">
        <x:v>POS</x:v>
      </x:c>
      <x:c r="P287" s="5" t="str">
        <x:v>Dinner</x:v>
      </x:c>
      <x:c r="Q287" s="48" t="n">
        <x:v>19</x:v>
      </x:c>
      <x:c r="R287" s="5" t="n">
        <x:v>5</x:v>
      </x:c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5" t="str">
        <x:v>ORD-01591</x:v>
      </x:c>
      <x:c r="B288" s="43" t="n">
        <x:v>46059</x:v>
      </x:c>
      <x:c r="C288" s="5" t="str">
        <x:v>CUST-0276</x:v>
      </x:c>
      <x:c r="D288" s="5" t="str">
        <x:v>FD006</x:v>
      </x:c>
      <x:c r="E288" s="5" t="str">
        <x:v>Eba &amp; Egusi Soup</x:v>
      </x:c>
      <x:c r="F288" s="5" t="str">
        <x:v>Swallow</x:v>
      </x:c>
      <x:c r="G288" s="44" t="n">
        <x:v>4</x:v>
      </x:c>
      <x:c r="H288" s="45" t="n">
        <x:v>2600</x:v>
      </x:c>
      <x:c r="I288" s="46" t="n">
        <x:v>0</x:v>
      </x:c>
      <x:c r="J288" s="47" t="n">
        <x:f>G288*H288*(1-I288)</x:f>
        <x:v>10400</x:v>
      </x:c>
      <x:c r="K288" s="47" t="n">
        <x:v>1320</x:v>
      </x:c>
      <x:c r="L288" s="47" t="n">
        <x:f>G288*K288</x:f>
        <x:v>5280</x:v>
      </x:c>
      <x:c r="M288" s="47" t="n">
        <x:f>J288-L288</x:f>
        <x:v>5120</x:v>
      </x:c>
      <x:c r="N288" s="5" t="str">
        <x:v>Walk-in</x:v>
      </x:c>
      <x:c r="O288" s="5" t="str">
        <x:v>POS</x:v>
      </x:c>
      <x:c r="P288" s="5" t="str">
        <x:v>Dinner</x:v>
      </x:c>
      <x:c r="Q288" s="48" t="n">
        <x:v>16</x:v>
      </x:c>
      <x:c r="R288" s="5" t="n">
        <x:v>4</x:v>
      </x:c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5" t="str">
        <x:v>ORD-00361</x:v>
      </x:c>
      <x:c r="B289" s="43" t="n">
        <x:v>46060</x:v>
      </x:c>
      <x:c r="C289" s="5" t="str">
        <x:v>CUST-0241</x:v>
      </x:c>
      <x:c r="D289" s="5" t="str">
        <x:v>FD002</x:v>
      </x:c>
      <x:c r="E289" s="5" t="str">
        <x:v>Jollof Rice &amp; Chicken</x:v>
      </x:c>
      <x:c r="F289" s="5" t="str">
        <x:v>Rice Meals</x:v>
      </x:c>
      <x:c r="G289" s="44" t="n">
        <x:v>1</x:v>
      </x:c>
      <x:c r="H289" s="45" t="n">
        <x:v>2800</x:v>
      </x:c>
      <x:c r="I289" s="46" t="n">
        <x:v>0</x:v>
      </x:c>
      <x:c r="J289" s="47" t="n">
        <x:f>G289*H289*(1-I289)</x:f>
        <x:v>2800</x:v>
      </x:c>
      <x:c r="K289" s="47" t="n">
        <x:v>1450</x:v>
      </x:c>
      <x:c r="L289" s="47" t="n">
        <x:f>G289*K289</x:f>
        <x:v>1450</x:v>
      </x:c>
      <x:c r="M289" s="47" t="n">
        <x:f>J289-L289</x:f>
        <x:v>1350</x:v>
      </x:c>
      <x:c r="N289" s="5" t="str">
        <x:v>Walk-in</x:v>
      </x:c>
      <x:c r="O289" s="5" t="str">
        <x:v>POS</x:v>
      </x:c>
      <x:c r="P289" s="5" t="str">
        <x:v>Lunch</x:v>
      </x:c>
      <x:c r="Q289" s="48" t="n">
        <x:v>15</x:v>
      </x:c>
      <x:c r="R289" s="5" t="n">
        <x:v>4</x:v>
      </x:c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5" t="str">
        <x:v>ORD-00375</x:v>
      </x:c>
      <x:c r="B290" s="43" t="n">
        <x:v>46060</x:v>
      </x:c>
      <x:c r="C290" s="5" t="str">
        <x:v>CUST-0106</x:v>
      </x:c>
      <x:c r="D290" s="5" t="str">
        <x:v>FD006</x:v>
      </x:c>
      <x:c r="E290" s="5" t="str">
        <x:v>Eba &amp; Egusi Soup</x:v>
      </x:c>
      <x:c r="F290" s="5" t="str">
        <x:v>Swallow</x:v>
      </x:c>
      <x:c r="G290" s="44" t="n">
        <x:v>3</x:v>
      </x:c>
      <x:c r="H290" s="45" t="n">
        <x:v>2600</x:v>
      </x:c>
      <x:c r="I290" s="46" t="n">
        <x:v>0</x:v>
      </x:c>
      <x:c r="J290" s="47" t="n">
        <x:f>G290*H290*(1-I290)</x:f>
        <x:v>7800</x:v>
      </x:c>
      <x:c r="K290" s="47" t="n">
        <x:v>1320</x:v>
      </x:c>
      <x:c r="L290" s="47" t="n">
        <x:f>G290*K290</x:f>
        <x:v>3960</x:v>
      </x:c>
      <x:c r="M290" s="47" t="n">
        <x:f>J290-L290</x:f>
        <x:v>3840</x:v>
      </x:c>
      <x:c r="N290" s="5" t="str">
        <x:v>Takeaway</x:v>
      </x:c>
      <x:c r="O290" s="5" t="str">
        <x:v>POS</x:v>
      </x:c>
      <x:c r="P290" s="5" t="str">
        <x:v>Dinner</x:v>
      </x:c>
      <x:c r="Q290" s="48" t="n">
        <x:v>17</x:v>
      </x:c>
      <x:c r="R290" s="5" t="n">
        <x:v>4</x:v>
      </x:c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5" t="str">
        <x:v>ORD-00814</x:v>
      </x:c>
      <x:c r="B291" s="43" t="n">
        <x:v>46060</x:v>
      </x:c>
      <x:c r="C291" s="5" t="str">
        <x:v>CUST-0503</x:v>
      </x:c>
      <x:c r="D291" s="5" t="str">
        <x:v>FD012</x:v>
      </x:c>
      <x:c r="E291" s="5" t="str">
        <x:v>Fried Plantain</x:v>
      </x:c>
      <x:c r="F291" s="5" t="str">
        <x:v>Sides</x:v>
      </x:c>
      <x:c r="G291" s="44" t="n">
        <x:v>1</x:v>
      </x:c>
      <x:c r="H291" s="45" t="n">
        <x:v>700</x:v>
      </x:c>
      <x:c r="I291" s="46" t="n">
        <x:v>0</x:v>
      </x:c>
      <x:c r="J291" s="47" t="n">
        <x:f>G291*H291*(1-I291)</x:f>
        <x:v>700</x:v>
      </x:c>
      <x:c r="K291" s="47" t="n">
        <x:v>300</x:v>
      </x:c>
      <x:c r="L291" s="47" t="n">
        <x:f>G291*K291</x:f>
        <x:v>300</x:v>
      </x:c>
      <x:c r="M291" s="47" t="n">
        <x:f>J291-L291</x:f>
        <x:v>400</x:v>
      </x:c>
      <x:c r="N291" s="5" t="str">
        <x:v>Walk-in</x:v>
      </x:c>
      <x:c r="O291" s="5" t="str">
        <x:v>Cash</x:v>
      </x:c>
      <x:c r="P291" s="5" t="str">
        <x:v>Lunch</x:v>
      </x:c>
      <x:c r="Q291" s="48" t="n">
        <x:v>15</x:v>
      </x:c>
      <x:c r="R291" s="5" t="n">
        <x:v>5</x:v>
      </x:c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5" t="str">
        <x:v>ORD-01395</x:v>
      </x:c>
      <x:c r="B292" s="43" t="n">
        <x:v>46060</x:v>
      </x:c>
      <x:c r="C292" s="5" t="str">
        <x:v>CUST-0120</x:v>
      </x:c>
      <x:c r="D292" s="5" t="str">
        <x:v>FD006</x:v>
      </x:c>
      <x:c r="E292" s="5" t="str">
        <x:v>Eba &amp; Egusi Soup</x:v>
      </x:c>
      <x:c r="F292" s="5" t="str">
        <x:v>Swallow</x:v>
      </x:c>
      <x:c r="G292" s="44" t="n">
        <x:v>3</x:v>
      </x:c>
      <x:c r="H292" s="45" t="n">
        <x:v>2600</x:v>
      </x:c>
      <x:c r="I292" s="46" t="n">
        <x:v>0</x:v>
      </x:c>
      <x:c r="J292" s="47" t="n">
        <x:f>G292*H292*(1-I292)</x:f>
        <x:v>7800</x:v>
      </x:c>
      <x:c r="K292" s="47" t="n">
        <x:v>1320</x:v>
      </x:c>
      <x:c r="L292" s="47" t="n">
        <x:f>G292*K292</x:f>
        <x:v>3960</x:v>
      </x:c>
      <x:c r="M292" s="47" t="n">
        <x:f>J292-L292</x:f>
        <x:v>3840</x:v>
      </x:c>
      <x:c r="N292" s="5" t="str">
        <x:v>Takeaway</x:v>
      </x:c>
      <x:c r="O292" s="5" t="str">
        <x:v>Transfer</x:v>
      </x:c>
      <x:c r="P292" s="5" t="str">
        <x:v>Lunch</x:v>
      </x:c>
      <x:c r="Q292" s="48" t="n">
        <x:v>13</x:v>
      </x:c>
      <x:c r="R292" s="5" t="n">
        <x:v>4</x:v>
      </x:c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5" t="str">
        <x:v>ORD-01536</x:v>
      </x:c>
      <x:c r="B293" s="43" t="n">
        <x:v>46060</x:v>
      </x:c>
      <x:c r="C293" s="5" t="str">
        <x:v>CUST-0291</x:v>
      </x:c>
      <x:c r="D293" s="5" t="str">
        <x:v>FD001</x:v>
      </x:c>
      <x:c r="E293" s="5" t="str">
        <x:v>White Rice &amp; Stew</x:v>
      </x:c>
      <x:c r="F293" s="5" t="str">
        <x:v>Rice Meals</x:v>
      </x:c>
      <x:c r="G293" s="44" t="n">
        <x:v>3</x:v>
      </x:c>
      <x:c r="H293" s="45" t="n">
        <x:v>1800</x:v>
      </x:c>
      <x:c r="I293" s="46" t="n">
        <x:v>0</x:v>
      </x:c>
      <x:c r="J293" s="47" t="n">
        <x:f>G293*H293*(1-I293)</x:f>
        <x:v>5400</x:v>
      </x:c>
      <x:c r="K293" s="47" t="n">
        <x:v>820</x:v>
      </x:c>
      <x:c r="L293" s="47" t="n">
        <x:f>G293*K293</x:f>
        <x:v>2460</x:v>
      </x:c>
      <x:c r="M293" s="47" t="n">
        <x:f>J293-L293</x:f>
        <x:v>2940</x:v>
      </x:c>
      <x:c r="N293" s="5" t="str">
        <x:v>Walk-in</x:v>
      </x:c>
      <x:c r="O293" s="5" t="str">
        <x:v>Cash</x:v>
      </x:c>
      <x:c r="P293" s="5" t="str">
        <x:v>Dinner</x:v>
      </x:c>
      <x:c r="Q293" s="48" t="n">
        <x:v>18</x:v>
      </x:c>
      <x:c r="R293" s="5" t="n">
        <x:v>4</x:v>
      </x:c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5" t="str">
        <x:v>ORD-01782</x:v>
      </x:c>
      <x:c r="B294" s="43" t="n">
        <x:v>46060</x:v>
      </x:c>
      <x:c r="C294" s="5" t="str">
        <x:v>CUST-0497</x:v>
      </x:c>
      <x:c r="D294" s="5" t="str">
        <x:v>FD001</x:v>
      </x:c>
      <x:c r="E294" s="5" t="str">
        <x:v>White Rice &amp; Stew</x:v>
      </x:c>
      <x:c r="F294" s="5" t="str">
        <x:v>Rice Meals</x:v>
      </x:c>
      <x:c r="G294" s="44" t="n">
        <x:v>1</x:v>
      </x:c>
      <x:c r="H294" s="45" t="n">
        <x:v>1800</x:v>
      </x:c>
      <x:c r="I294" s="46" t="n">
        <x:v>0</x:v>
      </x:c>
      <x:c r="J294" s="47" t="n">
        <x:f>G294*H294*(1-I294)</x:f>
        <x:v>1800</x:v>
      </x:c>
      <x:c r="K294" s="47" t="n">
        <x:v>820</x:v>
      </x:c>
      <x:c r="L294" s="47" t="n">
        <x:f>G294*K294</x:f>
        <x:v>820</x:v>
      </x:c>
      <x:c r="M294" s="47" t="n">
        <x:f>J294-L294</x:f>
        <x:v>980</x:v>
      </x:c>
      <x:c r="N294" s="5" t="str">
        <x:v>Walk-in</x:v>
      </x:c>
      <x:c r="O294" s="5" t="str">
        <x:v>Cash</x:v>
      </x:c>
      <x:c r="P294" s="5" t="str">
        <x:v>Lunch</x:v>
      </x:c>
      <x:c r="Q294" s="48" t="n">
        <x:v>15</x:v>
      </x:c>
      <x:c r="R294" s="5" t="n">
        <x:v>4</x:v>
      </x:c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5" t="str">
        <x:v>ORD-00039</x:v>
      </x:c>
      <x:c r="B295" s="43" t="n">
        <x:v>46061</x:v>
      </x:c>
      <x:c r="C295" s="5" t="str">
        <x:v>CUST-0108</x:v>
      </x:c>
      <x:c r="D295" s="5" t="str">
        <x:v>FD003</x:v>
      </x:c>
      <x:c r="E295" s="5" t="str">
        <x:v>Fried Rice &amp; Chicken</x:v>
      </x:c>
      <x:c r="F295" s="5" t="str">
        <x:v>Rice Meals</x:v>
      </x:c>
      <x:c r="G295" s="44" t="n">
        <x:v>1</x:v>
      </x:c>
      <x:c r="H295" s="45" t="n">
        <x:v>3000</x:v>
      </x:c>
      <x:c r="I295" s="46" t="n">
        <x:v>0</x:v>
      </x:c>
      <x:c r="J295" s="47" t="n">
        <x:f>G295*H295*(1-I295)</x:f>
        <x:v>3000</x:v>
      </x:c>
      <x:c r="K295" s="47" t="n">
        <x:v>1580</x:v>
      </x:c>
      <x:c r="L295" s="47" t="n">
        <x:f>G295*K295</x:f>
        <x:v>1580</x:v>
      </x:c>
      <x:c r="M295" s="47" t="n">
        <x:f>J295-L295</x:f>
        <x:v>1420</x:v>
      </x:c>
      <x:c r="N295" s="5" t="str">
        <x:v>Walk-in</x:v>
      </x:c>
      <x:c r="O295" s="5" t="str">
        <x:v>Transfer</x:v>
      </x:c>
      <x:c r="P295" s="5" t="str">
        <x:v>Breakfast</x:v>
      </x:c>
      <x:c r="Q295" s="48" t="n">
        <x:v>8</x:v>
      </x:c>
      <x:c r="R295" s="5" t="n">
        <x:v>4</x:v>
      </x:c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5" t="str">
        <x:v>ORD-00118</x:v>
      </x:c>
      <x:c r="B296" s="43" t="n">
        <x:v>46061</x:v>
      </x:c>
      <x:c r="C296" s="5" t="str">
        <x:v>CUST-0375</x:v>
      </x:c>
      <x:c r="D296" s="5" t="str">
        <x:v>FD004</x:v>
      </x:c>
      <x:c r="E296" s="5" t="str">
        <x:v>Beans &amp; Plantain</x:v>
      </x:c>
      <x:c r="F296" s="5" t="str">
        <x:v>Traditional Meals</x:v>
      </x:c>
      <x:c r="G296" s="44" t="n">
        <x:v>3</x:v>
      </x:c>
      <x:c r="H296" s="45" t="n">
        <x:v>2000</x:v>
      </x:c>
      <x:c r="I296" s="46" t="n">
        <x:v>0</x:v>
      </x:c>
      <x:c r="J296" s="47" t="n">
        <x:f>G296*H296*(1-I296)</x:f>
        <x:v>6000</x:v>
      </x:c>
      <x:c r="K296" s="47" t="n">
        <x:v>960</x:v>
      </x:c>
      <x:c r="L296" s="47" t="n">
        <x:f>G296*K296</x:f>
        <x:v>2880</x:v>
      </x:c>
      <x:c r="M296" s="47" t="n">
        <x:f>J296-L296</x:f>
        <x:v>3120</x:v>
      </x:c>
      <x:c r="N296" s="5" t="str">
        <x:v>Walk-in</x:v>
      </x:c>
      <x:c r="O296" s="5" t="str">
        <x:v>Cash</x:v>
      </x:c>
      <x:c r="P296" s="5" t="str">
        <x:v>Dinner</x:v>
      </x:c>
      <x:c r="Q296" s="48" t="n">
        <x:v>17</x:v>
      </x:c>
      <x:c r="R296" s="5" t="n">
        <x:v>4</x:v>
      </x:c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5" t="str">
        <x:v>ORD-00762</x:v>
      </x:c>
      <x:c r="B297" s="43" t="n">
        <x:v>46061</x:v>
      </x:c>
      <x:c r="C297" s="5" t="str">
        <x:v>CUST-0099</x:v>
      </x:c>
      <x:c r="D297" s="5" t="str">
        <x:v>FD008</x:v>
      </x:c>
      <x:c r="E297" s="5" t="str">
        <x:v>Pounded Yam &amp; Vegetable Soup</x:v>
      </x:c>
      <x:c r="F297" s="5" t="str">
        <x:v>Swallow</x:v>
      </x:c>
      <x:c r="G297" s="44" t="n">
        <x:v>3</x:v>
      </x:c>
      <x:c r="H297" s="45" t="n">
        <x:v>3200</x:v>
      </x:c>
      <x:c r="I297" s="46" t="n">
        <x:v>0</x:v>
      </x:c>
      <x:c r="J297" s="47" t="n">
        <x:f>G297*H297*(1-I297)</x:f>
        <x:v>9600</x:v>
      </x:c>
      <x:c r="K297" s="47" t="n">
        <x:v>1710</x:v>
      </x:c>
      <x:c r="L297" s="47" t="n">
        <x:f>G297*K297</x:f>
        <x:v>5130</x:v>
      </x:c>
      <x:c r="M297" s="47" t="n">
        <x:f>J297-L297</x:f>
        <x:v>4470</x:v>
      </x:c>
      <x:c r="N297" s="5" t="str">
        <x:v>Walk-in</x:v>
      </x:c>
      <x:c r="O297" s="5" t="str">
        <x:v>Transfer</x:v>
      </x:c>
      <x:c r="P297" s="5" t="str">
        <x:v>Lunch</x:v>
      </x:c>
      <x:c r="Q297" s="48" t="n">
        <x:v>12</x:v>
      </x:c>
      <x:c r="R297" s="5" t="n">
        <x:v>4</x:v>
      </x:c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5" t="str">
        <x:v>ORD-00785</x:v>
      </x:c>
      <x:c r="B298" s="43" t="n">
        <x:v>46061</x:v>
      </x:c>
      <x:c r="C298" s="5" t="str">
        <x:v>CUST-0004</x:v>
      </x:c>
      <x:c r="D298" s="5" t="str">
        <x:v>FD006</x:v>
      </x:c>
      <x:c r="E298" s="5" t="str">
        <x:v>Eba &amp; Egusi Soup</x:v>
      </x:c>
      <x:c r="F298" s="5" t="str">
        <x:v>Swallow</x:v>
      </x:c>
      <x:c r="G298" s="44" t="n">
        <x:v>1</x:v>
      </x:c>
      <x:c r="H298" s="45" t="n">
        <x:v>2600</x:v>
      </x:c>
      <x:c r="I298" s="46" t="n">
        <x:v>0</x:v>
      </x:c>
      <x:c r="J298" s="47" t="n">
        <x:f>G298*H298*(1-I298)</x:f>
        <x:v>2600</x:v>
      </x:c>
      <x:c r="K298" s="47" t="n">
        <x:v>1320</x:v>
      </x:c>
      <x:c r="L298" s="47" t="n">
        <x:f>G298*K298</x:f>
        <x:v>1320</x:v>
      </x:c>
      <x:c r="M298" s="47" t="n">
        <x:f>J298-L298</x:f>
        <x:v>1280</x:v>
      </x:c>
      <x:c r="N298" s="5" t="str">
        <x:v>Delivery</x:v>
      </x:c>
      <x:c r="O298" s="5" t="str">
        <x:v>Transfer</x:v>
      </x:c>
      <x:c r="P298" s="5" t="str">
        <x:v>Lunch</x:v>
      </x:c>
      <x:c r="Q298" s="48" t="n">
        <x:v>14</x:v>
      </x:c>
      <x:c r="R298" s="5" t="n">
        <x:v>4</x:v>
      </x:c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5" t="str">
        <x:v>ORD-01117</x:v>
      </x:c>
      <x:c r="B299" s="43" t="n">
        <x:v>46061</x:v>
      </x:c>
      <x:c r="C299" s="5" t="str">
        <x:v>CUST-0248</x:v>
      </x:c>
      <x:c r="D299" s="5" t="str">
        <x:v>FD002</x:v>
      </x:c>
      <x:c r="E299" s="5" t="str">
        <x:v>Jollof Rice &amp; Chicken</x:v>
      </x:c>
      <x:c r="F299" s="5" t="str">
        <x:v>Rice Meals</x:v>
      </x:c>
      <x:c r="G299" s="44" t="n">
        <x:v>4</x:v>
      </x:c>
      <x:c r="H299" s="45" t="n">
        <x:v>2800</x:v>
      </x:c>
      <x:c r="I299" s="46" t="n">
        <x:v>0</x:v>
      </x:c>
      <x:c r="J299" s="47" t="n">
        <x:f>G299*H299*(1-I299)</x:f>
        <x:v>11200</x:v>
      </x:c>
      <x:c r="K299" s="47" t="n">
        <x:v>1450</x:v>
      </x:c>
      <x:c r="L299" s="47" t="n">
        <x:f>G299*K299</x:f>
        <x:v>5800</x:v>
      </x:c>
      <x:c r="M299" s="47" t="n">
        <x:f>J299-L299</x:f>
        <x:v>5400</x:v>
      </x:c>
      <x:c r="N299" s="5" t="str">
        <x:v>Delivery</x:v>
      </x:c>
      <x:c r="O299" s="5" t="str">
        <x:v>Cash</x:v>
      </x:c>
      <x:c r="P299" s="5" t="str">
        <x:v>Lunch</x:v>
      </x:c>
      <x:c r="Q299" s="48" t="n">
        <x:v>14</x:v>
      </x:c>
      <x:c r="R299" s="5" t="n">
        <x:v>4</x:v>
      </x:c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5" t="str">
        <x:v>ORD-01390</x:v>
      </x:c>
      <x:c r="B300" s="43" t="n">
        <x:v>46061</x:v>
      </x:c>
      <x:c r="C300" s="5" t="str">
        <x:v>CUST-0406</x:v>
      </x:c>
      <x:c r="D300" s="5" t="str">
        <x:v>FD003</x:v>
      </x:c>
      <x:c r="E300" s="5" t="str">
        <x:v>Fried Rice &amp; Chicken</x:v>
      </x:c>
      <x:c r="F300" s="5" t="str">
        <x:v>Rice Meals</x:v>
      </x:c>
      <x:c r="G300" s="44" t="n">
        <x:v>1</x:v>
      </x:c>
      <x:c r="H300" s="45" t="n">
        <x:v>3000</x:v>
      </x:c>
      <x:c r="I300" s="46" t="n">
        <x:v>0</x:v>
      </x:c>
      <x:c r="J300" s="47" t="n">
        <x:f>G300*H300*(1-I300)</x:f>
        <x:v>3000</x:v>
      </x:c>
      <x:c r="K300" s="47" t="n">
        <x:v>1580</x:v>
      </x:c>
      <x:c r="L300" s="47" t="n">
        <x:f>G300*K300</x:f>
        <x:v>1580</x:v>
      </x:c>
      <x:c r="M300" s="47" t="n">
        <x:f>J300-L300</x:f>
        <x:v>1420</x:v>
      </x:c>
      <x:c r="N300" s="5" t="str">
        <x:v>Walk-in</x:v>
      </x:c>
      <x:c r="O300" s="5" t="str">
        <x:v>Cash</x:v>
      </x:c>
      <x:c r="P300" s="5" t="str">
        <x:v>Lunch</x:v>
      </x:c>
      <x:c r="Q300" s="48" t="n">
        <x:v>12</x:v>
      </x:c>
      <x:c r="R300" s="5" t="n">
        <x:v>4</x:v>
      </x:c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5" t="str">
        <x:v>ORD-00101</x:v>
      </x:c>
      <x:c r="B301" s="43" t="n">
        <x:v>46062</x:v>
      </x:c>
      <x:c r="C301" s="5" t="str">
        <x:v>CUST-0212</x:v>
      </x:c>
      <x:c r="D301" s="5" t="str">
        <x:v>FD002</x:v>
      </x:c>
      <x:c r="E301" s="5" t="str">
        <x:v>Jollof Rice &amp; Chicken</x:v>
      </x:c>
      <x:c r="F301" s="5" t="str">
        <x:v>Rice Meals</x:v>
      </x:c>
      <x:c r="G301" s="44" t="n">
        <x:v>4</x:v>
      </x:c>
      <x:c r="H301" s="45" t="n">
        <x:v>2800</x:v>
      </x:c>
      <x:c r="I301" s="46" t="n">
        <x:v>0</x:v>
      </x:c>
      <x:c r="J301" s="47" t="n">
        <x:f>G301*H301*(1-I301)</x:f>
        <x:v>11200</x:v>
      </x:c>
      <x:c r="K301" s="47" t="n">
        <x:v>1450</x:v>
      </x:c>
      <x:c r="L301" s="47" t="n">
        <x:f>G301*K301</x:f>
        <x:v>5800</x:v>
      </x:c>
      <x:c r="M301" s="47" t="n">
        <x:f>J301-L301</x:f>
        <x:v>5400</x:v>
      </x:c>
      <x:c r="N301" s="5" t="str">
        <x:v>Takeaway</x:v>
      </x:c>
      <x:c r="O301" s="5" t="str">
        <x:v>POS</x:v>
      </x:c>
      <x:c r="P301" s="5" t="str">
        <x:v>Lunch</x:v>
      </x:c>
      <x:c r="Q301" s="48" t="n">
        <x:v>11</x:v>
      </x:c>
      <x:c r="R301" s="5" t="n">
        <x:v>4</x:v>
      </x:c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5" t="str">
        <x:v>ORD-00204</x:v>
      </x:c>
      <x:c r="B302" s="43" t="n">
        <x:v>46062</x:v>
      </x:c>
      <x:c r="C302" s="5" t="str">
        <x:v>CUST-0173</x:v>
      </x:c>
      <x:c r="D302" s="5" t="str">
        <x:v>FD002</x:v>
      </x:c>
      <x:c r="E302" s="5" t="str">
        <x:v>Jollof Rice &amp; Chicken</x:v>
      </x:c>
      <x:c r="F302" s="5" t="str">
        <x:v>Rice Meals</x:v>
      </x:c>
      <x:c r="G302" s="44" t="n">
        <x:v>3</x:v>
      </x:c>
      <x:c r="H302" s="45" t="n">
        <x:v>2800</x:v>
      </x:c>
      <x:c r="I302" s="46" t="n">
        <x:v>0</x:v>
      </x:c>
      <x:c r="J302" s="47" t="n">
        <x:f>G302*H302*(1-I302)</x:f>
        <x:v>8400</x:v>
      </x:c>
      <x:c r="K302" s="47" t="n">
        <x:v>1450</x:v>
      </x:c>
      <x:c r="L302" s="47" t="n">
        <x:f>G302*K302</x:f>
        <x:v>4350</x:v>
      </x:c>
      <x:c r="M302" s="47" t="n">
        <x:f>J302-L302</x:f>
        <x:v>4050</x:v>
      </x:c>
      <x:c r="N302" s="5" t="str">
        <x:v>Walk-in</x:v>
      </x:c>
      <x:c r="O302" s="5" t="str">
        <x:v>Transfer</x:v>
      </x:c>
      <x:c r="P302" s="5" t="str">
        <x:v>Dinner</x:v>
      </x:c>
      <x:c r="Q302" s="48" t="n">
        <x:v>17</x:v>
      </x:c>
      <x:c r="R302" s="5" t="n">
        <x:v>4</x:v>
      </x:c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5" t="str">
        <x:v>ORD-00333</x:v>
      </x:c>
      <x:c r="B303" s="43" t="n">
        <x:v>46062</x:v>
      </x:c>
      <x:c r="C303" s="5" t="str">
        <x:v>CUST-0116</x:v>
      </x:c>
      <x:c r="D303" s="5" t="str">
        <x:v>FD002</x:v>
      </x:c>
      <x:c r="E303" s="5" t="str">
        <x:v>Jollof Rice &amp; Chicken</x:v>
      </x:c>
      <x:c r="F303" s="5" t="str">
        <x:v>Rice Meals</x:v>
      </x:c>
      <x:c r="G303" s="44" t="n">
        <x:v>4</x:v>
      </x:c>
      <x:c r="H303" s="45" t="n">
        <x:v>2800</x:v>
      </x:c>
      <x:c r="I303" s="46" t="n">
        <x:v>0</x:v>
      </x:c>
      <x:c r="J303" s="47" t="n">
        <x:f>G303*H303*(1-I303)</x:f>
        <x:v>11200</x:v>
      </x:c>
      <x:c r="K303" s="47" t="n">
        <x:v>1450</x:v>
      </x:c>
      <x:c r="L303" s="47" t="n">
        <x:f>G303*K303</x:f>
        <x:v>5800</x:v>
      </x:c>
      <x:c r="M303" s="47" t="n">
        <x:f>J303-L303</x:f>
        <x:v>5400</x:v>
      </x:c>
      <x:c r="N303" s="5" t="str">
        <x:v>Walk-in</x:v>
      </x:c>
      <x:c r="O303" s="5" t="str">
        <x:v>Cash</x:v>
      </x:c>
      <x:c r="P303" s="5" t="str">
        <x:v>Lunch</x:v>
      </x:c>
      <x:c r="Q303" s="48" t="n">
        <x:v>15</x:v>
      </x:c>
      <x:c r="R303" s="5" t="n">
        <x:v>4</x:v>
      </x:c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5" t="str">
        <x:v>ORD-00706</x:v>
      </x:c>
      <x:c r="B304" s="43" t="n">
        <x:v>46062</x:v>
      </x:c>
      <x:c r="C304" s="5" t="str">
        <x:v>CUST-0090</x:v>
      </x:c>
      <x:c r="D304" s="5" t="str">
        <x:v>FD006</x:v>
      </x:c>
      <x:c r="E304" s="5" t="str">
        <x:v>Eba &amp; Egusi Soup</x:v>
      </x:c>
      <x:c r="F304" s="5" t="str">
        <x:v>Swallow</x:v>
      </x:c>
      <x:c r="G304" s="44" t="n">
        <x:v>2</x:v>
      </x:c>
      <x:c r="H304" s="45" t="n">
        <x:v>2600</x:v>
      </x:c>
      <x:c r="I304" s="46" t="n">
        <x:v>0</x:v>
      </x:c>
      <x:c r="J304" s="47" t="n">
        <x:f>G304*H304*(1-I304)</x:f>
        <x:v>5200</x:v>
      </x:c>
      <x:c r="K304" s="47" t="n">
        <x:v>1320</x:v>
      </x:c>
      <x:c r="L304" s="47" t="n">
        <x:f>G304*K304</x:f>
        <x:v>2640</x:v>
      </x:c>
      <x:c r="M304" s="47" t="n">
        <x:f>J304-L304</x:f>
        <x:v>2560</x:v>
      </x:c>
      <x:c r="N304" s="5" t="str">
        <x:v>Walk-in</x:v>
      </x:c>
      <x:c r="O304" s="5" t="str">
        <x:v>Cash</x:v>
      </x:c>
      <x:c r="P304" s="5" t="str">
        <x:v>Lunch</x:v>
      </x:c>
      <x:c r="Q304" s="48" t="n">
        <x:v>12</x:v>
      </x:c>
      <x:c r="R304" s="5" t="n">
        <x:v>4</x:v>
      </x:c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5" t="str">
        <x:v>ORD-00820</x:v>
      </x:c>
      <x:c r="B305" s="43" t="n">
        <x:v>46062</x:v>
      </x:c>
      <x:c r="C305" s="5" t="str">
        <x:v>CUST-0151</x:v>
      </x:c>
      <x:c r="D305" s="5" t="str">
        <x:v>FD007</x:v>
      </x:c>
      <x:c r="E305" s="5" t="str">
        <x:v>Amala &amp; Ewedu</x:v>
      </x:c>
      <x:c r="F305" s="5" t="str">
        <x:v>Swallow</x:v>
      </x:c>
      <x:c r="G305" s="44" t="n">
        <x:v>3</x:v>
      </x:c>
      <x:c r="H305" s="45" t="n">
        <x:v>2500</x:v>
      </x:c>
      <x:c r="I305" s="46" t="n">
        <x:v>0</x:v>
      </x:c>
      <x:c r="J305" s="47" t="n">
        <x:f>G305*H305*(1-I305)</x:f>
        <x:v>7500</x:v>
      </x:c>
      <x:c r="K305" s="47" t="n">
        <x:v>1250</x:v>
      </x:c>
      <x:c r="L305" s="47" t="n">
        <x:f>G305*K305</x:f>
        <x:v>3750</x:v>
      </x:c>
      <x:c r="M305" s="47" t="n">
        <x:f>J305-L305</x:f>
        <x:v>3750</x:v>
      </x:c>
      <x:c r="N305" s="5" t="str">
        <x:v>Walk-in</x:v>
      </x:c>
      <x:c r="O305" s="5" t="str">
        <x:v>Cash</x:v>
      </x:c>
      <x:c r="P305" s="5" t="str">
        <x:v>Lunch</x:v>
      </x:c>
      <x:c r="Q305" s="48" t="n">
        <x:v>13</x:v>
      </x:c>
      <x:c r="R305" s="5" t="n">
        <x:v>5</x:v>
      </x:c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5" t="str">
        <x:v>ORD-00910</x:v>
      </x:c>
      <x:c r="B306" s="43" t="n">
        <x:v>46062</x:v>
      </x:c>
      <x:c r="C306" s="5" t="str">
        <x:v>CUST-0055</x:v>
      </x:c>
      <x:c r="D306" s="5" t="str">
        <x:v>FD002</x:v>
      </x:c>
      <x:c r="E306" s="5" t="str">
        <x:v>Jollof Rice &amp; Chicken</x:v>
      </x:c>
      <x:c r="F306" s="5" t="str">
        <x:v>Rice Meals</x:v>
      </x:c>
      <x:c r="G306" s="44" t="n">
        <x:v>1</x:v>
      </x:c>
      <x:c r="H306" s="45" t="n">
        <x:v>2800</x:v>
      </x:c>
      <x:c r="I306" s="46" t="n">
        <x:v>0</x:v>
      </x:c>
      <x:c r="J306" s="47" t="n">
        <x:f>G306*H306*(1-I306)</x:f>
        <x:v>2800</x:v>
      </x:c>
      <x:c r="K306" s="47" t="n">
        <x:v>1450</x:v>
      </x:c>
      <x:c r="L306" s="47" t="n">
        <x:f>G306*K306</x:f>
        <x:v>1450</x:v>
      </x:c>
      <x:c r="M306" s="47" t="n">
        <x:f>J306-L306</x:f>
        <x:v>1350</x:v>
      </x:c>
      <x:c r="N306" s="5" t="str">
        <x:v>Walk-in</x:v>
      </x:c>
      <x:c r="O306" s="5" t="str">
        <x:v>Transfer</x:v>
      </x:c>
      <x:c r="P306" s="5" t="str">
        <x:v>Breakfast</x:v>
      </x:c>
      <x:c r="Q306" s="48" t="n">
        <x:v>10</x:v>
      </x:c>
      <x:c r="R306" s="5" t="n">
        <x:v>4</x:v>
      </x:c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5" t="str">
        <x:v>ORD-01168</x:v>
      </x:c>
      <x:c r="B307" s="43" t="n">
        <x:v>46062</x:v>
      </x:c>
      <x:c r="C307" s="5" t="str">
        <x:v>CUST-0321</x:v>
      </x:c>
      <x:c r="D307" s="5" t="str">
        <x:v>FD007</x:v>
      </x:c>
      <x:c r="E307" s="5" t="str">
        <x:v>Amala &amp; Ewedu</x:v>
      </x:c>
      <x:c r="F307" s="5" t="str">
        <x:v>Swallow</x:v>
      </x:c>
      <x:c r="G307" s="44" t="n">
        <x:v>4</x:v>
      </x:c>
      <x:c r="H307" s="45" t="n">
        <x:v>2500</x:v>
      </x:c>
      <x:c r="I307" s="46" t="n">
        <x:v>0.1</x:v>
      </x:c>
      <x:c r="J307" s="47" t="n">
        <x:f>G307*H307*(1-I307)</x:f>
        <x:v>9000</x:v>
      </x:c>
      <x:c r="K307" s="47" t="n">
        <x:v>1250</x:v>
      </x:c>
      <x:c r="L307" s="47" t="n">
        <x:f>G307*K307</x:f>
        <x:v>5000</x:v>
      </x:c>
      <x:c r="M307" s="47" t="n">
        <x:f>J307-L307</x:f>
        <x:v>4000</x:v>
      </x:c>
      <x:c r="N307" s="5" t="str">
        <x:v>Walk-in</x:v>
      </x:c>
      <x:c r="O307" s="5" t="str">
        <x:v>Cash</x:v>
      </x:c>
      <x:c r="P307" s="5" t="str">
        <x:v>Lunch</x:v>
      </x:c>
      <x:c r="Q307" s="48" t="n">
        <x:v>12</x:v>
      </x:c>
      <x:c r="R307" s="5" t="n">
        <x:v>5</x:v>
      </x:c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5" t="str">
        <x:v>ORD-01437</x:v>
      </x:c>
      <x:c r="B308" s="43" t="n">
        <x:v>46062</x:v>
      </x:c>
      <x:c r="C308" s="5" t="str">
        <x:v>CUST-0028</x:v>
      </x:c>
      <x:c r="D308" s="5" t="str">
        <x:v>FD003</x:v>
      </x:c>
      <x:c r="E308" s="5" t="str">
        <x:v>Fried Rice &amp; Chicken</x:v>
      </x:c>
      <x:c r="F308" s="5" t="str">
        <x:v>Rice Meals</x:v>
      </x:c>
      <x:c r="G308" s="44" t="n">
        <x:v>3</x:v>
      </x:c>
      <x:c r="H308" s="45" t="n">
        <x:v>3000</x:v>
      </x:c>
      <x:c r="I308" s="46" t="n">
        <x:v>0</x:v>
      </x:c>
      <x:c r="J308" s="47" t="n">
        <x:f>G308*H308*(1-I308)</x:f>
        <x:v>9000</x:v>
      </x:c>
      <x:c r="K308" s="47" t="n">
        <x:v>1580</x:v>
      </x:c>
      <x:c r="L308" s="47" t="n">
        <x:f>G308*K308</x:f>
        <x:v>4740</x:v>
      </x:c>
      <x:c r="M308" s="47" t="n">
        <x:f>J308-L308</x:f>
        <x:v>4260</x:v>
      </x:c>
      <x:c r="N308" s="5" t="str">
        <x:v>Walk-in</x:v>
      </x:c>
      <x:c r="O308" s="5" t="str">
        <x:v>Cash</x:v>
      </x:c>
      <x:c r="P308" s="5" t="str">
        <x:v>Lunch</x:v>
      </x:c>
      <x:c r="Q308" s="48" t="n">
        <x:v>11</x:v>
      </x:c>
      <x:c r="R308" s="5" t="n">
        <x:v>3</x:v>
      </x:c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5" t="str">
        <x:v>ORD-01512</x:v>
      </x:c>
      <x:c r="B309" s="43" t="n">
        <x:v>46062</x:v>
      </x:c>
      <x:c r="C309" s="5" t="str">
        <x:v>CUST-0284</x:v>
      </x:c>
      <x:c r="D309" s="5" t="str">
        <x:v>FD006</x:v>
      </x:c>
      <x:c r="E309" s="5" t="str">
        <x:v>Eba &amp; Egusi Soup</x:v>
      </x:c>
      <x:c r="F309" s="5" t="str">
        <x:v>Swallow</x:v>
      </x:c>
      <x:c r="G309" s="44" t="n">
        <x:v>2</x:v>
      </x:c>
      <x:c r="H309" s="45" t="n">
        <x:v>2600</x:v>
      </x:c>
      <x:c r="I309" s="46" t="n">
        <x:v>0</x:v>
      </x:c>
      <x:c r="J309" s="47" t="n">
        <x:f>G309*H309*(1-I309)</x:f>
        <x:v>5200</x:v>
      </x:c>
      <x:c r="K309" s="47" t="n">
        <x:v>1320</x:v>
      </x:c>
      <x:c r="L309" s="47" t="n">
        <x:f>G309*K309</x:f>
        <x:v>2640</x:v>
      </x:c>
      <x:c r="M309" s="47" t="n">
        <x:f>J309-L309</x:f>
        <x:v>2560</x:v>
      </x:c>
      <x:c r="N309" s="5" t="str">
        <x:v>Walk-in</x:v>
      </x:c>
      <x:c r="O309" s="5" t="str">
        <x:v>Transfer</x:v>
      </x:c>
      <x:c r="P309" s="5" t="str">
        <x:v>Lunch</x:v>
      </x:c>
      <x:c r="Q309" s="48" t="n">
        <x:v>15</x:v>
      </x:c>
      <x:c r="R309" s="5" t="n">
        <x:v>4</x:v>
      </x:c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5" t="str">
        <x:v>ORD-01670</x:v>
      </x:c>
      <x:c r="B310" s="43" t="n">
        <x:v>46062</x:v>
      </x:c>
      <x:c r="C310" s="5" t="str">
        <x:v>CUST-0099</x:v>
      </x:c>
      <x:c r="D310" s="5" t="str">
        <x:v>FD002</x:v>
      </x:c>
      <x:c r="E310" s="5" t="str">
        <x:v>Jollof Rice &amp; Chicken</x:v>
      </x:c>
      <x:c r="F310" s="5" t="str">
        <x:v>Rice Meals</x:v>
      </x:c>
      <x:c r="G310" s="44" t="n">
        <x:v>3</x:v>
      </x:c>
      <x:c r="H310" s="45" t="n">
        <x:v>2800</x:v>
      </x:c>
      <x:c r="I310" s="46" t="n">
        <x:v>0</x:v>
      </x:c>
      <x:c r="J310" s="47" t="n">
        <x:f>G310*H310*(1-I310)</x:f>
        <x:v>8400</x:v>
      </x:c>
      <x:c r="K310" s="47" t="n">
        <x:v>1450</x:v>
      </x:c>
      <x:c r="L310" s="47" t="n">
        <x:f>G310*K310</x:f>
        <x:v>4350</x:v>
      </x:c>
      <x:c r="M310" s="47" t="n">
        <x:f>J310-L310</x:f>
        <x:v>4050</x:v>
      </x:c>
      <x:c r="N310" s="5" t="str">
        <x:v>Walk-in</x:v>
      </x:c>
      <x:c r="O310" s="5" t="str">
        <x:v>Cash</x:v>
      </x:c>
      <x:c r="P310" s="5" t="str">
        <x:v>Lunch</x:v>
      </x:c>
      <x:c r="Q310" s="48" t="n">
        <x:v>15</x:v>
      </x:c>
      <x:c r="R310" s="5" t="n">
        <x:v>5</x:v>
      </x:c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5" t="str">
        <x:v>ORD-01729</x:v>
      </x:c>
      <x:c r="B311" s="43" t="n">
        <x:v>46062</x:v>
      </x:c>
      <x:c r="C311" s="5" t="str">
        <x:v>CUST-0309</x:v>
      </x:c>
      <x:c r="D311" s="5" t="str">
        <x:v>FD007</x:v>
      </x:c>
      <x:c r="E311" s="5" t="str">
        <x:v>Amala &amp; Ewedu</x:v>
      </x:c>
      <x:c r="F311" s="5" t="str">
        <x:v>Swallow</x:v>
      </x:c>
      <x:c r="G311" s="44" t="n">
        <x:v>3</x:v>
      </x:c>
      <x:c r="H311" s="45" t="n">
        <x:v>2500</x:v>
      </x:c>
      <x:c r="I311" s="46" t="n">
        <x:v>0</x:v>
      </x:c>
      <x:c r="J311" s="47" t="n">
        <x:f>G311*H311*(1-I311)</x:f>
        <x:v>7500</x:v>
      </x:c>
      <x:c r="K311" s="47" t="n">
        <x:v>1250</x:v>
      </x:c>
      <x:c r="L311" s="47" t="n">
        <x:f>G311*K311</x:f>
        <x:v>3750</x:v>
      </x:c>
      <x:c r="M311" s="47" t="n">
        <x:f>J311-L311</x:f>
        <x:v>3750</x:v>
      </x:c>
      <x:c r="N311" s="5" t="str">
        <x:v>Walk-in</x:v>
      </x:c>
      <x:c r="O311" s="5" t="str">
        <x:v>POS</x:v>
      </x:c>
      <x:c r="P311" s="5" t="str">
        <x:v>Dinner</x:v>
      </x:c>
      <x:c r="Q311" s="48" t="n">
        <x:v>16</x:v>
      </x:c>
      <x:c r="R311" s="5" t="n">
        <x:v>5</x:v>
      </x:c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5" t="str">
        <x:v>ORD-00046</x:v>
      </x:c>
      <x:c r="B312" s="43" t="n">
        <x:v>46063</x:v>
      </x:c>
      <x:c r="C312" s="5" t="str">
        <x:v>CUST-0443</x:v>
      </x:c>
      <x:c r="D312" s="5" t="str">
        <x:v>FD002</x:v>
      </x:c>
      <x:c r="E312" s="5" t="str">
        <x:v>Jollof Rice &amp; Chicken</x:v>
      </x:c>
      <x:c r="F312" s="5" t="str">
        <x:v>Rice Meals</x:v>
      </x:c>
      <x:c r="G312" s="44" t="n">
        <x:v>3</x:v>
      </x:c>
      <x:c r="H312" s="45" t="n">
        <x:v>2800</x:v>
      </x:c>
      <x:c r="I312" s="46" t="n">
        <x:v>0</x:v>
      </x:c>
      <x:c r="J312" s="47" t="n">
        <x:f>G312*H312*(1-I312)</x:f>
        <x:v>8400</x:v>
      </x:c>
      <x:c r="K312" s="47" t="n">
        <x:v>1450</x:v>
      </x:c>
      <x:c r="L312" s="47" t="n">
        <x:f>G312*K312</x:f>
        <x:v>4350</x:v>
      </x:c>
      <x:c r="M312" s="47" t="n">
        <x:f>J312-L312</x:f>
        <x:v>4050</x:v>
      </x:c>
      <x:c r="N312" s="5" t="str">
        <x:v>Walk-in</x:v>
      </x:c>
      <x:c r="O312" s="5" t="str">
        <x:v>Cash</x:v>
      </x:c>
      <x:c r="P312" s="5" t="str">
        <x:v>Lunch</x:v>
      </x:c>
      <x:c r="Q312" s="48" t="n">
        <x:v>15</x:v>
      </x:c>
      <x:c r="R312" s="5" t="n">
        <x:v>3</x:v>
      </x:c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5" t="str">
        <x:v>ORD-00061</x:v>
      </x:c>
      <x:c r="B313" s="43" t="n">
        <x:v>46063</x:v>
      </x:c>
      <x:c r="C313" s="5" t="str">
        <x:v>CUST-0459</x:v>
      </x:c>
      <x:c r="D313" s="5" t="str">
        <x:v>FD004</x:v>
      </x:c>
      <x:c r="E313" s="5" t="str">
        <x:v>Beans &amp; Plantain</x:v>
      </x:c>
      <x:c r="F313" s="5" t="str">
        <x:v>Traditional Meals</x:v>
      </x:c>
      <x:c r="G313" s="44" t="n">
        <x:v>3</x:v>
      </x:c>
      <x:c r="H313" s="45" t="n">
        <x:v>2000</x:v>
      </x:c>
      <x:c r="I313" s="46" t="n">
        <x:v>0</x:v>
      </x:c>
      <x:c r="J313" s="47" t="n">
        <x:f>G313*H313*(1-I313)</x:f>
        <x:v>6000</x:v>
      </x:c>
      <x:c r="K313" s="47" t="n">
        <x:v>960</x:v>
      </x:c>
      <x:c r="L313" s="47" t="n">
        <x:f>G313*K313</x:f>
        <x:v>2880</x:v>
      </x:c>
      <x:c r="M313" s="47" t="n">
        <x:f>J313-L313</x:f>
        <x:v>3120</x:v>
      </x:c>
      <x:c r="N313" s="5" t="str">
        <x:v>Takeaway</x:v>
      </x:c>
      <x:c r="O313" s="5" t="str">
        <x:v>Cash</x:v>
      </x:c>
      <x:c r="P313" s="5" t="str">
        <x:v>Lunch</x:v>
      </x:c>
      <x:c r="Q313" s="48" t="n">
        <x:v>14</x:v>
      </x:c>
      <x:c r="R313" s="5" t="n">
        <x:v>4</x:v>
      </x:c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5" t="str">
        <x:v>ORD-00396</x:v>
      </x:c>
      <x:c r="B314" s="43" t="n">
        <x:v>46063</x:v>
      </x:c>
      <x:c r="C314" s="5" t="str">
        <x:v>CUST-0495</x:v>
      </x:c>
      <x:c r="D314" s="5" t="str">
        <x:v>FD009</x:v>
      </x:c>
      <x:c r="E314" s="5" t="str">
        <x:v>Moi Moi</x:v>
      </x:c>
      <x:c r="F314" s="5" t="str">
        <x:v>Sides</x:v>
      </x:c>
      <x:c r="G314" s="44" t="n">
        <x:v>4</x:v>
      </x:c>
      <x:c r="H314" s="45" t="n">
        <x:v>900</x:v>
      </x:c>
      <x:c r="I314" s="46" t="n">
        <x:v>0</x:v>
      </x:c>
      <x:c r="J314" s="47" t="n">
        <x:f>G314*H314*(1-I314)</x:f>
        <x:v>3600</x:v>
      </x:c>
      <x:c r="K314" s="47" t="n">
        <x:v>380</x:v>
      </x:c>
      <x:c r="L314" s="47" t="n">
        <x:f>G314*K314</x:f>
        <x:v>1520</x:v>
      </x:c>
      <x:c r="M314" s="47" t="n">
        <x:f>J314-L314</x:f>
        <x:v>2080</x:v>
      </x:c>
      <x:c r="N314" s="5" t="str">
        <x:v>Walk-in</x:v>
      </x:c>
      <x:c r="O314" s="5" t="str">
        <x:v>Transfer</x:v>
      </x:c>
      <x:c r="P314" s="5" t="str">
        <x:v>Lunch</x:v>
      </x:c>
      <x:c r="Q314" s="48" t="n">
        <x:v>13</x:v>
      </x:c>
      <x:c r="R314" s="5" t="n">
        <x:v>4</x:v>
      </x:c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5" t="str">
        <x:v>ORD-00538</x:v>
      </x:c>
      <x:c r="B315" s="43" t="n">
        <x:v>46063</x:v>
      </x:c>
      <x:c r="C315" s="5" t="str">
        <x:v>CUST-0338</x:v>
      </x:c>
      <x:c r="D315" s="5" t="str">
        <x:v>FD001</x:v>
      </x:c>
      <x:c r="E315" s="5" t="str">
        <x:v>White Rice &amp; Stew</x:v>
      </x:c>
      <x:c r="F315" s="5" t="str">
        <x:v>Rice Meals</x:v>
      </x:c>
      <x:c r="G315" s="44" t="n">
        <x:v>4</x:v>
      </x:c>
      <x:c r="H315" s="45" t="n">
        <x:v>1800</x:v>
      </x:c>
      <x:c r="I315" s="46" t="n">
        <x:v>0</x:v>
      </x:c>
      <x:c r="J315" s="47" t="n">
        <x:f>G315*H315*(1-I315)</x:f>
        <x:v>7200</x:v>
      </x:c>
      <x:c r="K315" s="47" t="n">
        <x:v>820</x:v>
      </x:c>
      <x:c r="L315" s="47" t="n">
        <x:f>G315*K315</x:f>
        <x:v>3280</x:v>
      </x:c>
      <x:c r="M315" s="47" t="n">
        <x:f>J315-L315</x:f>
        <x:v>3920</x:v>
      </x:c>
      <x:c r="N315" s="5" t="str">
        <x:v>Delivery</x:v>
      </x:c>
      <x:c r="O315" s="5" t="str">
        <x:v>Cash</x:v>
      </x:c>
      <x:c r="P315" s="5" t="str">
        <x:v>Lunch</x:v>
      </x:c>
      <x:c r="Q315" s="48" t="n">
        <x:v>13</x:v>
      </x:c>
      <x:c r="R315" s="5" t="n">
        <x:v>5</x:v>
      </x:c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5" t="str">
        <x:v>ORD-00694</x:v>
      </x:c>
      <x:c r="B316" s="43" t="n">
        <x:v>46063</x:v>
      </x:c>
      <x:c r="C316" s="5" t="str">
        <x:v>CUST-0165</x:v>
      </x:c>
      <x:c r="D316" s="5" t="str">
        <x:v>FD003</x:v>
      </x:c>
      <x:c r="E316" s="5" t="str">
        <x:v>Fried Rice &amp; Chicken</x:v>
      </x:c>
      <x:c r="F316" s="5" t="str">
        <x:v>Rice Meals</x:v>
      </x:c>
      <x:c r="G316" s="44" t="n">
        <x:v>3</x:v>
      </x:c>
      <x:c r="H316" s="45" t="n">
        <x:v>3000</x:v>
      </x:c>
      <x:c r="I316" s="46" t="n">
        <x:v>0</x:v>
      </x:c>
      <x:c r="J316" s="47" t="n">
        <x:f>G316*H316*(1-I316)</x:f>
        <x:v>9000</x:v>
      </x:c>
      <x:c r="K316" s="47" t="n">
        <x:v>1580</x:v>
      </x:c>
      <x:c r="L316" s="47" t="n">
        <x:f>G316*K316</x:f>
        <x:v>4740</x:v>
      </x:c>
      <x:c r="M316" s="47" t="n">
        <x:f>J316-L316</x:f>
        <x:v>4260</x:v>
      </x:c>
      <x:c r="N316" s="5" t="str">
        <x:v>Takeaway</x:v>
      </x:c>
      <x:c r="O316" s="5" t="str">
        <x:v>POS</x:v>
      </x:c>
      <x:c r="P316" s="5" t="str">
        <x:v>Lunch</x:v>
      </x:c>
      <x:c r="Q316" s="48" t="n">
        <x:v>15</x:v>
      </x:c>
      <x:c r="R316" s="5" t="n">
        <x:v>5</x:v>
      </x:c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5" t="str">
        <x:v>ORD-00826</x:v>
      </x:c>
      <x:c r="B317" s="43" t="n">
        <x:v>46063</x:v>
      </x:c>
      <x:c r="C317" s="5" t="str">
        <x:v>CUST-0373</x:v>
      </x:c>
      <x:c r="D317" s="5" t="str">
        <x:v>FD001</x:v>
      </x:c>
      <x:c r="E317" s="5" t="str">
        <x:v>White Rice &amp; Stew</x:v>
      </x:c>
      <x:c r="F317" s="5" t="str">
        <x:v>Rice Meals</x:v>
      </x:c>
      <x:c r="G317" s="44" t="n">
        <x:v>3</x:v>
      </x:c>
      <x:c r="H317" s="45" t="n">
        <x:v>1800</x:v>
      </x:c>
      <x:c r="I317" s="46" t="n">
        <x:v>0</x:v>
      </x:c>
      <x:c r="J317" s="47" t="n">
        <x:f>G317*H317*(1-I317)</x:f>
        <x:v>5400</x:v>
      </x:c>
      <x:c r="K317" s="47" t="n">
        <x:v>820</x:v>
      </x:c>
      <x:c r="L317" s="47" t="n">
        <x:f>G317*K317</x:f>
        <x:v>2460</x:v>
      </x:c>
      <x:c r="M317" s="47" t="n">
        <x:f>J317-L317</x:f>
        <x:v>2940</x:v>
      </x:c>
      <x:c r="N317" s="5" t="str">
        <x:v>Walk-in</x:v>
      </x:c>
      <x:c r="O317" s="5" t="str">
        <x:v>Transfer</x:v>
      </x:c>
      <x:c r="P317" s="5" t="str">
        <x:v>Lunch</x:v>
      </x:c>
      <x:c r="Q317" s="48" t="n">
        <x:v>13</x:v>
      </x:c>
      <x:c r="R317" s="5" t="n">
        <x:v>3</x:v>
      </x:c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5" t="str">
        <x:v>ORD-01141</x:v>
      </x:c>
      <x:c r="B318" s="43" t="n">
        <x:v>46063</x:v>
      </x:c>
      <x:c r="C318" s="5" t="str">
        <x:v>CUST-0513</x:v>
      </x:c>
      <x:c r="D318" s="5" t="str">
        <x:v>FD005</x:v>
      </x:c>
      <x:c r="E318" s="5" t="str">
        <x:v>Yam Porridge</x:v>
      </x:c>
      <x:c r="F318" s="5" t="str">
        <x:v>Traditional Meals</x:v>
      </x:c>
      <x:c r="G318" s="44" t="n">
        <x:v>3</x:v>
      </x:c>
      <x:c r="H318" s="45" t="n">
        <x:v>2200</x:v>
      </x:c>
      <x:c r="I318" s="46" t="n">
        <x:v>0</x:v>
      </x:c>
      <x:c r="J318" s="47" t="n">
        <x:f>G318*H318*(1-I318)</x:f>
        <x:v>6600</x:v>
      </x:c>
      <x:c r="K318" s="47" t="n">
        <x:v>1050</x:v>
      </x:c>
      <x:c r="L318" s="47" t="n">
        <x:f>G318*K318</x:f>
        <x:v>3150</x:v>
      </x:c>
      <x:c r="M318" s="47" t="n">
        <x:f>J318-L318</x:f>
        <x:v>3450</x:v>
      </x:c>
      <x:c r="N318" s="5" t="str">
        <x:v>Walk-in</x:v>
      </x:c>
      <x:c r="O318" s="5" t="str">
        <x:v>POS</x:v>
      </x:c>
      <x:c r="P318" s="5" t="str">
        <x:v>Dinner</x:v>
      </x:c>
      <x:c r="Q318" s="48" t="n">
        <x:v>20</x:v>
      </x:c>
      <x:c r="R318" s="5" t="n">
        <x:v>3</x:v>
      </x:c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5" t="str">
        <x:v>ORD-01322</x:v>
      </x:c>
      <x:c r="B319" s="43" t="n">
        <x:v>46063</x:v>
      </x:c>
      <x:c r="C319" s="5" t="str">
        <x:v>CUST-0449</x:v>
      </x:c>
      <x:c r="D319" s="5" t="str">
        <x:v>FD004</x:v>
      </x:c>
      <x:c r="E319" s="5" t="str">
        <x:v>Beans &amp; Plantain</x:v>
      </x:c>
      <x:c r="F319" s="5" t="str">
        <x:v>Traditional Meals</x:v>
      </x:c>
      <x:c r="G319" s="44" t="n">
        <x:v>4</x:v>
      </x:c>
      <x:c r="H319" s="45" t="n">
        <x:v>2000</x:v>
      </x:c>
      <x:c r="I319" s="46" t="n">
        <x:v>0</x:v>
      </x:c>
      <x:c r="J319" s="47" t="n">
        <x:f>G319*H319*(1-I319)</x:f>
        <x:v>8000</x:v>
      </x:c>
      <x:c r="K319" s="47" t="n">
        <x:v>960</x:v>
      </x:c>
      <x:c r="L319" s="47" t="n">
        <x:f>G319*K319</x:f>
        <x:v>3840</x:v>
      </x:c>
      <x:c r="M319" s="47" t="n">
        <x:f>J319-L319</x:f>
        <x:v>4160</x:v>
      </x:c>
      <x:c r="N319" s="5" t="str">
        <x:v>Takeaway</x:v>
      </x:c>
      <x:c r="O319" s="5" t="str">
        <x:v>POS</x:v>
      </x:c>
      <x:c r="P319" s="5" t="str">
        <x:v>Breakfast</x:v>
      </x:c>
      <x:c r="Q319" s="48" t="n">
        <x:v>8</x:v>
      </x:c>
      <x:c r="R319" s="5" t="n">
        <x:v>5</x:v>
      </x:c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5" t="str">
        <x:v>ORD-01514</x:v>
      </x:c>
      <x:c r="B320" s="43" t="n">
        <x:v>46063</x:v>
      </x:c>
      <x:c r="C320" s="5" t="str">
        <x:v>CUST-0594</x:v>
      </x:c>
      <x:c r="D320" s="5" t="str">
        <x:v>FD003</x:v>
      </x:c>
      <x:c r="E320" s="5" t="str">
        <x:v>Fried Rice &amp; Chicken</x:v>
      </x:c>
      <x:c r="F320" s="5" t="str">
        <x:v>Rice Meals</x:v>
      </x:c>
      <x:c r="G320" s="44" t="n">
        <x:v>1</x:v>
      </x:c>
      <x:c r="H320" s="45" t="n">
        <x:v>3000</x:v>
      </x:c>
      <x:c r="I320" s="46" t="n">
        <x:v>0</x:v>
      </x:c>
      <x:c r="J320" s="47" t="n">
        <x:f>G320*H320*(1-I320)</x:f>
        <x:v>3000</x:v>
      </x:c>
      <x:c r="K320" s="47" t="n">
        <x:v>1580</x:v>
      </x:c>
      <x:c r="L320" s="47" t="n">
        <x:f>G320*K320</x:f>
        <x:v>1580</x:v>
      </x:c>
      <x:c r="M320" s="47" t="n">
        <x:f>J320-L320</x:f>
        <x:v>1420</x:v>
      </x:c>
      <x:c r="N320" s="5" t="str">
        <x:v>Walk-in</x:v>
      </x:c>
      <x:c r="O320" s="5" t="str">
        <x:v>POS</x:v>
      </x:c>
      <x:c r="P320" s="5" t="str">
        <x:v>Lunch</x:v>
      </x:c>
      <x:c r="Q320" s="48" t="n">
        <x:v>14</x:v>
      </x:c>
      <x:c r="R320" s="5" t="n">
        <x:v>3</x:v>
      </x:c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5" t="str">
        <x:v>ORD-00024</x:v>
      </x:c>
      <x:c r="B321" s="43" t="n">
        <x:v>46064</x:v>
      </x:c>
      <x:c r="C321" s="5" t="str">
        <x:v>CUST-0579</x:v>
      </x:c>
      <x:c r="D321" s="5" t="str">
        <x:v>FD002</x:v>
      </x:c>
      <x:c r="E321" s="5" t="str">
        <x:v>Jollof Rice &amp; Chicken</x:v>
      </x:c>
      <x:c r="F321" s="5" t="str">
        <x:v>Rice Meals</x:v>
      </x:c>
      <x:c r="G321" s="44" t="n">
        <x:v>4</x:v>
      </x:c>
      <x:c r="H321" s="45" t="n">
        <x:v>2800</x:v>
      </x:c>
      <x:c r="I321" s="46" t="n">
        <x:v>0</x:v>
      </x:c>
      <x:c r="J321" s="47" t="n">
        <x:f>G321*H321*(1-I321)</x:f>
        <x:v>11200</x:v>
      </x:c>
      <x:c r="K321" s="47" t="n">
        <x:v>1450</x:v>
      </x:c>
      <x:c r="L321" s="47" t="n">
        <x:f>G321*K321</x:f>
        <x:v>5800</x:v>
      </x:c>
      <x:c r="M321" s="47" t="n">
        <x:f>J321-L321</x:f>
        <x:v>5400</x:v>
      </x:c>
      <x:c r="N321" s="5" t="str">
        <x:v>Delivery</x:v>
      </x:c>
      <x:c r="O321" s="5" t="str">
        <x:v>Transfer</x:v>
      </x:c>
      <x:c r="P321" s="5" t="str">
        <x:v>Lunch</x:v>
      </x:c>
      <x:c r="Q321" s="48" t="n">
        <x:v>15</x:v>
      </x:c>
      <x:c r="R321" s="5" t="n">
        <x:v>4</x:v>
      </x:c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5" t="str">
        <x:v>ORD-00138</x:v>
      </x:c>
      <x:c r="B322" s="43" t="n">
        <x:v>46064</x:v>
      </x:c>
      <x:c r="C322" s="5" t="str">
        <x:v>CUST-0185</x:v>
      </x:c>
      <x:c r="D322" s="5" t="str">
        <x:v>FD006</x:v>
      </x:c>
      <x:c r="E322" s="5" t="str">
        <x:v>Eba &amp; Egusi Soup</x:v>
      </x:c>
      <x:c r="F322" s="5" t="str">
        <x:v>Swallow</x:v>
      </x:c>
      <x:c r="G322" s="44" t="n">
        <x:v>3</x:v>
      </x:c>
      <x:c r="H322" s="45" t="n">
        <x:v>2600</x:v>
      </x:c>
      <x:c r="I322" s="46" t="n">
        <x:v>0</x:v>
      </x:c>
      <x:c r="J322" s="47" t="n">
        <x:f>G322*H322*(1-I322)</x:f>
        <x:v>7800</x:v>
      </x:c>
      <x:c r="K322" s="47" t="n">
        <x:v>1320</x:v>
      </x:c>
      <x:c r="L322" s="47" t="n">
        <x:f>G322*K322</x:f>
        <x:v>3960</x:v>
      </x:c>
      <x:c r="M322" s="47" t="n">
        <x:f>J322-L322</x:f>
        <x:v>3840</x:v>
      </x:c>
      <x:c r="N322" s="5" t="str">
        <x:v>Delivery</x:v>
      </x:c>
      <x:c r="O322" s="5" t="str">
        <x:v>POS</x:v>
      </x:c>
      <x:c r="P322" s="5" t="str">
        <x:v>Lunch</x:v>
      </x:c>
      <x:c r="Q322" s="48" t="n">
        <x:v>12</x:v>
      </x:c>
      <x:c r="R322" s="5" t="n">
        <x:v>4</x:v>
      </x:c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5" t="str">
        <x:v>ORD-00428</x:v>
      </x:c>
      <x:c r="B323" s="43" t="n">
        <x:v>46064</x:v>
      </x:c>
      <x:c r="C323" s="5" t="str">
        <x:v>CUST-0441</x:v>
      </x:c>
      <x:c r="D323" s="5" t="str">
        <x:v>FD001</x:v>
      </x:c>
      <x:c r="E323" s="5" t="str">
        <x:v>White Rice &amp; Stew</x:v>
      </x:c>
      <x:c r="F323" s="5" t="str">
        <x:v>Rice Meals</x:v>
      </x:c>
      <x:c r="G323" s="44" t="n">
        <x:v>1</x:v>
      </x:c>
      <x:c r="H323" s="45" t="n">
        <x:v>1800</x:v>
      </x:c>
      <x:c r="I323" s="46" t="n">
        <x:v>0</x:v>
      </x:c>
      <x:c r="J323" s="47" t="n">
        <x:f>G323*H323*(1-I323)</x:f>
        <x:v>1800</x:v>
      </x:c>
      <x:c r="K323" s="47" t="n">
        <x:v>820</x:v>
      </x:c>
      <x:c r="L323" s="47" t="n">
        <x:f>G323*K323</x:f>
        <x:v>820</x:v>
      </x:c>
      <x:c r="M323" s="47" t="n">
        <x:f>J323-L323</x:f>
        <x:v>980</x:v>
      </x:c>
      <x:c r="N323" s="5" t="str">
        <x:v>Walk-in</x:v>
      </x:c>
      <x:c r="O323" s="5" t="str">
        <x:v>POS</x:v>
      </x:c>
      <x:c r="P323" s="5" t="str">
        <x:v>Lunch</x:v>
      </x:c>
      <x:c r="Q323" s="48" t="n">
        <x:v>15</x:v>
      </x:c>
      <x:c r="R323" s="5" t="n">
        <x:v>4</x:v>
      </x:c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5" t="str">
        <x:v>ORD-00724</x:v>
      </x:c>
      <x:c r="B324" s="43" t="n">
        <x:v>46064</x:v>
      </x:c>
      <x:c r="C324" s="5" t="str">
        <x:v>CUST-0119</x:v>
      </x:c>
      <x:c r="D324" s="5" t="str">
        <x:v>FD006</x:v>
      </x:c>
      <x:c r="E324" s="5" t="str">
        <x:v>Eba &amp; Egusi Soup</x:v>
      </x:c>
      <x:c r="F324" s="5" t="str">
        <x:v>Swallow</x:v>
      </x:c>
      <x:c r="G324" s="44" t="n">
        <x:v>4</x:v>
      </x:c>
      <x:c r="H324" s="45" t="n">
        <x:v>2600</x:v>
      </x:c>
      <x:c r="I324" s="46" t="n">
        <x:v>0</x:v>
      </x:c>
      <x:c r="J324" s="47" t="n">
        <x:f>G324*H324*(1-I324)</x:f>
        <x:v>10400</x:v>
      </x:c>
      <x:c r="K324" s="47" t="n">
        <x:v>1320</x:v>
      </x:c>
      <x:c r="L324" s="47" t="n">
        <x:f>G324*K324</x:f>
        <x:v>5280</x:v>
      </x:c>
      <x:c r="M324" s="47" t="n">
        <x:f>J324-L324</x:f>
        <x:v>5120</x:v>
      </x:c>
      <x:c r="N324" s="5" t="str">
        <x:v>Takeaway</x:v>
      </x:c>
      <x:c r="O324" s="5" t="str">
        <x:v>Cash</x:v>
      </x:c>
      <x:c r="P324" s="5" t="str">
        <x:v>Breakfast</x:v>
      </x:c>
      <x:c r="Q324" s="48" t="n">
        <x:v>9</x:v>
      </x:c>
      <x:c r="R324" s="5" t="n">
        <x:v>5</x:v>
      </x:c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5" t="str">
        <x:v>ORD-00774</x:v>
      </x:c>
      <x:c r="B325" s="43" t="n">
        <x:v>46064</x:v>
      </x:c>
      <x:c r="C325" s="5" t="str">
        <x:v>CUST-0597</x:v>
      </x:c>
      <x:c r="D325" s="5" t="str">
        <x:v>FD012</x:v>
      </x:c>
      <x:c r="E325" s="5" t="str">
        <x:v>Fried Plantain</x:v>
      </x:c>
      <x:c r="F325" s="5" t="str">
        <x:v>Sides</x:v>
      </x:c>
      <x:c r="G325" s="44" t="n">
        <x:v>1</x:v>
      </x:c>
      <x:c r="H325" s="45" t="n">
        <x:v>700</x:v>
      </x:c>
      <x:c r="I325" s="46" t="n">
        <x:v>0</x:v>
      </x:c>
      <x:c r="J325" s="47" t="n">
        <x:f>G325*H325*(1-I325)</x:f>
        <x:v>700</x:v>
      </x:c>
      <x:c r="K325" s="47" t="n">
        <x:v>300</x:v>
      </x:c>
      <x:c r="L325" s="47" t="n">
        <x:f>G325*K325</x:f>
        <x:v>300</x:v>
      </x:c>
      <x:c r="M325" s="47" t="n">
        <x:f>J325-L325</x:f>
        <x:v>400</x:v>
      </x:c>
      <x:c r="N325" s="5" t="str">
        <x:v>Walk-in</x:v>
      </x:c>
      <x:c r="O325" s="5" t="str">
        <x:v>Cash</x:v>
      </x:c>
      <x:c r="P325" s="5" t="str">
        <x:v>Lunch</x:v>
      </x:c>
      <x:c r="Q325" s="48" t="n">
        <x:v>12</x:v>
      </x:c>
      <x:c r="R325" s="5" t="n">
        <x:v>4</x:v>
      </x:c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5" t="str">
        <x:v>ORD-00809</x:v>
      </x:c>
      <x:c r="B326" s="43" t="n">
        <x:v>46064</x:v>
      </x:c>
      <x:c r="C326" s="5" t="str">
        <x:v>CUST-0476</x:v>
      </x:c>
      <x:c r="D326" s="5" t="str">
        <x:v>FD007</x:v>
      </x:c>
      <x:c r="E326" s="5" t="str">
        <x:v>Amala &amp; Ewedu</x:v>
      </x:c>
      <x:c r="F326" s="5" t="str">
        <x:v>Swallow</x:v>
      </x:c>
      <x:c r="G326" s="44" t="n">
        <x:v>4</x:v>
      </x:c>
      <x:c r="H326" s="45" t="n">
        <x:v>2500</x:v>
      </x:c>
      <x:c r="I326" s="46" t="n">
        <x:v>0</x:v>
      </x:c>
      <x:c r="J326" s="47" t="n">
        <x:f>G326*H326*(1-I326)</x:f>
        <x:v>10000</x:v>
      </x:c>
      <x:c r="K326" s="47" t="n">
        <x:v>1250</x:v>
      </x:c>
      <x:c r="L326" s="47" t="n">
        <x:f>G326*K326</x:f>
        <x:v>5000</x:v>
      </x:c>
      <x:c r="M326" s="47" t="n">
        <x:f>J326-L326</x:f>
        <x:v>5000</x:v>
      </x:c>
      <x:c r="N326" s="5" t="str">
        <x:v>Takeaway</x:v>
      </x:c>
      <x:c r="O326" s="5" t="str">
        <x:v>POS</x:v>
      </x:c>
      <x:c r="P326" s="5" t="str">
        <x:v>Breakfast</x:v>
      </x:c>
      <x:c r="Q326" s="48" t="n">
        <x:v>9</x:v>
      </x:c>
      <x:c r="R326" s="5" t="n">
        <x:v>4</x:v>
      </x:c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5" t="str">
        <x:v>ORD-01000</x:v>
      </x:c>
      <x:c r="B327" s="43" t="n">
        <x:v>46064</x:v>
      </x:c>
      <x:c r="C327" s="5" t="str">
        <x:v>CUST-0218</x:v>
      </x:c>
      <x:c r="D327" s="5" t="str">
        <x:v>FD001</x:v>
      </x:c>
      <x:c r="E327" s="5" t="str">
        <x:v>White Rice &amp; Stew</x:v>
      </x:c>
      <x:c r="F327" s="5" t="str">
        <x:v>Rice Meals</x:v>
      </x:c>
      <x:c r="G327" s="44" t="n">
        <x:v>2</x:v>
      </x:c>
      <x:c r="H327" s="45" t="n">
        <x:v>1800</x:v>
      </x:c>
      <x:c r="I327" s="46" t="n">
        <x:v>0</x:v>
      </x:c>
      <x:c r="J327" s="47" t="n">
        <x:f>G327*H327*(1-I327)</x:f>
        <x:v>3600</x:v>
      </x:c>
      <x:c r="K327" s="47" t="n">
        <x:v>820</x:v>
      </x:c>
      <x:c r="L327" s="47" t="n">
        <x:f>G327*K327</x:f>
        <x:v>1640</x:v>
      </x:c>
      <x:c r="M327" s="47" t="n">
        <x:f>J327-L327</x:f>
        <x:v>1960</x:v>
      </x:c>
      <x:c r="N327" s="5" t="str">
        <x:v>Walk-in</x:v>
      </x:c>
      <x:c r="O327" s="5" t="str">
        <x:v>POS</x:v>
      </x:c>
      <x:c r="P327" s="5" t="str">
        <x:v>Lunch</x:v>
      </x:c>
      <x:c r="Q327" s="48" t="n">
        <x:v>14</x:v>
      </x:c>
      <x:c r="R327" s="5" t="n">
        <x:v>5</x:v>
      </x:c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5" t="str">
        <x:v>ORD-01531</x:v>
      </x:c>
      <x:c r="B328" s="43" t="n">
        <x:v>46064</x:v>
      </x:c>
      <x:c r="C328" s="5" t="str">
        <x:v>CUST-0595</x:v>
      </x:c>
      <x:c r="D328" s="5" t="str">
        <x:v>FD002</x:v>
      </x:c>
      <x:c r="E328" s="5" t="str">
        <x:v>Jollof Rice &amp; Chicken</x:v>
      </x:c>
      <x:c r="F328" s="5" t="str">
        <x:v>Rice Meals</x:v>
      </x:c>
      <x:c r="G328" s="44" t="n">
        <x:v>2</x:v>
      </x:c>
      <x:c r="H328" s="45" t="n">
        <x:v>2800</x:v>
      </x:c>
      <x:c r="I328" s="46" t="n">
        <x:v>0</x:v>
      </x:c>
      <x:c r="J328" s="47" t="n">
        <x:f>G328*H328*(1-I328)</x:f>
        <x:v>5600</x:v>
      </x:c>
      <x:c r="K328" s="47" t="n">
        <x:v>1450</x:v>
      </x:c>
      <x:c r="L328" s="47" t="n">
        <x:f>G328*K328</x:f>
        <x:v>2900</x:v>
      </x:c>
      <x:c r="M328" s="47" t="n">
        <x:f>J328-L328</x:f>
        <x:v>2700</x:v>
      </x:c>
      <x:c r="N328" s="5" t="str">
        <x:v>Walk-in</x:v>
      </x:c>
      <x:c r="O328" s="5" t="str">
        <x:v>Transfer</x:v>
      </x:c>
      <x:c r="P328" s="5" t="str">
        <x:v>Dinner</x:v>
      </x:c>
      <x:c r="Q328" s="48" t="n">
        <x:v>17</x:v>
      </x:c>
      <x:c r="R328" s="5" t="n">
        <x:v>4</x:v>
      </x:c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5" t="str">
        <x:v>ORD-01574</x:v>
      </x:c>
      <x:c r="B329" s="43" t="n">
        <x:v>46064</x:v>
      </x:c>
      <x:c r="C329" s="5" t="str">
        <x:v>CUST-0645</x:v>
      </x:c>
      <x:c r="D329" s="5" t="str">
        <x:v>FD002</x:v>
      </x:c>
      <x:c r="E329" s="5" t="str">
        <x:v>Jollof Rice &amp; Chicken</x:v>
      </x:c>
      <x:c r="F329" s="5" t="str">
        <x:v>Rice Meals</x:v>
      </x:c>
      <x:c r="G329" s="44" t="n">
        <x:v>2</x:v>
      </x:c>
      <x:c r="H329" s="45" t="n">
        <x:v>2800</x:v>
      </x:c>
      <x:c r="I329" s="46" t="n">
        <x:v>0</x:v>
      </x:c>
      <x:c r="J329" s="47" t="n">
        <x:f>G329*H329*(1-I329)</x:f>
        <x:v>5600</x:v>
      </x:c>
      <x:c r="K329" s="47" t="n">
        <x:v>1450</x:v>
      </x:c>
      <x:c r="L329" s="47" t="n">
        <x:f>G329*K329</x:f>
        <x:v>2900</x:v>
      </x:c>
      <x:c r="M329" s="47" t="n">
        <x:f>J329-L329</x:f>
        <x:v>2700</x:v>
      </x:c>
      <x:c r="N329" s="5" t="str">
        <x:v>Takeaway</x:v>
      </x:c>
      <x:c r="O329" s="5" t="str">
        <x:v>POS</x:v>
      </x:c>
      <x:c r="P329" s="5" t="str">
        <x:v>Lunch</x:v>
      </x:c>
      <x:c r="Q329" s="48" t="n">
        <x:v>12</x:v>
      </x:c>
      <x:c r="R329" s="5" t="n">
        <x:v>4</x:v>
      </x:c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5" t="str">
        <x:v>ORD-01737</x:v>
      </x:c>
      <x:c r="B330" s="43" t="n">
        <x:v>46064</x:v>
      </x:c>
      <x:c r="C330" s="5" t="str">
        <x:v>CUST-0477</x:v>
      </x:c>
      <x:c r="D330" s="5" t="str">
        <x:v>FD002</x:v>
      </x:c>
      <x:c r="E330" s="5" t="str">
        <x:v>Jollof Rice &amp; Chicken</x:v>
      </x:c>
      <x:c r="F330" s="5" t="str">
        <x:v>Rice Meals</x:v>
      </x:c>
      <x:c r="G330" s="44" t="n">
        <x:v>3</x:v>
      </x:c>
      <x:c r="H330" s="45" t="n">
        <x:v>2800</x:v>
      </x:c>
      <x:c r="I330" s="46" t="n">
        <x:v>0</x:v>
      </x:c>
      <x:c r="J330" s="47" t="n">
        <x:f>G330*H330*(1-I330)</x:f>
        <x:v>8400</x:v>
      </x:c>
      <x:c r="K330" s="47" t="n">
        <x:v>1450</x:v>
      </x:c>
      <x:c r="L330" s="47" t="n">
        <x:f>G330*K330</x:f>
        <x:v>4350</x:v>
      </x:c>
      <x:c r="M330" s="47" t="n">
        <x:f>J330-L330</x:f>
        <x:v>4050</x:v>
      </x:c>
      <x:c r="N330" s="5" t="str">
        <x:v>Walk-in</x:v>
      </x:c>
      <x:c r="O330" s="5" t="str">
        <x:v>Cash</x:v>
      </x:c>
      <x:c r="P330" s="5" t="str">
        <x:v>Lunch</x:v>
      </x:c>
      <x:c r="Q330" s="48" t="n">
        <x:v>13</x:v>
      </x:c>
      <x:c r="R330" s="5" t="n">
        <x:v>4</x:v>
      </x:c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5" t="str">
        <x:v>ORD-00117</x:v>
      </x:c>
      <x:c r="B331" s="43" t="n">
        <x:v>46065</x:v>
      </x:c>
      <x:c r="C331" s="5" t="str">
        <x:v>CUST-0150</x:v>
      </x:c>
      <x:c r="D331" s="5" t="str">
        <x:v>FD007</x:v>
      </x:c>
      <x:c r="E331" s="5" t="str">
        <x:v>Amala &amp; Ewedu</x:v>
      </x:c>
      <x:c r="F331" s="5" t="str">
        <x:v>Swallow</x:v>
      </x:c>
      <x:c r="G331" s="44" t="n">
        <x:v>3</x:v>
      </x:c>
      <x:c r="H331" s="45" t="n">
        <x:v>2500</x:v>
      </x:c>
      <x:c r="I331" s="46" t="n">
        <x:v>0</x:v>
      </x:c>
      <x:c r="J331" s="47" t="n">
        <x:f>G331*H331*(1-I331)</x:f>
        <x:v>7500</x:v>
      </x:c>
      <x:c r="K331" s="47" t="n">
        <x:v>1250</x:v>
      </x:c>
      <x:c r="L331" s="47" t="n">
        <x:f>G331*K331</x:f>
        <x:v>3750</x:v>
      </x:c>
      <x:c r="M331" s="47" t="n">
        <x:f>J331-L331</x:f>
        <x:v>3750</x:v>
      </x:c>
      <x:c r="N331" s="5" t="str">
        <x:v>Walk-in</x:v>
      </x:c>
      <x:c r="O331" s="5" t="str">
        <x:v>Transfer</x:v>
      </x:c>
      <x:c r="P331" s="5" t="str">
        <x:v>Lunch</x:v>
      </x:c>
      <x:c r="Q331" s="48" t="n">
        <x:v>12</x:v>
      </x:c>
      <x:c r="R331" s="5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5" t="str">
        <x:v>ORD-01050</x:v>
      </x:c>
      <x:c r="B332" s="43" t="n">
        <x:v>46065</x:v>
      </x:c>
      <x:c r="C332" s="5" t="str">
        <x:v>CUST-0617</x:v>
      </x:c>
      <x:c r="D332" s="5" t="str">
        <x:v>FD010</x:v>
      </x:c>
      <x:c r="E332" s="5" t="str">
        <x:v>Soft Drink</x:v>
      </x:c>
      <x:c r="F332" s="5" t="str">
        <x:v>Beverages</x:v>
      </x:c>
      <x:c r="G332" s="44" t="n">
        <x:v>3</x:v>
      </x:c>
      <x:c r="H332" s="45" t="n">
        <x:v>600</x:v>
      </x:c>
      <x:c r="I332" s="46" t="n">
        <x:v>0</x:v>
      </x:c>
      <x:c r="J332" s="47" t="n">
        <x:f>G332*H332*(1-I332)</x:f>
        <x:v>1800</x:v>
      </x:c>
      <x:c r="K332" s="47" t="n">
        <x:v>280</x:v>
      </x:c>
      <x:c r="L332" s="47" t="n">
        <x:f>G332*K332</x:f>
        <x:v>840</x:v>
      </x:c>
      <x:c r="M332" s="47" t="n">
        <x:f>J332-L332</x:f>
        <x:v>960</x:v>
      </x:c>
      <x:c r="N332" s="5" t="str">
        <x:v>Walk-in</x:v>
      </x:c>
      <x:c r="O332" s="5" t="str">
        <x:v>POS</x:v>
      </x:c>
      <x:c r="P332" s="5" t="str">
        <x:v>Breakfast</x:v>
      </x:c>
      <x:c r="Q332" s="48" t="n">
        <x:v>8</x:v>
      </x:c>
      <x:c r="R332" s="5" t="n">
        <x:v>5</x:v>
      </x:c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5" t="str">
        <x:v>ORD-01226</x:v>
      </x:c>
      <x:c r="B333" s="43" t="n">
        <x:v>46065</x:v>
      </x:c>
      <x:c r="C333" s="5" t="str">
        <x:v>CUST-0145</x:v>
      </x:c>
      <x:c r="D333" s="5" t="str">
        <x:v>FD005</x:v>
      </x:c>
      <x:c r="E333" s="5" t="str">
        <x:v>Yam Porridge</x:v>
      </x:c>
      <x:c r="F333" s="5" t="str">
        <x:v>Traditional Meals</x:v>
      </x:c>
      <x:c r="G333" s="44" t="n">
        <x:v>4</x:v>
      </x:c>
      <x:c r="H333" s="45" t="n">
        <x:v>2200</x:v>
      </x:c>
      <x:c r="I333" s="46" t="n">
        <x:v>0.05</x:v>
      </x:c>
      <x:c r="J333" s="47" t="n">
        <x:f>G333*H333*(1-I333)</x:f>
        <x:v>8360</x:v>
      </x:c>
      <x:c r="K333" s="47" t="n">
        <x:v>1050</x:v>
      </x:c>
      <x:c r="L333" s="47" t="n">
        <x:f>G333*K333</x:f>
        <x:v>4200</x:v>
      </x:c>
      <x:c r="M333" s="47" t="n">
        <x:f>J333-L333</x:f>
        <x:v>4160</x:v>
      </x:c>
      <x:c r="N333" s="5" t="str">
        <x:v>Takeaway</x:v>
      </x:c>
      <x:c r="O333" s="5" t="str">
        <x:v>POS</x:v>
      </x:c>
      <x:c r="P333" s="5" t="str">
        <x:v>Breakfast</x:v>
      </x:c>
      <x:c r="Q333" s="48" t="n">
        <x:v>9</x:v>
      </x:c>
      <x:c r="R333" s="5" t="n">
        <x:v>5</x:v>
      </x:c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5" t="str">
        <x:v>ORD-01308</x:v>
      </x:c>
      <x:c r="B334" s="43" t="n">
        <x:v>46065</x:v>
      </x:c>
      <x:c r="C334" s="5" t="str">
        <x:v>CUST-0351</x:v>
      </x:c>
      <x:c r="D334" s="5" t="str">
        <x:v>FD002</x:v>
      </x:c>
      <x:c r="E334" s="5" t="str">
        <x:v>Jollof Rice &amp; Chicken</x:v>
      </x:c>
      <x:c r="F334" s="5" t="str">
        <x:v>Rice Meals</x:v>
      </x:c>
      <x:c r="G334" s="44" t="n">
        <x:v>4</x:v>
      </x:c>
      <x:c r="H334" s="45" t="n">
        <x:v>2800</x:v>
      </x:c>
      <x:c r="I334" s="46" t="n">
        <x:v>0</x:v>
      </x:c>
      <x:c r="J334" s="47" t="n">
        <x:f>G334*H334*(1-I334)</x:f>
        <x:v>11200</x:v>
      </x:c>
      <x:c r="K334" s="47" t="n">
        <x:v>1450</x:v>
      </x:c>
      <x:c r="L334" s="47" t="n">
        <x:f>G334*K334</x:f>
        <x:v>5800</x:v>
      </x:c>
      <x:c r="M334" s="47" t="n">
        <x:f>J334-L334</x:f>
        <x:v>5400</x:v>
      </x:c>
      <x:c r="N334" s="5" t="str">
        <x:v>Takeaway</x:v>
      </x:c>
      <x:c r="O334" s="5" t="str">
        <x:v>Cash</x:v>
      </x:c>
      <x:c r="P334" s="5" t="str">
        <x:v>Lunch</x:v>
      </x:c>
      <x:c r="Q334" s="48" t="n">
        <x:v>14</x:v>
      </x:c>
      <x:c r="R334" s="5" t="n">
        <x:v>3</x:v>
      </x:c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5" t="str">
        <x:v>ORD-01732</x:v>
      </x:c>
      <x:c r="B335" s="43" t="n">
        <x:v>46065</x:v>
      </x:c>
      <x:c r="C335" s="5" t="str">
        <x:v>CUST-0594</x:v>
      </x:c>
      <x:c r="D335" s="5" t="str">
        <x:v>FD007</x:v>
      </x:c>
      <x:c r="E335" s="5" t="str">
        <x:v>Amala &amp; Ewedu</x:v>
      </x:c>
      <x:c r="F335" s="5" t="str">
        <x:v>Swallow</x:v>
      </x:c>
      <x:c r="G335" s="44" t="n">
        <x:v>4</x:v>
      </x:c>
      <x:c r="H335" s="45" t="n">
        <x:v>2500</x:v>
      </x:c>
      <x:c r="I335" s="46" t="n">
        <x:v>0</x:v>
      </x:c>
      <x:c r="J335" s="47" t="n">
        <x:f>G335*H335*(1-I335)</x:f>
        <x:v>10000</x:v>
      </x:c>
      <x:c r="K335" s="47" t="n">
        <x:v>1250</x:v>
      </x:c>
      <x:c r="L335" s="47" t="n">
        <x:f>G335*K335</x:f>
        <x:v>5000</x:v>
      </x:c>
      <x:c r="M335" s="47" t="n">
        <x:f>J335-L335</x:f>
        <x:v>5000</x:v>
      </x:c>
      <x:c r="N335" s="5" t="str">
        <x:v>Walk-in</x:v>
      </x:c>
      <x:c r="O335" s="5" t="str">
        <x:v>Cash</x:v>
      </x:c>
      <x:c r="P335" s="5" t="str">
        <x:v>Lunch</x:v>
      </x:c>
      <x:c r="Q335" s="48" t="n">
        <x:v>11</x:v>
      </x:c>
      <x:c r="R335" s="5" t="n">
        <x:v>3</x:v>
      </x:c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5" t="str">
        <x:v>ORD-00152</x:v>
      </x:c>
      <x:c r="B336" s="43" t="n">
        <x:v>46066</x:v>
      </x:c>
      <x:c r="C336" s="5" t="str">
        <x:v>CUST-0399</x:v>
      </x:c>
      <x:c r="D336" s="5" t="str">
        <x:v>FD003</x:v>
      </x:c>
      <x:c r="E336" s="5" t="str">
        <x:v>Fried Rice &amp; Chicken</x:v>
      </x:c>
      <x:c r="F336" s="5" t="str">
        <x:v>Rice Meals</x:v>
      </x:c>
      <x:c r="G336" s="44" t="n">
        <x:v>1</x:v>
      </x:c>
      <x:c r="H336" s="45" t="n">
        <x:v>3000</x:v>
      </x:c>
      <x:c r="I336" s="46" t="n">
        <x:v>0</x:v>
      </x:c>
      <x:c r="J336" s="47" t="n">
        <x:f>G336*H336*(1-I336)</x:f>
        <x:v>3000</x:v>
      </x:c>
      <x:c r="K336" s="47" t="n">
        <x:v>1580</x:v>
      </x:c>
      <x:c r="L336" s="47" t="n">
        <x:f>G336*K336</x:f>
        <x:v>1580</x:v>
      </x:c>
      <x:c r="M336" s="47" t="n">
        <x:f>J336-L336</x:f>
        <x:v>1420</x:v>
      </x:c>
      <x:c r="N336" s="5" t="str">
        <x:v>Walk-in</x:v>
      </x:c>
      <x:c r="O336" s="5" t="str">
        <x:v>POS</x:v>
      </x:c>
      <x:c r="P336" s="5" t="str">
        <x:v>Lunch</x:v>
      </x:c>
      <x:c r="Q336" s="48" t="n">
        <x:v>11</x:v>
      </x:c>
      <x:c r="R336" s="5" t="n">
        <x:v>4</x:v>
      </x:c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5" t="str">
        <x:v>ORD-00634</x:v>
      </x:c>
      <x:c r="B337" s="43" t="n">
        <x:v>46066</x:v>
      </x:c>
      <x:c r="C337" s="5" t="str">
        <x:v>CUST-0008</x:v>
      </x:c>
      <x:c r="D337" s="5" t="str">
        <x:v>FD002</x:v>
      </x:c>
      <x:c r="E337" s="5" t="str">
        <x:v>Jollof Rice &amp; Chicken</x:v>
      </x:c>
      <x:c r="F337" s="5" t="str">
        <x:v>Rice Meals</x:v>
      </x:c>
      <x:c r="G337" s="44" t="n">
        <x:v>1</x:v>
      </x:c>
      <x:c r="H337" s="45" t="n">
        <x:v>2800</x:v>
      </x:c>
      <x:c r="I337" s="46" t="n">
        <x:v>0</x:v>
      </x:c>
      <x:c r="J337" s="47" t="n">
        <x:f>G337*H337*(1-I337)</x:f>
        <x:v>2800</x:v>
      </x:c>
      <x:c r="K337" s="47" t="n">
        <x:v>1450</x:v>
      </x:c>
      <x:c r="L337" s="47" t="n">
        <x:f>G337*K337</x:f>
        <x:v>1450</x:v>
      </x:c>
      <x:c r="M337" s="47" t="n">
        <x:f>J337-L337</x:f>
        <x:v>1350</x:v>
      </x:c>
      <x:c r="N337" s="5" t="str">
        <x:v>Walk-in</x:v>
      </x:c>
      <x:c r="O337" s="5" t="str">
        <x:v>POS</x:v>
      </x:c>
      <x:c r="P337" s="5" t="str">
        <x:v>Lunch</x:v>
      </x:c>
      <x:c r="Q337" s="48" t="n">
        <x:v>15</x:v>
      </x:c>
      <x:c r="R337" s="5" t="n">
        <x:v>3</x:v>
      </x:c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5" t="str">
        <x:v>ORD-00833</x:v>
      </x:c>
      <x:c r="B338" s="43" t="n">
        <x:v>46066</x:v>
      </x:c>
      <x:c r="C338" s="5" t="str">
        <x:v>CUST-0430</x:v>
      </x:c>
      <x:c r="D338" s="5" t="str">
        <x:v>FD006</x:v>
      </x:c>
      <x:c r="E338" s="5" t="str">
        <x:v>Eba &amp; Egusi Soup</x:v>
      </x:c>
      <x:c r="F338" s="5" t="str">
        <x:v>Swallow</x:v>
      </x:c>
      <x:c r="G338" s="44" t="n">
        <x:v>1</x:v>
      </x:c>
      <x:c r="H338" s="45" t="n">
        <x:v>2600</x:v>
      </x:c>
      <x:c r="I338" s="46" t="n">
        <x:v>0</x:v>
      </x:c>
      <x:c r="J338" s="47" t="n">
        <x:f>G338*H338*(1-I338)</x:f>
        <x:v>2600</x:v>
      </x:c>
      <x:c r="K338" s="47" t="n">
        <x:v>1320</x:v>
      </x:c>
      <x:c r="L338" s="47" t="n">
        <x:f>G338*K338</x:f>
        <x:v>1320</x:v>
      </x:c>
      <x:c r="M338" s="47" t="n">
        <x:f>J338-L338</x:f>
        <x:v>1280</x:v>
      </x:c>
      <x:c r="N338" s="5" t="str">
        <x:v>Takeaway</x:v>
      </x:c>
      <x:c r="O338" s="5" t="str">
        <x:v>POS</x:v>
      </x:c>
      <x:c r="P338" s="5" t="str">
        <x:v>Lunch</x:v>
      </x:c>
      <x:c r="Q338" s="48" t="n">
        <x:v>15</x:v>
      </x:c>
      <x:c r="R338" s="5" t="n">
        <x:v>4</x:v>
      </x:c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5" t="str">
        <x:v>ORD-01004</x:v>
      </x:c>
      <x:c r="B339" s="43" t="n">
        <x:v>46066</x:v>
      </x:c>
      <x:c r="C339" s="5" t="str">
        <x:v>CUST-0582</x:v>
      </x:c>
      <x:c r="D339" s="5" t="str">
        <x:v>FD002</x:v>
      </x:c>
      <x:c r="E339" s="5" t="str">
        <x:v>Jollof Rice &amp; Chicken</x:v>
      </x:c>
      <x:c r="F339" s="5" t="str">
        <x:v>Rice Meals</x:v>
      </x:c>
      <x:c r="G339" s="44" t="n">
        <x:v>4</x:v>
      </x:c>
      <x:c r="H339" s="45" t="n">
        <x:v>2800</x:v>
      </x:c>
      <x:c r="I339" s="46" t="n">
        <x:v>0</x:v>
      </x:c>
      <x:c r="J339" s="47" t="n">
        <x:f>G339*H339*(1-I339)</x:f>
        <x:v>11200</x:v>
      </x:c>
      <x:c r="K339" s="47" t="n">
        <x:v>1450</x:v>
      </x:c>
      <x:c r="L339" s="47" t="n">
        <x:f>G339*K339</x:f>
        <x:v>5800</x:v>
      </x:c>
      <x:c r="M339" s="47" t="n">
        <x:f>J339-L339</x:f>
        <x:v>5400</x:v>
      </x:c>
      <x:c r="N339" s="5" t="str">
        <x:v>Walk-in</x:v>
      </x:c>
      <x:c r="O339" s="5" t="str">
        <x:v>Cash</x:v>
      </x:c>
      <x:c r="P339" s="5" t="str">
        <x:v>Dinner</x:v>
      </x:c>
      <x:c r="Q339" s="48" t="n">
        <x:v>18</x:v>
      </x:c>
      <x:c r="R339" s="5" t="n">
        <x:v>5</x:v>
      </x:c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5" t="str">
        <x:v>ORD-01359</x:v>
      </x:c>
      <x:c r="B340" s="43" t="n">
        <x:v>46066</x:v>
      </x:c>
      <x:c r="C340" s="5" t="str">
        <x:v>CUST-0503</x:v>
      </x:c>
      <x:c r="D340" s="5" t="str">
        <x:v>FD005</x:v>
      </x:c>
      <x:c r="E340" s="5" t="str">
        <x:v>Yam Porridge</x:v>
      </x:c>
      <x:c r="F340" s="5" t="str">
        <x:v>Traditional Meals</x:v>
      </x:c>
      <x:c r="G340" s="44" t="n">
        <x:v>3</x:v>
      </x:c>
      <x:c r="H340" s="45" t="n">
        <x:v>2200</x:v>
      </x:c>
      <x:c r="I340" s="46" t="n">
        <x:v>0.05</x:v>
      </x:c>
      <x:c r="J340" s="47" t="n">
        <x:f>G340*H340*(1-I340)</x:f>
        <x:v>6270</x:v>
      </x:c>
      <x:c r="K340" s="47" t="n">
        <x:v>1050</x:v>
      </x:c>
      <x:c r="L340" s="47" t="n">
        <x:f>G340*K340</x:f>
        <x:v>3150</x:v>
      </x:c>
      <x:c r="M340" s="47" t="n">
        <x:f>J340-L340</x:f>
        <x:v>3120</x:v>
      </x:c>
      <x:c r="N340" s="5" t="str">
        <x:v>Takeaway</x:v>
      </x:c>
      <x:c r="O340" s="5" t="str">
        <x:v>Cash</x:v>
      </x:c>
      <x:c r="P340" s="5" t="str">
        <x:v>Dinner</x:v>
      </x:c>
      <x:c r="Q340" s="48" t="n">
        <x:v>20</x:v>
      </x:c>
      <x:c r="R340" s="5" t="n">
        <x:v>5</x:v>
      </x:c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5" t="str">
        <x:v>ORD-01508</x:v>
      </x:c>
      <x:c r="B341" s="43" t="n">
        <x:v>46066</x:v>
      </x:c>
      <x:c r="C341" s="5" t="str">
        <x:v>CUST-0148</x:v>
      </x:c>
      <x:c r="D341" s="5" t="str">
        <x:v>FD002</x:v>
      </x:c>
      <x:c r="E341" s="5" t="str">
        <x:v>Jollof Rice &amp; Chicken</x:v>
      </x:c>
      <x:c r="F341" s="5" t="str">
        <x:v>Rice Meals</x:v>
      </x:c>
      <x:c r="G341" s="44" t="n">
        <x:v>4</x:v>
      </x:c>
      <x:c r="H341" s="45" t="n">
        <x:v>2800</x:v>
      </x:c>
      <x:c r="I341" s="46" t="n">
        <x:v>0</x:v>
      </x:c>
      <x:c r="J341" s="47" t="n">
        <x:f>G341*H341*(1-I341)</x:f>
        <x:v>11200</x:v>
      </x:c>
      <x:c r="K341" s="47" t="n">
        <x:v>1450</x:v>
      </x:c>
      <x:c r="L341" s="47" t="n">
        <x:f>G341*K341</x:f>
        <x:v>5800</x:v>
      </x:c>
      <x:c r="M341" s="47" t="n">
        <x:f>J341-L341</x:f>
        <x:v>5400</x:v>
      </x:c>
      <x:c r="N341" s="5" t="str">
        <x:v>Delivery</x:v>
      </x:c>
      <x:c r="O341" s="5" t="str">
        <x:v>Transfer</x:v>
      </x:c>
      <x:c r="P341" s="5" t="str">
        <x:v>Dinner</x:v>
      </x:c>
      <x:c r="Q341" s="48" t="n">
        <x:v>17</x:v>
      </x:c>
      <x:c r="R341" s="5" t="n">
        <x:v>5</x:v>
      </x:c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5" t="str">
        <x:v>ORD-01661</x:v>
      </x:c>
      <x:c r="B342" s="43" t="n">
        <x:v>46066</x:v>
      </x:c>
      <x:c r="C342" s="5" t="str">
        <x:v>CUST-0535</x:v>
      </x:c>
      <x:c r="D342" s="5" t="str">
        <x:v>FD002</x:v>
      </x:c>
      <x:c r="E342" s="5" t="str">
        <x:v>Jollof Rice &amp; Chicken</x:v>
      </x:c>
      <x:c r="F342" s="5" t="str">
        <x:v>Rice Meals</x:v>
      </x:c>
      <x:c r="G342" s="44" t="n">
        <x:v>2</x:v>
      </x:c>
      <x:c r="H342" s="45" t="n">
        <x:v>2800</x:v>
      </x:c>
      <x:c r="I342" s="46" t="n">
        <x:v>0</x:v>
      </x:c>
      <x:c r="J342" s="47" t="n">
        <x:f>G342*H342*(1-I342)</x:f>
        <x:v>5600</x:v>
      </x:c>
      <x:c r="K342" s="47" t="n">
        <x:v>1450</x:v>
      </x:c>
      <x:c r="L342" s="47" t="n">
        <x:f>G342*K342</x:f>
        <x:v>2900</x:v>
      </x:c>
      <x:c r="M342" s="47" t="n">
        <x:f>J342-L342</x:f>
        <x:v>2700</x:v>
      </x:c>
      <x:c r="N342" s="5" t="str">
        <x:v>Walk-in</x:v>
      </x:c>
      <x:c r="O342" s="5" t="str">
        <x:v>Transfer</x:v>
      </x:c>
      <x:c r="P342" s="5" t="str">
        <x:v>Lunch</x:v>
      </x:c>
      <x:c r="Q342" s="48" t="n">
        <x:v>15</x:v>
      </x:c>
      <x:c r="R342" s="5" t="n">
        <x:v>5</x:v>
      </x:c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5" t="str">
        <x:v>ORD-00915</x:v>
      </x:c>
      <x:c r="B343" s="43" t="n">
        <x:v>46067</x:v>
      </x:c>
      <x:c r="C343" s="5" t="str">
        <x:v>CUST-0114</x:v>
      </x:c>
      <x:c r="D343" s="5" t="str">
        <x:v>FD003</x:v>
      </x:c>
      <x:c r="E343" s="5" t="str">
        <x:v>Fried Rice &amp; Chicken</x:v>
      </x:c>
      <x:c r="F343" s="5" t="str">
        <x:v>Rice Meals</x:v>
      </x:c>
      <x:c r="G343" s="44" t="n">
        <x:v>2</x:v>
      </x:c>
      <x:c r="H343" s="45" t="n">
        <x:v>3000</x:v>
      </x:c>
      <x:c r="I343" s="46" t="n">
        <x:v>0.05</x:v>
      </x:c>
      <x:c r="J343" s="47" t="n">
        <x:f>G343*H343*(1-I343)</x:f>
        <x:v>5700</x:v>
      </x:c>
      <x:c r="K343" s="47" t="n">
        <x:v>1580</x:v>
      </x:c>
      <x:c r="L343" s="47" t="n">
        <x:f>G343*K343</x:f>
        <x:v>3160</x:v>
      </x:c>
      <x:c r="M343" s="47" t="n">
        <x:f>J343-L343</x:f>
        <x:v>2540</x:v>
      </x:c>
      <x:c r="N343" s="5" t="str">
        <x:v>Delivery</x:v>
      </x:c>
      <x:c r="O343" s="5" t="str">
        <x:v>POS</x:v>
      </x:c>
      <x:c r="P343" s="5" t="str">
        <x:v>Lunch</x:v>
      </x:c>
      <x:c r="Q343" s="48" t="n">
        <x:v>15</x:v>
      </x:c>
      <x:c r="R343" s="5" t="n">
        <x:v>4</x:v>
      </x:c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5" t="str">
        <x:v>ORD-01294</x:v>
      </x:c>
      <x:c r="B344" s="43" t="n">
        <x:v>46067</x:v>
      </x:c>
      <x:c r="C344" s="5" t="str">
        <x:v>CUST-0448</x:v>
      </x:c>
      <x:c r="D344" s="5" t="str">
        <x:v>FD002</x:v>
      </x:c>
      <x:c r="E344" s="5" t="str">
        <x:v>Jollof Rice &amp; Chicken</x:v>
      </x:c>
      <x:c r="F344" s="5" t="str">
        <x:v>Rice Meals</x:v>
      </x:c>
      <x:c r="G344" s="44" t="n">
        <x:v>1</x:v>
      </x:c>
      <x:c r="H344" s="45" t="n">
        <x:v>2800</x:v>
      </x:c>
      <x:c r="I344" s="46" t="n">
        <x:v>0</x:v>
      </x:c>
      <x:c r="J344" s="47" t="n">
        <x:f>G344*H344*(1-I344)</x:f>
        <x:v>2800</x:v>
      </x:c>
      <x:c r="K344" s="47" t="n">
        <x:v>1450</x:v>
      </x:c>
      <x:c r="L344" s="47" t="n">
        <x:f>G344*K344</x:f>
        <x:v>1450</x:v>
      </x:c>
      <x:c r="M344" s="47" t="n">
        <x:f>J344-L344</x:f>
        <x:v>1350</x:v>
      </x:c>
      <x:c r="N344" s="5" t="str">
        <x:v>Delivery</x:v>
      </x:c>
      <x:c r="O344" s="5" t="str">
        <x:v>Transfer</x:v>
      </x:c>
      <x:c r="P344" s="5" t="str">
        <x:v>Lunch</x:v>
      </x:c>
      <x:c r="Q344" s="48" t="n">
        <x:v>13</x:v>
      </x:c>
      <x:c r="R344" s="5" t="n">
        <x:v>5</x:v>
      </x:c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5" t="str">
        <x:v>ORD-01380</x:v>
      </x:c>
      <x:c r="B345" s="43" t="n">
        <x:v>46067</x:v>
      </x:c>
      <x:c r="C345" s="5" t="str">
        <x:v>CUST-0525</x:v>
      </x:c>
      <x:c r="D345" s="5" t="str">
        <x:v>FD005</x:v>
      </x:c>
      <x:c r="E345" s="5" t="str">
        <x:v>Yam Porridge</x:v>
      </x:c>
      <x:c r="F345" s="5" t="str">
        <x:v>Traditional Meals</x:v>
      </x:c>
      <x:c r="G345" s="44" t="n">
        <x:v>1</x:v>
      </x:c>
      <x:c r="H345" s="45" t="n">
        <x:v>2200</x:v>
      </x:c>
      <x:c r="I345" s="46" t="n">
        <x:v>0</x:v>
      </x:c>
      <x:c r="J345" s="47" t="n">
        <x:f>G345*H345*(1-I345)</x:f>
        <x:v>2200</x:v>
      </x:c>
      <x:c r="K345" s="47" t="n">
        <x:v>1050</x:v>
      </x:c>
      <x:c r="L345" s="47" t="n">
        <x:f>G345*K345</x:f>
        <x:v>1050</x:v>
      </x:c>
      <x:c r="M345" s="47" t="n">
        <x:f>J345-L345</x:f>
        <x:v>1150</x:v>
      </x:c>
      <x:c r="N345" s="5" t="str">
        <x:v>Walk-in</x:v>
      </x:c>
      <x:c r="O345" s="5" t="str">
        <x:v>Transfer</x:v>
      </x:c>
      <x:c r="P345" s="5" t="str">
        <x:v>Breakfast</x:v>
      </x:c>
      <x:c r="Q345" s="48" t="n">
        <x:v>10</x:v>
      </x:c>
      <x:c r="R345" s="5" t="n">
        <x:v>5</x:v>
      </x:c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5" t="str">
        <x:v>ORD-00033</x:v>
      </x:c>
      <x:c r="B346" s="43" t="n">
        <x:v>46068</x:v>
      </x:c>
      <x:c r="C346" s="5" t="str">
        <x:v>CUST-0015</x:v>
      </x:c>
      <x:c r="D346" s="5" t="str">
        <x:v>FD003</x:v>
      </x:c>
      <x:c r="E346" s="5" t="str">
        <x:v>Fried Rice &amp; Chicken</x:v>
      </x:c>
      <x:c r="F346" s="5" t="str">
        <x:v>Rice Meals</x:v>
      </x:c>
      <x:c r="G346" s="44" t="n">
        <x:v>4</x:v>
      </x:c>
      <x:c r="H346" s="45" t="n">
        <x:v>3000</x:v>
      </x:c>
      <x:c r="I346" s="46" t="n">
        <x:v>0</x:v>
      </x:c>
      <x:c r="J346" s="47" t="n">
        <x:f>G346*H346*(1-I346)</x:f>
        <x:v>12000</x:v>
      </x:c>
      <x:c r="K346" s="47" t="n">
        <x:v>1580</x:v>
      </x:c>
      <x:c r="L346" s="47" t="n">
        <x:f>G346*K346</x:f>
        <x:v>6320</x:v>
      </x:c>
      <x:c r="M346" s="47" t="n">
        <x:f>J346-L346</x:f>
        <x:v>5680</x:v>
      </x:c>
      <x:c r="N346" s="5" t="str">
        <x:v>Takeaway</x:v>
      </x:c>
      <x:c r="O346" s="5" t="str">
        <x:v>POS</x:v>
      </x:c>
      <x:c r="P346" s="5" t="str">
        <x:v>Dinner</x:v>
      </x:c>
      <x:c r="Q346" s="48" t="n">
        <x:v>17</x:v>
      </x:c>
      <x:c r="R346" s="5" t="n">
        <x:v>5</x:v>
      </x:c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5" t="str">
        <x:v>ORD-00321</x:v>
      </x:c>
      <x:c r="B347" s="43" t="n">
        <x:v>46068</x:v>
      </x:c>
      <x:c r="C347" s="5" t="str">
        <x:v>CUST-0317</x:v>
      </x:c>
      <x:c r="D347" s="5" t="str">
        <x:v>FD003</x:v>
      </x:c>
      <x:c r="E347" s="5" t="str">
        <x:v>Fried Rice &amp; Chicken</x:v>
      </x:c>
      <x:c r="F347" s="5" t="str">
        <x:v>Rice Meals</x:v>
      </x:c>
      <x:c r="G347" s="44" t="n">
        <x:v>3</x:v>
      </x:c>
      <x:c r="H347" s="45" t="n">
        <x:v>3000</x:v>
      </x:c>
      <x:c r="I347" s="46" t="n">
        <x:v>0</x:v>
      </x:c>
      <x:c r="J347" s="47" t="n">
        <x:f>G347*H347*(1-I347)</x:f>
        <x:v>9000</x:v>
      </x:c>
      <x:c r="K347" s="47" t="n">
        <x:v>1580</x:v>
      </x:c>
      <x:c r="L347" s="47" t="n">
        <x:f>G347*K347</x:f>
        <x:v>4740</x:v>
      </x:c>
      <x:c r="M347" s="47" t="n">
        <x:f>J347-L347</x:f>
        <x:v>4260</x:v>
      </x:c>
      <x:c r="N347" s="5" t="str">
        <x:v>Takeaway</x:v>
      </x:c>
      <x:c r="O347" s="5" t="str">
        <x:v>Transfer</x:v>
      </x:c>
      <x:c r="P347" s="5" t="str">
        <x:v>Lunch</x:v>
      </x:c>
      <x:c r="Q347" s="48" t="n">
        <x:v>13</x:v>
      </x:c>
      <x:c r="R347" s="5" t="n">
        <x:v>5</x:v>
      </x:c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5" t="str">
        <x:v>ORD-00697</x:v>
      </x:c>
      <x:c r="B348" s="43" t="n">
        <x:v>46068</x:v>
      </x:c>
      <x:c r="C348" s="5" t="str">
        <x:v>CUST-0156</x:v>
      </x:c>
      <x:c r="D348" s="5" t="str">
        <x:v>FD001</x:v>
      </x:c>
      <x:c r="E348" s="5" t="str">
        <x:v>White Rice &amp; Stew</x:v>
      </x:c>
      <x:c r="F348" s="5" t="str">
        <x:v>Rice Meals</x:v>
      </x:c>
      <x:c r="G348" s="44" t="n">
        <x:v>4</x:v>
      </x:c>
      <x:c r="H348" s="45" t="n">
        <x:v>1800</x:v>
      </x:c>
      <x:c r="I348" s="46" t="n">
        <x:v>0.05</x:v>
      </x:c>
      <x:c r="J348" s="47" t="n">
        <x:f>G348*H348*(1-I348)</x:f>
        <x:v>6840</x:v>
      </x:c>
      <x:c r="K348" s="47" t="n">
        <x:v>820</x:v>
      </x:c>
      <x:c r="L348" s="47" t="n">
        <x:f>G348*K348</x:f>
        <x:v>3280</x:v>
      </x:c>
      <x:c r="M348" s="47" t="n">
        <x:f>J348-L348</x:f>
        <x:v>3560</x:v>
      </x:c>
      <x:c r="N348" s="5" t="str">
        <x:v>Takeaway</x:v>
      </x:c>
      <x:c r="O348" s="5" t="str">
        <x:v>POS</x:v>
      </x:c>
      <x:c r="P348" s="5" t="str">
        <x:v>Breakfast</x:v>
      </x:c>
      <x:c r="Q348" s="48" t="n">
        <x:v>10</x:v>
      </x:c>
      <x:c r="R348" s="5" t="n">
        <x:v>4</x:v>
      </x:c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5" t="str">
        <x:v>ORD-00713</x:v>
      </x:c>
      <x:c r="B349" s="43" t="n">
        <x:v>46068</x:v>
      </x:c>
      <x:c r="C349" s="5" t="str">
        <x:v>CUST-0527</x:v>
      </x:c>
      <x:c r="D349" s="5" t="str">
        <x:v>FD003</x:v>
      </x:c>
      <x:c r="E349" s="5" t="str">
        <x:v>Fried Rice &amp; Chicken</x:v>
      </x:c>
      <x:c r="F349" s="5" t="str">
        <x:v>Rice Meals</x:v>
      </x:c>
      <x:c r="G349" s="44" t="n">
        <x:v>2</x:v>
      </x:c>
      <x:c r="H349" s="45" t="n">
        <x:v>3000</x:v>
      </x:c>
      <x:c r="I349" s="46" t="n">
        <x:v>0.05</x:v>
      </x:c>
      <x:c r="J349" s="47" t="n">
        <x:f>G349*H349*(1-I349)</x:f>
        <x:v>5700</x:v>
      </x:c>
      <x:c r="K349" s="47" t="n">
        <x:v>1580</x:v>
      </x:c>
      <x:c r="L349" s="47" t="n">
        <x:f>G349*K349</x:f>
        <x:v>3160</x:v>
      </x:c>
      <x:c r="M349" s="47" t="n">
        <x:f>J349-L349</x:f>
        <x:v>2540</x:v>
      </x:c>
      <x:c r="N349" s="5" t="str">
        <x:v>Takeaway</x:v>
      </x:c>
      <x:c r="O349" s="5" t="str">
        <x:v>Transfer</x:v>
      </x:c>
      <x:c r="P349" s="5" t="str">
        <x:v>Lunch</x:v>
      </x:c>
      <x:c r="Q349" s="48" t="n">
        <x:v>13</x:v>
      </x:c>
      <x:c r="R349" s="5" t="n">
        <x:v>5</x:v>
      </x:c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5" t="str">
        <x:v>ORD-01496</x:v>
      </x:c>
      <x:c r="B350" s="43" t="n">
        <x:v>46068</x:v>
      </x:c>
      <x:c r="C350" s="5" t="str">
        <x:v>CUST-0417</x:v>
      </x:c>
      <x:c r="D350" s="5" t="str">
        <x:v>FD005</x:v>
      </x:c>
      <x:c r="E350" s="5" t="str">
        <x:v>Yam Porridge</x:v>
      </x:c>
      <x:c r="F350" s="5" t="str">
        <x:v>Traditional Meals</x:v>
      </x:c>
      <x:c r="G350" s="44" t="n">
        <x:v>1</x:v>
      </x:c>
      <x:c r="H350" s="45" t="n">
        <x:v>2200</x:v>
      </x:c>
      <x:c r="I350" s="46" t="n">
        <x:v>0.05</x:v>
      </x:c>
      <x:c r="J350" s="47" t="n">
        <x:f>G350*H350*(1-I350)</x:f>
        <x:v>2090</x:v>
      </x:c>
      <x:c r="K350" s="47" t="n">
        <x:v>1050</x:v>
      </x:c>
      <x:c r="L350" s="47" t="n">
        <x:f>G350*K350</x:f>
        <x:v>1050</x:v>
      </x:c>
      <x:c r="M350" s="47" t="n">
        <x:f>J350-L350</x:f>
        <x:v>1040</x:v>
      </x:c>
      <x:c r="N350" s="5" t="str">
        <x:v>Walk-in</x:v>
      </x:c>
      <x:c r="O350" s="5" t="str">
        <x:v>Transfer</x:v>
      </x:c>
      <x:c r="P350" s="5" t="str">
        <x:v>Lunch</x:v>
      </x:c>
      <x:c r="Q350" s="48" t="n">
        <x:v>15</x:v>
      </x:c>
      <x:c r="R350" s="5" t="n">
        <x:v>4</x:v>
      </x:c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5" t="str">
        <x:v>ORD-01692</x:v>
      </x:c>
      <x:c r="B351" s="43" t="n">
        <x:v>46068</x:v>
      </x:c>
      <x:c r="C351" s="5" t="str">
        <x:v>CUST-0162</x:v>
      </x:c>
      <x:c r="D351" s="5" t="str">
        <x:v>FD002</x:v>
      </x:c>
      <x:c r="E351" s="5" t="str">
        <x:v>Jollof Rice &amp; Chicken</x:v>
      </x:c>
      <x:c r="F351" s="5" t="str">
        <x:v>Rice Meals</x:v>
      </x:c>
      <x:c r="G351" s="44" t="n">
        <x:v>3</x:v>
      </x:c>
      <x:c r="H351" s="45" t="n">
        <x:v>2800</x:v>
      </x:c>
      <x:c r="I351" s="46" t="n">
        <x:v>0</x:v>
      </x:c>
      <x:c r="J351" s="47" t="n">
        <x:f>G351*H351*(1-I351)</x:f>
        <x:v>8400</x:v>
      </x:c>
      <x:c r="K351" s="47" t="n">
        <x:v>1450</x:v>
      </x:c>
      <x:c r="L351" s="47" t="n">
        <x:f>G351*K351</x:f>
        <x:v>4350</x:v>
      </x:c>
      <x:c r="M351" s="47" t="n">
        <x:f>J351-L351</x:f>
        <x:v>4050</x:v>
      </x:c>
      <x:c r="N351" s="5" t="str">
        <x:v>Takeaway</x:v>
      </x:c>
      <x:c r="O351" s="5" t="str">
        <x:v>Transfer</x:v>
      </x:c>
      <x:c r="P351" s="5" t="str">
        <x:v>Lunch</x:v>
      </x:c>
      <x:c r="Q351" s="48" t="n">
        <x:v>15</x:v>
      </x:c>
      <x:c r="R351" s="5" t="n">
        <x:v>5</x:v>
      </x:c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5" t="str">
        <x:v>ORD-00030</x:v>
      </x:c>
      <x:c r="B352" s="43" t="n">
        <x:v>46069</x:v>
      </x:c>
      <x:c r="C352" s="5" t="str">
        <x:v>CUST-0416</x:v>
      </x:c>
      <x:c r="D352" s="5" t="str">
        <x:v>FD006</x:v>
      </x:c>
      <x:c r="E352" s="5" t="str">
        <x:v>Eba &amp; Egusi Soup</x:v>
      </x:c>
      <x:c r="F352" s="5" t="str">
        <x:v>Swallow</x:v>
      </x:c>
      <x:c r="G352" s="44" t="n">
        <x:v>4</x:v>
      </x:c>
      <x:c r="H352" s="45" t="n">
        <x:v>2600</x:v>
      </x:c>
      <x:c r="I352" s="46" t="n">
        <x:v>0</x:v>
      </x:c>
      <x:c r="J352" s="47" t="n">
        <x:f>G352*H352*(1-I352)</x:f>
        <x:v>10400</x:v>
      </x:c>
      <x:c r="K352" s="47" t="n">
        <x:v>1320</x:v>
      </x:c>
      <x:c r="L352" s="47" t="n">
        <x:f>G352*K352</x:f>
        <x:v>5280</x:v>
      </x:c>
      <x:c r="M352" s="47" t="n">
        <x:f>J352-L352</x:f>
        <x:v>5120</x:v>
      </x:c>
      <x:c r="N352" s="5" t="str">
        <x:v>Walk-in</x:v>
      </x:c>
      <x:c r="O352" s="5" t="str">
        <x:v>POS</x:v>
      </x:c>
      <x:c r="P352" s="5" t="str">
        <x:v>Dinner</x:v>
      </x:c>
      <x:c r="Q352" s="48" t="n">
        <x:v>20</x:v>
      </x:c>
      <x:c r="R352" s="5" t="n">
        <x:v>3</x:v>
      </x:c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5" t="str">
        <x:v>ORD-00362</x:v>
      </x:c>
      <x:c r="B353" s="43" t="n">
        <x:v>46069</x:v>
      </x:c>
      <x:c r="C353" s="5" t="str">
        <x:v>CUST-0002</x:v>
      </x:c>
      <x:c r="D353" s="5" t="str">
        <x:v>FD008</x:v>
      </x:c>
      <x:c r="E353" s="5" t="str">
        <x:v>Pounded Yam &amp; Vegetable Soup</x:v>
      </x:c>
      <x:c r="F353" s="5" t="str">
        <x:v>Swallow</x:v>
      </x:c>
      <x:c r="G353" s="44" t="n">
        <x:v>1</x:v>
      </x:c>
      <x:c r="H353" s="45" t="n">
        <x:v>3200</x:v>
      </x:c>
      <x:c r="I353" s="46" t="n">
        <x:v>0</x:v>
      </x:c>
      <x:c r="J353" s="47" t="n">
        <x:f>G353*H353*(1-I353)</x:f>
        <x:v>3200</x:v>
      </x:c>
      <x:c r="K353" s="47" t="n">
        <x:v>1710</x:v>
      </x:c>
      <x:c r="L353" s="47" t="n">
        <x:f>G353*K353</x:f>
        <x:v>1710</x:v>
      </x:c>
      <x:c r="M353" s="47" t="n">
        <x:f>J353-L353</x:f>
        <x:v>1490</x:v>
      </x:c>
      <x:c r="N353" s="5" t="str">
        <x:v>Walk-in</x:v>
      </x:c>
      <x:c r="O353" s="5" t="str">
        <x:v>Transfer</x:v>
      </x:c>
      <x:c r="P353" s="5" t="str">
        <x:v>Lunch</x:v>
      </x:c>
      <x:c r="Q353" s="48" t="n">
        <x:v>11</x:v>
      </x:c>
      <x:c r="R353" s="5" t="n">
        <x:v>5</x:v>
      </x:c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5" t="str">
        <x:v>ORD-00575</x:v>
      </x:c>
      <x:c r="B354" s="43" t="n">
        <x:v>46069</x:v>
      </x:c>
      <x:c r="C354" s="5" t="str">
        <x:v>CUST-0032</x:v>
      </x:c>
      <x:c r="D354" s="5" t="str">
        <x:v>FD006</x:v>
      </x:c>
      <x:c r="E354" s="5" t="str">
        <x:v>Eba &amp; Egusi Soup</x:v>
      </x:c>
      <x:c r="F354" s="5" t="str">
        <x:v>Swallow</x:v>
      </x:c>
      <x:c r="G354" s="44" t="n">
        <x:v>1</x:v>
      </x:c>
      <x:c r="H354" s="45" t="n">
        <x:v>2600</x:v>
      </x:c>
      <x:c r="I354" s="46" t="n">
        <x:v>0</x:v>
      </x:c>
      <x:c r="J354" s="47" t="n">
        <x:f>G354*H354*(1-I354)</x:f>
        <x:v>2600</x:v>
      </x:c>
      <x:c r="K354" s="47" t="n">
        <x:v>1320</x:v>
      </x:c>
      <x:c r="L354" s="47" t="n">
        <x:f>G354*K354</x:f>
        <x:v>1320</x:v>
      </x:c>
      <x:c r="M354" s="47" t="n">
        <x:f>J354-L354</x:f>
        <x:v>1280</x:v>
      </x:c>
      <x:c r="N354" s="5" t="str">
        <x:v>Takeaway</x:v>
      </x:c>
      <x:c r="O354" s="5" t="str">
        <x:v>Cash</x:v>
      </x:c>
      <x:c r="P354" s="5" t="str">
        <x:v>Lunch</x:v>
      </x:c>
      <x:c r="Q354" s="48" t="n">
        <x:v>14</x:v>
      </x:c>
      <x:c r="R354" s="5" t="n">
        <x:v>3</x:v>
      </x:c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5" t="str">
        <x:v>ORD-01198</x:v>
      </x:c>
      <x:c r="B355" s="43" t="n">
        <x:v>46069</x:v>
      </x:c>
      <x:c r="C355" s="5" t="str">
        <x:v>CUST-0564</x:v>
      </x:c>
      <x:c r="D355" s="5" t="str">
        <x:v>FD003</x:v>
      </x:c>
      <x:c r="E355" s="5" t="str">
        <x:v>Fried Rice &amp; Chicken</x:v>
      </x:c>
      <x:c r="F355" s="5" t="str">
        <x:v>Rice Meals</x:v>
      </x:c>
      <x:c r="G355" s="44" t="n">
        <x:v>3</x:v>
      </x:c>
      <x:c r="H355" s="45" t="n">
        <x:v>3000</x:v>
      </x:c>
      <x:c r="I355" s="46" t="n">
        <x:v>0</x:v>
      </x:c>
      <x:c r="J355" s="47" t="n">
        <x:f>G355*H355*(1-I355)</x:f>
        <x:v>9000</x:v>
      </x:c>
      <x:c r="K355" s="47" t="n">
        <x:v>1580</x:v>
      </x:c>
      <x:c r="L355" s="47" t="n">
        <x:f>G355*K355</x:f>
        <x:v>4740</x:v>
      </x:c>
      <x:c r="M355" s="47" t="n">
        <x:f>J355-L355</x:f>
        <x:v>4260</x:v>
      </x:c>
      <x:c r="N355" s="5" t="str">
        <x:v>Walk-in</x:v>
      </x:c>
      <x:c r="O355" s="5" t="str">
        <x:v>Transfer</x:v>
      </x:c>
      <x:c r="P355" s="5" t="str">
        <x:v>Dinner</x:v>
      </x:c>
      <x:c r="Q355" s="48" t="n">
        <x:v>20</x:v>
      </x:c>
      <x:c r="R355" s="5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5" t="str">
        <x:v>ORD-01228</x:v>
      </x:c>
      <x:c r="B356" s="43" t="n">
        <x:v>46069</x:v>
      </x:c>
      <x:c r="C356" s="5" t="str">
        <x:v>CUST-0145</x:v>
      </x:c>
      <x:c r="D356" s="5" t="str">
        <x:v>FD004</x:v>
      </x:c>
      <x:c r="E356" s="5" t="str">
        <x:v>Beans &amp; Plantain</x:v>
      </x:c>
      <x:c r="F356" s="5" t="str">
        <x:v>Traditional Meals</x:v>
      </x:c>
      <x:c r="G356" s="44" t="n">
        <x:v>3</x:v>
      </x:c>
      <x:c r="H356" s="45" t="n">
        <x:v>2000</x:v>
      </x:c>
      <x:c r="I356" s="46" t="n">
        <x:v>0</x:v>
      </x:c>
      <x:c r="J356" s="47" t="n">
        <x:f>G356*H356*(1-I356)</x:f>
        <x:v>6000</x:v>
      </x:c>
      <x:c r="K356" s="47" t="n">
        <x:v>960</x:v>
      </x:c>
      <x:c r="L356" s="47" t="n">
        <x:f>G356*K356</x:f>
        <x:v>2880</x:v>
      </x:c>
      <x:c r="M356" s="47" t="n">
        <x:f>J356-L356</x:f>
        <x:v>3120</x:v>
      </x:c>
      <x:c r="N356" s="5" t="str">
        <x:v>Walk-in</x:v>
      </x:c>
      <x:c r="O356" s="5" t="str">
        <x:v>POS</x:v>
      </x:c>
      <x:c r="P356" s="5" t="str">
        <x:v>Lunch</x:v>
      </x:c>
      <x:c r="Q356" s="48" t="n">
        <x:v>11</x:v>
      </x:c>
      <x:c r="R356" s="5" t="n">
        <x:v>4</x:v>
      </x:c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5" t="str">
        <x:v>ORD-01236</x:v>
      </x:c>
      <x:c r="B357" s="43" t="n">
        <x:v>46069</x:v>
      </x:c>
      <x:c r="C357" s="5" t="str">
        <x:v>CUST-0557</x:v>
      </x:c>
      <x:c r="D357" s="5" t="str">
        <x:v>FD002</x:v>
      </x:c>
      <x:c r="E357" s="5" t="str">
        <x:v>Jollof Rice &amp; Chicken</x:v>
      </x:c>
      <x:c r="F357" s="5" t="str">
        <x:v>Rice Meals</x:v>
      </x:c>
      <x:c r="G357" s="44" t="n">
        <x:v>2</x:v>
      </x:c>
      <x:c r="H357" s="45" t="n">
        <x:v>2800</x:v>
      </x:c>
      <x:c r="I357" s="46" t="n">
        <x:v>0</x:v>
      </x:c>
      <x:c r="J357" s="47" t="n">
        <x:f>G357*H357*(1-I357)</x:f>
        <x:v>5600</x:v>
      </x:c>
      <x:c r="K357" s="47" t="n">
        <x:v>1450</x:v>
      </x:c>
      <x:c r="L357" s="47" t="n">
        <x:f>G357*K357</x:f>
        <x:v>2900</x:v>
      </x:c>
      <x:c r="M357" s="47" t="n">
        <x:f>J357-L357</x:f>
        <x:v>2700</x:v>
      </x:c>
      <x:c r="N357" s="5" t="str">
        <x:v>Walk-in</x:v>
      </x:c>
      <x:c r="O357" s="5" t="str">
        <x:v>Cash</x:v>
      </x:c>
      <x:c r="P357" s="5" t="str">
        <x:v>Lunch</x:v>
      </x:c>
      <x:c r="Q357" s="48" t="n">
        <x:v>12</x:v>
      </x:c>
      <x:c r="R357" s="5" t="n">
        <x:v>5</x:v>
      </x:c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5" t="str">
        <x:v>ORD-01468</x:v>
      </x:c>
      <x:c r="B358" s="43" t="n">
        <x:v>46069</x:v>
      </x:c>
      <x:c r="C358" s="5" t="str">
        <x:v>CUST-0017</x:v>
      </x:c>
      <x:c r="D358" s="5" t="str">
        <x:v>FD001</x:v>
      </x:c>
      <x:c r="E358" s="5" t="str">
        <x:v>White Rice &amp; Stew</x:v>
      </x:c>
      <x:c r="F358" s="5" t="str">
        <x:v>Rice Meals</x:v>
      </x:c>
      <x:c r="G358" s="44" t="n">
        <x:v>2</x:v>
      </x:c>
      <x:c r="H358" s="45" t="n">
        <x:v>1800</x:v>
      </x:c>
      <x:c r="I358" s="46" t="n">
        <x:v>0</x:v>
      </x:c>
      <x:c r="J358" s="47" t="n">
        <x:f>G358*H358*(1-I358)</x:f>
        <x:v>3600</x:v>
      </x:c>
      <x:c r="K358" s="47" t="n">
        <x:v>820</x:v>
      </x:c>
      <x:c r="L358" s="47" t="n">
        <x:f>G358*K358</x:f>
        <x:v>1640</x:v>
      </x:c>
      <x:c r="M358" s="47" t="n">
        <x:f>J358-L358</x:f>
        <x:v>1960</x:v>
      </x:c>
      <x:c r="N358" s="5" t="str">
        <x:v>Walk-in</x:v>
      </x:c>
      <x:c r="O358" s="5" t="str">
        <x:v>Cash</x:v>
      </x:c>
      <x:c r="P358" s="5" t="str">
        <x:v>Dinner</x:v>
      </x:c>
      <x:c r="Q358" s="48" t="n">
        <x:v>17</x:v>
      </x:c>
      <x:c r="R358" s="5" t="n">
        <x:v>5</x:v>
      </x:c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5" t="str">
        <x:v>ORD-01554</x:v>
      </x:c>
      <x:c r="B359" s="43" t="n">
        <x:v>46069</x:v>
      </x:c>
      <x:c r="C359" s="5" t="str">
        <x:v>CUST-0332</x:v>
      </x:c>
      <x:c r="D359" s="5" t="str">
        <x:v>FD003</x:v>
      </x:c>
      <x:c r="E359" s="5" t="str">
        <x:v>Fried Rice &amp; Chicken</x:v>
      </x:c>
      <x:c r="F359" s="5" t="str">
        <x:v>Rice Meals</x:v>
      </x:c>
      <x:c r="G359" s="44" t="n">
        <x:v>4</x:v>
      </x:c>
      <x:c r="H359" s="45" t="n">
        <x:v>3000</x:v>
      </x:c>
      <x:c r="I359" s="46" t="n">
        <x:v>0</x:v>
      </x:c>
      <x:c r="J359" s="47" t="n">
        <x:f>G359*H359*(1-I359)</x:f>
        <x:v>12000</x:v>
      </x:c>
      <x:c r="K359" s="47" t="n">
        <x:v>1580</x:v>
      </x:c>
      <x:c r="L359" s="47" t="n">
        <x:f>G359*K359</x:f>
        <x:v>6320</x:v>
      </x:c>
      <x:c r="M359" s="47" t="n">
        <x:f>J359-L359</x:f>
        <x:v>5680</x:v>
      </x:c>
      <x:c r="N359" s="5" t="str">
        <x:v>Walk-in</x:v>
      </x:c>
      <x:c r="O359" s="5" t="str">
        <x:v>Transfer</x:v>
      </x:c>
      <x:c r="P359" s="5" t="str">
        <x:v>Lunch</x:v>
      </x:c>
      <x:c r="Q359" s="48" t="n">
        <x:v>11</x:v>
      </x:c>
      <x:c r="R359" s="5" t="n">
        <x:v>5</x:v>
      </x:c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5" t="str">
        <x:v>ORD-00358</x:v>
      </x:c>
      <x:c r="B360" s="43" t="n">
        <x:v>46070</x:v>
      </x:c>
      <x:c r="C360" s="5" t="str">
        <x:v>CUST-0038</x:v>
      </x:c>
      <x:c r="D360" s="5" t="str">
        <x:v>FD001</x:v>
      </x:c>
      <x:c r="E360" s="5" t="str">
        <x:v>White Rice &amp; Stew</x:v>
      </x:c>
      <x:c r="F360" s="5" t="str">
        <x:v>Rice Meals</x:v>
      </x:c>
      <x:c r="G360" s="44" t="n">
        <x:v>4</x:v>
      </x:c>
      <x:c r="H360" s="45" t="n">
        <x:v>1800</x:v>
      </x:c>
      <x:c r="I360" s="46" t="n">
        <x:v>0</x:v>
      </x:c>
      <x:c r="J360" s="47" t="n">
        <x:f>G360*H360*(1-I360)</x:f>
        <x:v>7200</x:v>
      </x:c>
      <x:c r="K360" s="47" t="n">
        <x:v>820</x:v>
      </x:c>
      <x:c r="L360" s="47" t="n">
        <x:f>G360*K360</x:f>
        <x:v>3280</x:v>
      </x:c>
      <x:c r="M360" s="47" t="n">
        <x:f>J360-L360</x:f>
        <x:v>3920</x:v>
      </x:c>
      <x:c r="N360" s="5" t="str">
        <x:v>Delivery</x:v>
      </x:c>
      <x:c r="O360" s="5" t="str">
        <x:v>Cash</x:v>
      </x:c>
      <x:c r="P360" s="5" t="str">
        <x:v>Breakfast</x:v>
      </x:c>
      <x:c r="Q360" s="48" t="n">
        <x:v>9</x:v>
      </x:c>
      <x:c r="R360" s="5" t="n">
        <x:v>3</x:v>
      </x:c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5" t="str">
        <x:v>ORD-00633</x:v>
      </x:c>
      <x:c r="B361" s="43" t="n">
        <x:v>46070</x:v>
      </x:c>
      <x:c r="C361" s="5" t="str">
        <x:v>CUST-0169</x:v>
      </x:c>
      <x:c r="D361" s="5" t="str">
        <x:v>FD001</x:v>
      </x:c>
      <x:c r="E361" s="5" t="str">
        <x:v>White Rice &amp; Stew</x:v>
      </x:c>
      <x:c r="F361" s="5" t="str">
        <x:v>Rice Meals</x:v>
      </x:c>
      <x:c r="G361" s="44" t="n">
        <x:v>3</x:v>
      </x:c>
      <x:c r="H361" s="45" t="n">
        <x:v>1800</x:v>
      </x:c>
      <x:c r="I361" s="46" t="n">
        <x:v>0</x:v>
      </x:c>
      <x:c r="J361" s="47" t="n">
        <x:f>G361*H361*(1-I361)</x:f>
        <x:v>5400</x:v>
      </x:c>
      <x:c r="K361" s="47" t="n">
        <x:v>820</x:v>
      </x:c>
      <x:c r="L361" s="47" t="n">
        <x:f>G361*K361</x:f>
        <x:v>2460</x:v>
      </x:c>
      <x:c r="M361" s="47" t="n">
        <x:f>J361-L361</x:f>
        <x:v>2940</x:v>
      </x:c>
      <x:c r="N361" s="5" t="str">
        <x:v>Takeaway</x:v>
      </x:c>
      <x:c r="O361" s="5" t="str">
        <x:v>Cash</x:v>
      </x:c>
      <x:c r="P361" s="5" t="str">
        <x:v>Dinner</x:v>
      </x:c>
      <x:c r="Q361" s="48" t="n">
        <x:v>17</x:v>
      </x:c>
      <x:c r="R361" s="5" t="n">
        <x:v>4</x:v>
      </x:c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5" t="str">
        <x:v>ORD-00660</x:v>
      </x:c>
      <x:c r="B362" s="43" t="n">
        <x:v>46070</x:v>
      </x:c>
      <x:c r="C362" s="5" t="str">
        <x:v>CUST-0071</x:v>
      </x:c>
      <x:c r="D362" s="5" t="str">
        <x:v>FD003</x:v>
      </x:c>
      <x:c r="E362" s="5" t="str">
        <x:v>Fried Rice &amp; Chicken</x:v>
      </x:c>
      <x:c r="F362" s="5" t="str">
        <x:v>Rice Meals</x:v>
      </x:c>
      <x:c r="G362" s="44" t="n">
        <x:v>2</x:v>
      </x:c>
      <x:c r="H362" s="45" t="n">
        <x:v>3000</x:v>
      </x:c>
      <x:c r="I362" s="46" t="n">
        <x:v>0</x:v>
      </x:c>
      <x:c r="J362" s="47" t="n">
        <x:f>G362*H362*(1-I362)</x:f>
        <x:v>6000</x:v>
      </x:c>
      <x:c r="K362" s="47" t="n">
        <x:v>1580</x:v>
      </x:c>
      <x:c r="L362" s="47" t="n">
        <x:f>G362*K362</x:f>
        <x:v>3160</x:v>
      </x:c>
      <x:c r="M362" s="47" t="n">
        <x:f>J362-L362</x:f>
        <x:v>2840</x:v>
      </x:c>
      <x:c r="N362" s="5" t="str">
        <x:v>Walk-in</x:v>
      </x:c>
      <x:c r="O362" s="5" t="str">
        <x:v>Transfer</x:v>
      </x:c>
      <x:c r="P362" s="5" t="str">
        <x:v>Lunch</x:v>
      </x:c>
      <x:c r="Q362" s="48" t="n">
        <x:v>11</x:v>
      </x:c>
      <x:c r="R362" s="5" t="n">
        <x:v>4</x:v>
      </x:c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5" t="str">
        <x:v>ORD-00757</x:v>
      </x:c>
      <x:c r="B363" s="43" t="n">
        <x:v>46070</x:v>
      </x:c>
      <x:c r="C363" s="5" t="str">
        <x:v>CUST-0330</x:v>
      </x:c>
      <x:c r="D363" s="5" t="str">
        <x:v>FD010</x:v>
      </x:c>
      <x:c r="E363" s="5" t="str">
        <x:v>Soft Drink</x:v>
      </x:c>
      <x:c r="F363" s="5" t="str">
        <x:v>Beverages</x:v>
      </x:c>
      <x:c r="G363" s="44" t="n">
        <x:v>1</x:v>
      </x:c>
      <x:c r="H363" s="45" t="n">
        <x:v>600</x:v>
      </x:c>
      <x:c r="I363" s="46" t="n">
        <x:v>0.05</x:v>
      </x:c>
      <x:c r="J363" s="47" t="n">
        <x:f>G363*H363*(1-I363)</x:f>
        <x:v>570</x:v>
      </x:c>
      <x:c r="K363" s="47" t="n">
        <x:v>280</x:v>
      </x:c>
      <x:c r="L363" s="47" t="n">
        <x:f>G363*K363</x:f>
        <x:v>280</x:v>
      </x:c>
      <x:c r="M363" s="47" t="n">
        <x:f>J363-L363</x:f>
        <x:v>290</x:v>
      </x:c>
      <x:c r="N363" s="5" t="str">
        <x:v>Walk-in</x:v>
      </x:c>
      <x:c r="O363" s="5" t="str">
        <x:v>Cash</x:v>
      </x:c>
      <x:c r="P363" s="5" t="str">
        <x:v>Lunch</x:v>
      </x:c>
      <x:c r="Q363" s="48" t="n">
        <x:v>15</x:v>
      </x:c>
      <x:c r="R363" s="5" t="n">
        <x:v>4</x:v>
      </x:c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5" t="str">
        <x:v>ORD-00789</x:v>
      </x:c>
      <x:c r="B364" s="43" t="n">
        <x:v>46070</x:v>
      </x:c>
      <x:c r="C364" s="5" t="str">
        <x:v>CUST-0023</x:v>
      </x:c>
      <x:c r="D364" s="5" t="str">
        <x:v>FD005</x:v>
      </x:c>
      <x:c r="E364" s="5" t="str">
        <x:v>Yam Porridge</x:v>
      </x:c>
      <x:c r="F364" s="5" t="str">
        <x:v>Traditional Meals</x:v>
      </x:c>
      <x:c r="G364" s="44" t="n">
        <x:v>2</x:v>
      </x:c>
      <x:c r="H364" s="45" t="n">
        <x:v>2200</x:v>
      </x:c>
      <x:c r="I364" s="46" t="n">
        <x:v>0.05</x:v>
      </x:c>
      <x:c r="J364" s="47" t="n">
        <x:f>G364*H364*(1-I364)</x:f>
        <x:v>4180</x:v>
      </x:c>
      <x:c r="K364" s="47" t="n">
        <x:v>1050</x:v>
      </x:c>
      <x:c r="L364" s="47" t="n">
        <x:f>G364*K364</x:f>
        <x:v>2100</x:v>
      </x:c>
      <x:c r="M364" s="47" t="n">
        <x:f>J364-L364</x:f>
        <x:v>2080</x:v>
      </x:c>
      <x:c r="N364" s="5" t="str">
        <x:v>Walk-in</x:v>
      </x:c>
      <x:c r="O364" s="5" t="str">
        <x:v>POS</x:v>
      </x:c>
      <x:c r="P364" s="5" t="str">
        <x:v>Dinner</x:v>
      </x:c>
      <x:c r="Q364" s="48" t="n">
        <x:v>17</x:v>
      </x:c>
      <x:c r="R364" s="5" t="n">
        <x:v>4</x:v>
      </x:c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5" t="str">
        <x:v>ORD-01069</x:v>
      </x:c>
      <x:c r="B365" s="43" t="n">
        <x:v>46070</x:v>
      </x:c>
      <x:c r="C365" s="5" t="str">
        <x:v>CUST-0357</x:v>
      </x:c>
      <x:c r="D365" s="5" t="str">
        <x:v>FD002</x:v>
      </x:c>
      <x:c r="E365" s="5" t="str">
        <x:v>Jollof Rice &amp; Chicken</x:v>
      </x:c>
      <x:c r="F365" s="5" t="str">
        <x:v>Rice Meals</x:v>
      </x:c>
      <x:c r="G365" s="44" t="n">
        <x:v>1</x:v>
      </x:c>
      <x:c r="H365" s="45" t="n">
        <x:v>2800</x:v>
      </x:c>
      <x:c r="I365" s="46" t="n">
        <x:v>0</x:v>
      </x:c>
      <x:c r="J365" s="47" t="n">
        <x:f>G365*H365*(1-I365)</x:f>
        <x:v>2800</x:v>
      </x:c>
      <x:c r="K365" s="47" t="n">
        <x:v>1450</x:v>
      </x:c>
      <x:c r="L365" s="47" t="n">
        <x:f>G365*K365</x:f>
        <x:v>1450</x:v>
      </x:c>
      <x:c r="M365" s="47" t="n">
        <x:f>J365-L365</x:f>
        <x:v>1350</x:v>
      </x:c>
      <x:c r="N365" s="5" t="str">
        <x:v>Walk-in</x:v>
      </x:c>
      <x:c r="O365" s="5" t="str">
        <x:v>Cash</x:v>
      </x:c>
      <x:c r="P365" s="5" t="str">
        <x:v>Breakfast</x:v>
      </x:c>
      <x:c r="Q365" s="48" t="n">
        <x:v>9</x:v>
      </x:c>
      <x:c r="R365" s="5" t="n">
        <x:v>5</x:v>
      </x:c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5" t="str">
        <x:v>ORD-01292</x:v>
      </x:c>
      <x:c r="B366" s="43" t="n">
        <x:v>46070</x:v>
      </x:c>
      <x:c r="C366" s="5" t="str">
        <x:v>CUST-0263</x:v>
      </x:c>
      <x:c r="D366" s="5" t="str">
        <x:v>FD006</x:v>
      </x:c>
      <x:c r="E366" s="5" t="str">
        <x:v>Eba &amp; Egusi Soup</x:v>
      </x:c>
      <x:c r="F366" s="5" t="str">
        <x:v>Swallow</x:v>
      </x:c>
      <x:c r="G366" s="44" t="n">
        <x:v>3</x:v>
      </x:c>
      <x:c r="H366" s="45" t="n">
        <x:v>2600</x:v>
      </x:c>
      <x:c r="I366" s="46" t="n">
        <x:v>0</x:v>
      </x:c>
      <x:c r="J366" s="47" t="n">
        <x:f>G366*H366*(1-I366)</x:f>
        <x:v>7800</x:v>
      </x:c>
      <x:c r="K366" s="47" t="n">
        <x:v>1320</x:v>
      </x:c>
      <x:c r="L366" s="47" t="n">
        <x:f>G366*K366</x:f>
        <x:v>3960</x:v>
      </x:c>
      <x:c r="M366" s="47" t="n">
        <x:f>J366-L366</x:f>
        <x:v>3840</x:v>
      </x:c>
      <x:c r="N366" s="5" t="str">
        <x:v>Takeaway</x:v>
      </x:c>
      <x:c r="O366" s="5" t="str">
        <x:v>Transfer</x:v>
      </x:c>
      <x:c r="P366" s="5" t="str">
        <x:v>Dinner</x:v>
      </x:c>
      <x:c r="Q366" s="48" t="n">
        <x:v>19</x:v>
      </x:c>
      <x:c r="R366" s="5" t="n">
        <x:v>4</x:v>
      </x:c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5" t="str">
        <x:v>ORD-01648</x:v>
      </x:c>
      <x:c r="B367" s="43" t="n">
        <x:v>46070</x:v>
      </x:c>
      <x:c r="C367" s="5" t="str">
        <x:v>CUST-0308</x:v>
      </x:c>
      <x:c r="D367" s="5" t="str">
        <x:v>FD005</x:v>
      </x:c>
      <x:c r="E367" s="5" t="str">
        <x:v>Yam Porridge</x:v>
      </x:c>
      <x:c r="F367" s="5" t="str">
        <x:v>Traditional Meals</x:v>
      </x:c>
      <x:c r="G367" s="44" t="n">
        <x:v>4</x:v>
      </x:c>
      <x:c r="H367" s="45" t="n">
        <x:v>2200</x:v>
      </x:c>
      <x:c r="I367" s="46" t="n">
        <x:v>0</x:v>
      </x:c>
      <x:c r="J367" s="47" t="n">
        <x:f>G367*H367*(1-I367)</x:f>
        <x:v>8800</x:v>
      </x:c>
      <x:c r="K367" s="47" t="n">
        <x:v>1050</x:v>
      </x:c>
      <x:c r="L367" s="47" t="n">
        <x:f>G367*K367</x:f>
        <x:v>4200</x:v>
      </x:c>
      <x:c r="M367" s="47" t="n">
        <x:f>J367-L367</x:f>
        <x:v>4600</x:v>
      </x:c>
      <x:c r="N367" s="5" t="str">
        <x:v>Takeaway</x:v>
      </x:c>
      <x:c r="O367" s="5" t="str">
        <x:v>Cash</x:v>
      </x:c>
      <x:c r="P367" s="5" t="str">
        <x:v>Lunch</x:v>
      </x:c>
      <x:c r="Q367" s="48" t="n">
        <x:v>12</x:v>
      </x:c>
      <x:c r="R367" s="5" t="n">
        <x:v>5</x:v>
      </x:c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5" t="str">
        <x:v>ORD-01733</x:v>
      </x:c>
      <x:c r="B368" s="43" t="n">
        <x:v>46070</x:v>
      </x:c>
      <x:c r="C368" s="5" t="str">
        <x:v>CUST-0226</x:v>
      </x:c>
      <x:c r="D368" s="5" t="str">
        <x:v>FD008</x:v>
      </x:c>
      <x:c r="E368" s="5" t="str">
        <x:v>Pounded Yam &amp; Vegetable Soup</x:v>
      </x:c>
      <x:c r="F368" s="5" t="str">
        <x:v>Swallow</x:v>
      </x:c>
      <x:c r="G368" s="44" t="n">
        <x:v>2</x:v>
      </x:c>
      <x:c r="H368" s="45" t="n">
        <x:v>3200</x:v>
      </x:c>
      <x:c r="I368" s="46" t="n">
        <x:v>0.1</x:v>
      </x:c>
      <x:c r="J368" s="47" t="n">
        <x:f>G368*H368*(1-I368)</x:f>
        <x:v>5760</x:v>
      </x:c>
      <x:c r="K368" s="47" t="n">
        <x:v>1710</x:v>
      </x:c>
      <x:c r="L368" s="47" t="n">
        <x:f>G368*K368</x:f>
        <x:v>3420</x:v>
      </x:c>
      <x:c r="M368" s="47" t="n">
        <x:f>J368-L368</x:f>
        <x:v>2340</x:v>
      </x:c>
      <x:c r="N368" s="5" t="str">
        <x:v>Walk-in</x:v>
      </x:c>
      <x:c r="O368" s="5" t="str">
        <x:v>Transfer</x:v>
      </x:c>
      <x:c r="P368" s="5" t="str">
        <x:v>Dinner</x:v>
      </x:c>
      <x:c r="Q368" s="48" t="n">
        <x:v>19</x:v>
      </x:c>
      <x:c r="R368" s="5" t="n">
        <x:v>4</x:v>
      </x:c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5" t="str">
        <x:v>ORD-00048</x:v>
      </x:c>
      <x:c r="B369" s="43" t="n">
        <x:v>46071</x:v>
      </x:c>
      <x:c r="C369" s="5" t="str">
        <x:v>CUST-0079</x:v>
      </x:c>
      <x:c r="D369" s="5" t="str">
        <x:v>FD011</x:v>
      </x:c>
      <x:c r="E369" s="5" t="str">
        <x:v>Bottled Water</x:v>
      </x:c>
      <x:c r="F369" s="5" t="str">
        <x:v>Beverages</x:v>
      </x:c>
      <x:c r="G369" s="44" t="n">
        <x:v>3</x:v>
      </x:c>
      <x:c r="H369" s="45" t="n">
        <x:v>300</x:v>
      </x:c>
      <x:c r="I369" s="46" t="n">
        <x:v>0</x:v>
      </x:c>
      <x:c r="J369" s="47" t="n">
        <x:f>G369*H369*(1-I369)</x:f>
        <x:v>900</x:v>
      </x:c>
      <x:c r="K369" s="47" t="n">
        <x:v>120</x:v>
      </x:c>
      <x:c r="L369" s="47" t="n">
        <x:f>G369*K369</x:f>
        <x:v>360</x:v>
      </x:c>
      <x:c r="M369" s="47" t="n">
        <x:f>J369-L369</x:f>
        <x:v>540</x:v>
      </x:c>
      <x:c r="N369" s="5" t="str">
        <x:v>Walk-in</x:v>
      </x:c>
      <x:c r="O369" s="5" t="str">
        <x:v>Transfer</x:v>
      </x:c>
      <x:c r="P369" s="5" t="str">
        <x:v>Lunch</x:v>
      </x:c>
      <x:c r="Q369" s="48" t="n">
        <x:v>12</x:v>
      </x:c>
      <x:c r="R369" s="5" t="n">
        <x:v>5</x:v>
      </x:c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5" t="str">
        <x:v>ORD-00106</x:v>
      </x:c>
      <x:c r="B370" s="43" t="n">
        <x:v>46071</x:v>
      </x:c>
      <x:c r="C370" s="5" t="str">
        <x:v>CUST-0038</x:v>
      </x:c>
      <x:c r="D370" s="5" t="str">
        <x:v>FD007</x:v>
      </x:c>
      <x:c r="E370" s="5" t="str">
        <x:v>Amala &amp; Ewedu</x:v>
      </x:c>
      <x:c r="F370" s="5" t="str">
        <x:v>Swallow</x:v>
      </x:c>
      <x:c r="G370" s="44" t="n">
        <x:v>3</x:v>
      </x:c>
      <x:c r="H370" s="45" t="n">
        <x:v>2500</x:v>
      </x:c>
      <x:c r="I370" s="46" t="n">
        <x:v>0</x:v>
      </x:c>
      <x:c r="J370" s="47" t="n">
        <x:f>G370*H370*(1-I370)</x:f>
        <x:v>7500</x:v>
      </x:c>
      <x:c r="K370" s="47" t="n">
        <x:v>1250</x:v>
      </x:c>
      <x:c r="L370" s="47" t="n">
        <x:f>G370*K370</x:f>
        <x:v>3750</x:v>
      </x:c>
      <x:c r="M370" s="47" t="n">
        <x:f>J370-L370</x:f>
        <x:v>3750</x:v>
      </x:c>
      <x:c r="N370" s="5" t="str">
        <x:v>Walk-in</x:v>
      </x:c>
      <x:c r="O370" s="5" t="str">
        <x:v>POS</x:v>
      </x:c>
      <x:c r="P370" s="5" t="str">
        <x:v>Lunch</x:v>
      </x:c>
      <x:c r="Q370" s="48" t="n">
        <x:v>12</x:v>
      </x:c>
      <x:c r="R370" s="5" t="n">
        <x:v>5</x:v>
      </x:c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5" t="str">
        <x:v>ORD-00194</x:v>
      </x:c>
      <x:c r="B371" s="43" t="n">
        <x:v>46071</x:v>
      </x:c>
      <x:c r="C371" s="5" t="str">
        <x:v>CUST-0373</x:v>
      </x:c>
      <x:c r="D371" s="5" t="str">
        <x:v>FD007</x:v>
      </x:c>
      <x:c r="E371" s="5" t="str">
        <x:v>Amala &amp; Ewedu</x:v>
      </x:c>
      <x:c r="F371" s="5" t="str">
        <x:v>Swallow</x:v>
      </x:c>
      <x:c r="G371" s="44" t="n">
        <x:v>1</x:v>
      </x:c>
      <x:c r="H371" s="45" t="n">
        <x:v>2500</x:v>
      </x:c>
      <x:c r="I371" s="46" t="n">
        <x:v>0</x:v>
      </x:c>
      <x:c r="J371" s="47" t="n">
        <x:f>G371*H371*(1-I371)</x:f>
        <x:v>2500</x:v>
      </x:c>
      <x:c r="K371" s="47" t="n">
        <x:v>1250</x:v>
      </x:c>
      <x:c r="L371" s="47" t="n">
        <x:f>G371*K371</x:f>
        <x:v>1250</x:v>
      </x:c>
      <x:c r="M371" s="47" t="n">
        <x:f>J371-L371</x:f>
        <x:v>1250</x:v>
      </x:c>
      <x:c r="N371" s="5" t="str">
        <x:v>Walk-in</x:v>
      </x:c>
      <x:c r="O371" s="5" t="str">
        <x:v>POS</x:v>
      </x:c>
      <x:c r="P371" s="5" t="str">
        <x:v>Lunch</x:v>
      </x:c>
      <x:c r="Q371" s="48" t="n">
        <x:v>11</x:v>
      </x:c>
      <x:c r="R371" s="5" t="n">
        <x:v>4</x:v>
      </x:c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5" t="str">
        <x:v>ORD-00423</x:v>
      </x:c>
      <x:c r="B372" s="43" t="n">
        <x:v>46071</x:v>
      </x:c>
      <x:c r="C372" s="5" t="str">
        <x:v>CUST-0620</x:v>
      </x:c>
      <x:c r="D372" s="5" t="str">
        <x:v>FD007</x:v>
      </x:c>
      <x:c r="E372" s="5" t="str">
        <x:v>Amala &amp; Ewedu</x:v>
      </x:c>
      <x:c r="F372" s="5" t="str">
        <x:v>Swallow</x:v>
      </x:c>
      <x:c r="G372" s="44" t="n">
        <x:v>2</x:v>
      </x:c>
      <x:c r="H372" s="45" t="n">
        <x:v>2500</x:v>
      </x:c>
      <x:c r="I372" s="46" t="n">
        <x:v>0</x:v>
      </x:c>
      <x:c r="J372" s="47" t="n">
        <x:f>G372*H372*(1-I372)</x:f>
        <x:v>5000</x:v>
      </x:c>
      <x:c r="K372" s="47" t="n">
        <x:v>1250</x:v>
      </x:c>
      <x:c r="L372" s="47" t="n">
        <x:f>G372*K372</x:f>
        <x:v>2500</x:v>
      </x:c>
      <x:c r="M372" s="47" t="n">
        <x:f>J372-L372</x:f>
        <x:v>2500</x:v>
      </x:c>
      <x:c r="N372" s="5" t="str">
        <x:v>Walk-in</x:v>
      </x:c>
      <x:c r="O372" s="5" t="str">
        <x:v>Transfer</x:v>
      </x:c>
      <x:c r="P372" s="5" t="str">
        <x:v>Lunch</x:v>
      </x:c>
      <x:c r="Q372" s="48" t="n">
        <x:v>15</x:v>
      </x:c>
      <x:c r="R372" s="5" t="n">
        <x:v>5</x:v>
      </x:c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5" t="str">
        <x:v>ORD-00502</x:v>
      </x:c>
      <x:c r="B373" s="43" t="n">
        <x:v>46071</x:v>
      </x:c>
      <x:c r="C373" s="5" t="str">
        <x:v>CUST-0244</x:v>
      </x:c>
      <x:c r="D373" s="5" t="str">
        <x:v>FD005</x:v>
      </x:c>
      <x:c r="E373" s="5" t="str">
        <x:v>Yam Porridge</x:v>
      </x:c>
      <x:c r="F373" s="5" t="str">
        <x:v>Traditional Meals</x:v>
      </x:c>
      <x:c r="G373" s="44" t="n">
        <x:v>1</x:v>
      </x:c>
      <x:c r="H373" s="45" t="n">
        <x:v>2200</x:v>
      </x:c>
      <x:c r="I373" s="46" t="n">
        <x:v>0</x:v>
      </x:c>
      <x:c r="J373" s="47" t="n">
        <x:f>G373*H373*(1-I373)</x:f>
        <x:v>2200</x:v>
      </x:c>
      <x:c r="K373" s="47" t="n">
        <x:v>1050</x:v>
      </x:c>
      <x:c r="L373" s="47" t="n">
        <x:f>G373*K373</x:f>
        <x:v>1050</x:v>
      </x:c>
      <x:c r="M373" s="47" t="n">
        <x:f>J373-L373</x:f>
        <x:v>1150</x:v>
      </x:c>
      <x:c r="N373" s="5" t="str">
        <x:v>Delivery</x:v>
      </x:c>
      <x:c r="O373" s="5" t="str">
        <x:v>Transfer</x:v>
      </x:c>
      <x:c r="P373" s="5" t="str">
        <x:v>Breakfast</x:v>
      </x:c>
      <x:c r="Q373" s="48" t="n">
        <x:v>10</x:v>
      </x:c>
      <x:c r="R373" s="5" t="n">
        <x:v>4</x:v>
      </x:c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5" t="str">
        <x:v>ORD-01014</x:v>
      </x:c>
      <x:c r="B374" s="43" t="n">
        <x:v>46071</x:v>
      </x:c>
      <x:c r="C374" s="5" t="str">
        <x:v>CUST-0231</x:v>
      </x:c>
      <x:c r="D374" s="5" t="str">
        <x:v>FD003</x:v>
      </x:c>
      <x:c r="E374" s="5" t="str">
        <x:v>Fried Rice &amp; Chicken</x:v>
      </x:c>
      <x:c r="F374" s="5" t="str">
        <x:v>Rice Meals</x:v>
      </x:c>
      <x:c r="G374" s="44" t="n">
        <x:v>4</x:v>
      </x:c>
      <x:c r="H374" s="45" t="n">
        <x:v>3000</x:v>
      </x:c>
      <x:c r="I374" s="46" t="n">
        <x:v>0</x:v>
      </x:c>
      <x:c r="J374" s="47" t="n">
        <x:f>G374*H374*(1-I374)</x:f>
        <x:v>12000</x:v>
      </x:c>
      <x:c r="K374" s="47" t="n">
        <x:v>1580</x:v>
      </x:c>
      <x:c r="L374" s="47" t="n">
        <x:f>G374*K374</x:f>
        <x:v>6320</x:v>
      </x:c>
      <x:c r="M374" s="47" t="n">
        <x:f>J374-L374</x:f>
        <x:v>5680</x:v>
      </x:c>
      <x:c r="N374" s="5" t="str">
        <x:v>Walk-in</x:v>
      </x:c>
      <x:c r="O374" s="5" t="str">
        <x:v>POS</x:v>
      </x:c>
      <x:c r="P374" s="5" t="str">
        <x:v>Lunch</x:v>
      </x:c>
      <x:c r="Q374" s="48" t="n">
        <x:v>14</x:v>
      </x:c>
      <x:c r="R374" s="5" t="n">
        <x:v>5</x:v>
      </x:c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5" t="str">
        <x:v>ORD-01248</x:v>
      </x:c>
      <x:c r="B375" s="43" t="n">
        <x:v>46071</x:v>
      </x:c>
      <x:c r="C375" s="5" t="str">
        <x:v>CUST-0534</x:v>
      </x:c>
      <x:c r="D375" s="5" t="str">
        <x:v>FD001</x:v>
      </x:c>
      <x:c r="E375" s="5" t="str">
        <x:v>White Rice &amp; Stew</x:v>
      </x:c>
      <x:c r="F375" s="5" t="str">
        <x:v>Rice Meals</x:v>
      </x:c>
      <x:c r="G375" s="44" t="n">
        <x:v>1</x:v>
      </x:c>
      <x:c r="H375" s="45" t="n">
        <x:v>1800</x:v>
      </x:c>
      <x:c r="I375" s="46" t="n">
        <x:v>0</x:v>
      </x:c>
      <x:c r="J375" s="47" t="n">
        <x:f>G375*H375*(1-I375)</x:f>
        <x:v>1800</x:v>
      </x:c>
      <x:c r="K375" s="47" t="n">
        <x:v>820</x:v>
      </x:c>
      <x:c r="L375" s="47" t="n">
        <x:f>G375*K375</x:f>
        <x:v>820</x:v>
      </x:c>
      <x:c r="M375" s="47" t="n">
        <x:f>J375-L375</x:f>
        <x:v>980</x:v>
      </x:c>
      <x:c r="N375" s="5" t="str">
        <x:v>Walk-in</x:v>
      </x:c>
      <x:c r="O375" s="5" t="str">
        <x:v>Cash</x:v>
      </x:c>
      <x:c r="P375" s="5" t="str">
        <x:v>Dinner</x:v>
      </x:c>
      <x:c r="Q375" s="48" t="n">
        <x:v>18</x:v>
      </x:c>
      <x:c r="R375" s="5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5" t="str">
        <x:v>ORD-01253</x:v>
      </x:c>
      <x:c r="B376" s="43" t="n">
        <x:v>46071</x:v>
      </x:c>
      <x:c r="C376" s="5" t="str">
        <x:v>CUST-0383</x:v>
      </x:c>
      <x:c r="D376" s="5" t="str">
        <x:v>FD007</x:v>
      </x:c>
      <x:c r="E376" s="5" t="str">
        <x:v>Amala &amp; Ewedu</x:v>
      </x:c>
      <x:c r="F376" s="5" t="str">
        <x:v>Swallow</x:v>
      </x:c>
      <x:c r="G376" s="44" t="n">
        <x:v>2</x:v>
      </x:c>
      <x:c r="H376" s="45" t="n">
        <x:v>2500</x:v>
      </x:c>
      <x:c r="I376" s="46" t="n">
        <x:v>0</x:v>
      </x:c>
      <x:c r="J376" s="47" t="n">
        <x:f>G376*H376*(1-I376)</x:f>
        <x:v>5000</x:v>
      </x:c>
      <x:c r="K376" s="47" t="n">
        <x:v>1250</x:v>
      </x:c>
      <x:c r="L376" s="47" t="n">
        <x:f>G376*K376</x:f>
        <x:v>2500</x:v>
      </x:c>
      <x:c r="M376" s="47" t="n">
        <x:f>J376-L376</x:f>
        <x:v>2500</x:v>
      </x:c>
      <x:c r="N376" s="5" t="str">
        <x:v>Walk-in</x:v>
      </x:c>
      <x:c r="O376" s="5" t="str">
        <x:v>Transfer</x:v>
      </x:c>
      <x:c r="P376" s="5" t="str">
        <x:v>Lunch</x:v>
      </x:c>
      <x:c r="Q376" s="48" t="n">
        <x:v>12</x:v>
      </x:c>
      <x:c r="R376" s="5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5" t="str">
        <x:v>ORD-01440</x:v>
      </x:c>
      <x:c r="B377" s="43" t="n">
        <x:v>46071</x:v>
      </x:c>
      <x:c r="C377" s="5" t="str">
        <x:v>CUST-0189</x:v>
      </x:c>
      <x:c r="D377" s="5" t="str">
        <x:v>FD004</x:v>
      </x:c>
      <x:c r="E377" s="5" t="str">
        <x:v>Beans &amp; Plantain</x:v>
      </x:c>
      <x:c r="F377" s="5" t="str">
        <x:v>Traditional Meals</x:v>
      </x:c>
      <x:c r="G377" s="44" t="n">
        <x:v>1</x:v>
      </x:c>
      <x:c r="H377" s="45" t="n">
        <x:v>2000</x:v>
      </x:c>
      <x:c r="I377" s="46" t="n">
        <x:v>0</x:v>
      </x:c>
      <x:c r="J377" s="47" t="n">
        <x:f>G377*H377*(1-I377)</x:f>
        <x:v>2000</x:v>
      </x:c>
      <x:c r="K377" s="47" t="n">
        <x:v>960</x:v>
      </x:c>
      <x:c r="L377" s="47" t="n">
        <x:f>G377*K377</x:f>
        <x:v>960</x:v>
      </x:c>
      <x:c r="M377" s="47" t="n">
        <x:f>J377-L377</x:f>
        <x:v>1040</x:v>
      </x:c>
      <x:c r="N377" s="5" t="str">
        <x:v>Delivery</x:v>
      </x:c>
      <x:c r="O377" s="5" t="str">
        <x:v>Transfer</x:v>
      </x:c>
      <x:c r="P377" s="5" t="str">
        <x:v>Dinner</x:v>
      </x:c>
      <x:c r="Q377" s="48" t="n">
        <x:v>17</x:v>
      </x:c>
      <x:c r="R377" s="5" t="n">
        <x:v>5</x:v>
      </x:c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5" t="str">
        <x:v>ORD-01457</x:v>
      </x:c>
      <x:c r="B378" s="43" t="n">
        <x:v>46071</x:v>
      </x:c>
      <x:c r="C378" s="5" t="str">
        <x:v>CUST-0015</x:v>
      </x:c>
      <x:c r="D378" s="5" t="str">
        <x:v>FD007</x:v>
      </x:c>
      <x:c r="E378" s="5" t="str">
        <x:v>Amala &amp; Ewedu</x:v>
      </x:c>
      <x:c r="F378" s="5" t="str">
        <x:v>Swallow</x:v>
      </x:c>
      <x:c r="G378" s="44" t="n">
        <x:v>2</x:v>
      </x:c>
      <x:c r="H378" s="45" t="n">
        <x:v>2500</x:v>
      </x:c>
      <x:c r="I378" s="46" t="n">
        <x:v>0</x:v>
      </x:c>
      <x:c r="J378" s="47" t="n">
        <x:f>G378*H378*(1-I378)</x:f>
        <x:v>5000</x:v>
      </x:c>
      <x:c r="K378" s="47" t="n">
        <x:v>1250</x:v>
      </x:c>
      <x:c r="L378" s="47" t="n">
        <x:f>G378*K378</x:f>
        <x:v>2500</x:v>
      </x:c>
      <x:c r="M378" s="47" t="n">
        <x:f>J378-L378</x:f>
        <x:v>2500</x:v>
      </x:c>
      <x:c r="N378" s="5" t="str">
        <x:v>Walk-in</x:v>
      </x:c>
      <x:c r="O378" s="5" t="str">
        <x:v>POS</x:v>
      </x:c>
      <x:c r="P378" s="5" t="str">
        <x:v>Breakfast</x:v>
      </x:c>
      <x:c r="Q378" s="48" t="n">
        <x:v>8</x:v>
      </x:c>
      <x:c r="R378" s="5" t="n">
        <x:v>4</x:v>
      </x:c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5" t="str">
        <x:v>ORD-01576</x:v>
      </x:c>
      <x:c r="B379" s="43" t="n">
        <x:v>46071</x:v>
      </x:c>
      <x:c r="C379" s="5" t="str">
        <x:v>CUST-0574</x:v>
      </x:c>
      <x:c r="D379" s="5" t="str">
        <x:v>FD010</x:v>
      </x:c>
      <x:c r="E379" s="5" t="str">
        <x:v>Soft Drink</x:v>
      </x:c>
      <x:c r="F379" s="5" t="str">
        <x:v>Beverages</x:v>
      </x:c>
      <x:c r="G379" s="44" t="n">
        <x:v>3</x:v>
      </x:c>
      <x:c r="H379" s="45" t="n">
        <x:v>600</x:v>
      </x:c>
      <x:c r="I379" s="46" t="n">
        <x:v>0</x:v>
      </x:c>
      <x:c r="J379" s="47" t="n">
        <x:f>G379*H379*(1-I379)</x:f>
        <x:v>1800</x:v>
      </x:c>
      <x:c r="K379" s="47" t="n">
        <x:v>280</x:v>
      </x:c>
      <x:c r="L379" s="47" t="n">
        <x:f>G379*K379</x:f>
        <x:v>840</x:v>
      </x:c>
      <x:c r="M379" s="47" t="n">
        <x:f>J379-L379</x:f>
        <x:v>960</x:v>
      </x:c>
      <x:c r="N379" s="5" t="str">
        <x:v>Takeaway</x:v>
      </x:c>
      <x:c r="O379" s="5" t="str">
        <x:v>POS</x:v>
      </x:c>
      <x:c r="P379" s="5" t="str">
        <x:v>Lunch</x:v>
      </x:c>
      <x:c r="Q379" s="48" t="n">
        <x:v>11</x:v>
      </x:c>
      <x:c r="R379" s="5" t="n">
        <x:v>5</x:v>
      </x:c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5" t="str">
        <x:v>ORD-01623</x:v>
      </x:c>
      <x:c r="B380" s="43" t="n">
        <x:v>46071</x:v>
      </x:c>
      <x:c r="C380" s="5" t="str">
        <x:v>CUST-0572</x:v>
      </x:c>
      <x:c r="D380" s="5" t="str">
        <x:v>FD002</x:v>
      </x:c>
      <x:c r="E380" s="5" t="str">
        <x:v>Jollof Rice &amp; Chicken</x:v>
      </x:c>
      <x:c r="F380" s="5" t="str">
        <x:v>Rice Meals</x:v>
      </x:c>
      <x:c r="G380" s="44" t="n">
        <x:v>2</x:v>
      </x:c>
      <x:c r="H380" s="45" t="n">
        <x:v>2800</x:v>
      </x:c>
      <x:c r="I380" s="46" t="n">
        <x:v>0</x:v>
      </x:c>
      <x:c r="J380" s="47" t="n">
        <x:f>G380*H380*(1-I380)</x:f>
        <x:v>5600</x:v>
      </x:c>
      <x:c r="K380" s="47" t="n">
        <x:v>1450</x:v>
      </x:c>
      <x:c r="L380" s="47" t="n">
        <x:f>G380*K380</x:f>
        <x:v>2900</x:v>
      </x:c>
      <x:c r="M380" s="47" t="n">
        <x:f>J380-L380</x:f>
        <x:v>2700</x:v>
      </x:c>
      <x:c r="N380" s="5" t="str">
        <x:v>Walk-in</x:v>
      </x:c>
      <x:c r="O380" s="5" t="str">
        <x:v>POS</x:v>
      </x:c>
      <x:c r="P380" s="5" t="str">
        <x:v>Lunch</x:v>
      </x:c>
      <x:c r="Q380" s="48" t="n">
        <x:v>15</x:v>
      </x:c>
      <x:c r="R380" s="5" t="n">
        <x:v>4</x:v>
      </x:c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5" t="str">
        <x:v>ORD-00027</x:v>
      </x:c>
      <x:c r="B381" s="43" t="n">
        <x:v>46072</x:v>
      </x:c>
      <x:c r="C381" s="5" t="str">
        <x:v>CUST-0048</x:v>
      </x:c>
      <x:c r="D381" s="5" t="str">
        <x:v>FD002</x:v>
      </x:c>
      <x:c r="E381" s="5" t="str">
        <x:v>Jollof Rice &amp; Chicken</x:v>
      </x:c>
      <x:c r="F381" s="5" t="str">
        <x:v>Rice Meals</x:v>
      </x:c>
      <x:c r="G381" s="44" t="n">
        <x:v>4</x:v>
      </x:c>
      <x:c r="H381" s="45" t="n">
        <x:v>2800</x:v>
      </x:c>
      <x:c r="I381" s="46" t="n">
        <x:v>0</x:v>
      </x:c>
      <x:c r="J381" s="47" t="n">
        <x:f>G381*H381*(1-I381)</x:f>
        <x:v>11200</x:v>
      </x:c>
      <x:c r="K381" s="47" t="n">
        <x:v>1450</x:v>
      </x:c>
      <x:c r="L381" s="47" t="n">
        <x:f>G381*K381</x:f>
        <x:v>5800</x:v>
      </x:c>
      <x:c r="M381" s="47" t="n">
        <x:f>J381-L381</x:f>
        <x:v>5400</x:v>
      </x:c>
      <x:c r="N381" s="5" t="str">
        <x:v>Delivery</x:v>
      </x:c>
      <x:c r="O381" s="5" t="str">
        <x:v>Transfer</x:v>
      </x:c>
      <x:c r="P381" s="5" t="str">
        <x:v>Breakfast</x:v>
      </x:c>
      <x:c r="Q381" s="48" t="n">
        <x:v>10</x:v>
      </x:c>
      <x:c r="R381" s="5" t="n">
        <x:v>5</x:v>
      </x:c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5" t="str">
        <x:v>ORD-00253</x:v>
      </x:c>
      <x:c r="B382" s="43" t="n">
        <x:v>46072</x:v>
      </x:c>
      <x:c r="C382" s="5" t="str">
        <x:v>CUST-0483</x:v>
      </x:c>
      <x:c r="D382" s="5" t="str">
        <x:v>FD001</x:v>
      </x:c>
      <x:c r="E382" s="5" t="str">
        <x:v>White Rice &amp; Stew</x:v>
      </x:c>
      <x:c r="F382" s="5" t="str">
        <x:v>Rice Meals</x:v>
      </x:c>
      <x:c r="G382" s="44" t="n">
        <x:v>3</x:v>
      </x:c>
      <x:c r="H382" s="45" t="n">
        <x:v>1800</x:v>
      </x:c>
      <x:c r="I382" s="46" t="n">
        <x:v>0.05</x:v>
      </x:c>
      <x:c r="J382" s="47" t="n">
        <x:f>G382*H382*(1-I382)</x:f>
        <x:v>5130</x:v>
      </x:c>
      <x:c r="K382" s="47" t="n">
        <x:v>820</x:v>
      </x:c>
      <x:c r="L382" s="47" t="n">
        <x:f>G382*K382</x:f>
        <x:v>2460</x:v>
      </x:c>
      <x:c r="M382" s="47" t="n">
        <x:f>J382-L382</x:f>
        <x:v>2670</x:v>
      </x:c>
      <x:c r="N382" s="5" t="str">
        <x:v>Walk-in</x:v>
      </x:c>
      <x:c r="O382" s="5" t="str">
        <x:v>Cash</x:v>
      </x:c>
      <x:c r="P382" s="5" t="str">
        <x:v>Breakfast</x:v>
      </x:c>
      <x:c r="Q382" s="48" t="n">
        <x:v>9</x:v>
      </x:c>
      <x:c r="R382" s="5" t="n">
        <x:v>4</x:v>
      </x:c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5" t="str">
        <x:v>ORD-00261</x:v>
      </x:c>
      <x:c r="B383" s="43" t="n">
        <x:v>46072</x:v>
      </x:c>
      <x:c r="C383" s="5" t="str">
        <x:v>CUST-0118</x:v>
      </x:c>
      <x:c r="D383" s="5" t="str">
        <x:v>FD006</x:v>
      </x:c>
      <x:c r="E383" s="5" t="str">
        <x:v>Eba &amp; Egusi Soup</x:v>
      </x:c>
      <x:c r="F383" s="5" t="str">
        <x:v>Swallow</x:v>
      </x:c>
      <x:c r="G383" s="44" t="n">
        <x:v>1</x:v>
      </x:c>
      <x:c r="H383" s="45" t="n">
        <x:v>2600</x:v>
      </x:c>
      <x:c r="I383" s="46" t="n">
        <x:v>0.05</x:v>
      </x:c>
      <x:c r="J383" s="47" t="n">
        <x:f>G383*H383*(1-I383)</x:f>
        <x:v>2470</x:v>
      </x:c>
      <x:c r="K383" s="47" t="n">
        <x:v>1320</x:v>
      </x:c>
      <x:c r="L383" s="47" t="n">
        <x:f>G383*K383</x:f>
        <x:v>1320</x:v>
      </x:c>
      <x:c r="M383" s="47" t="n">
        <x:f>J383-L383</x:f>
        <x:v>1150</x:v>
      </x:c>
      <x:c r="N383" s="5" t="str">
        <x:v>Walk-in</x:v>
      </x:c>
      <x:c r="O383" s="5" t="str">
        <x:v>POS</x:v>
      </x:c>
      <x:c r="P383" s="5" t="str">
        <x:v>Dinner</x:v>
      </x:c>
      <x:c r="Q383" s="48" t="n">
        <x:v>16</x:v>
      </x:c>
      <x:c r="R383" s="5" t="n">
        <x:v>5</x:v>
      </x:c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5" t="str">
        <x:v>ORD-00274</x:v>
      </x:c>
      <x:c r="B384" s="43" t="n">
        <x:v>46072</x:v>
      </x:c>
      <x:c r="C384" s="5" t="str">
        <x:v>CUST-0567</x:v>
      </x:c>
      <x:c r="D384" s="5" t="str">
        <x:v>FD003</x:v>
      </x:c>
      <x:c r="E384" s="5" t="str">
        <x:v>Fried Rice &amp; Chicken</x:v>
      </x:c>
      <x:c r="F384" s="5" t="str">
        <x:v>Rice Meals</x:v>
      </x:c>
      <x:c r="G384" s="44" t="n">
        <x:v>3</x:v>
      </x:c>
      <x:c r="H384" s="45" t="n">
        <x:v>3000</x:v>
      </x:c>
      <x:c r="I384" s="46" t="n">
        <x:v>0</x:v>
      </x:c>
      <x:c r="J384" s="47" t="n">
        <x:f>G384*H384*(1-I384)</x:f>
        <x:v>9000</x:v>
      </x:c>
      <x:c r="K384" s="47" t="n">
        <x:v>1580</x:v>
      </x:c>
      <x:c r="L384" s="47" t="n">
        <x:f>G384*K384</x:f>
        <x:v>4740</x:v>
      </x:c>
      <x:c r="M384" s="47" t="n">
        <x:f>J384-L384</x:f>
        <x:v>4260</x:v>
      </x:c>
      <x:c r="N384" s="5" t="str">
        <x:v>Walk-in</x:v>
      </x:c>
      <x:c r="O384" s="5" t="str">
        <x:v>POS</x:v>
      </x:c>
      <x:c r="P384" s="5" t="str">
        <x:v>Dinner</x:v>
      </x:c>
      <x:c r="Q384" s="48" t="n">
        <x:v>16</x:v>
      </x:c>
      <x:c r="R384" s="5" t="n">
        <x:v>3</x:v>
      </x:c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5" t="str">
        <x:v>ORD-00326</x:v>
      </x:c>
      <x:c r="B385" s="43" t="n">
        <x:v>46072</x:v>
      </x:c>
      <x:c r="C385" s="5" t="str">
        <x:v>CUST-0270</x:v>
      </x:c>
      <x:c r="D385" s="5" t="str">
        <x:v>FD005</x:v>
      </x:c>
      <x:c r="E385" s="5" t="str">
        <x:v>Yam Porridge</x:v>
      </x:c>
      <x:c r="F385" s="5" t="str">
        <x:v>Traditional Meals</x:v>
      </x:c>
      <x:c r="G385" s="44" t="n">
        <x:v>2</x:v>
      </x:c>
      <x:c r="H385" s="45" t="n">
        <x:v>2200</x:v>
      </x:c>
      <x:c r="I385" s="46" t="n">
        <x:v>0.05</x:v>
      </x:c>
      <x:c r="J385" s="47" t="n">
        <x:f>G385*H385*(1-I385)</x:f>
        <x:v>4180</x:v>
      </x:c>
      <x:c r="K385" s="47" t="n">
        <x:v>1050</x:v>
      </x:c>
      <x:c r="L385" s="47" t="n">
        <x:f>G385*K385</x:f>
        <x:v>2100</x:v>
      </x:c>
      <x:c r="M385" s="47" t="n">
        <x:f>J385-L385</x:f>
        <x:v>2080</x:v>
      </x:c>
      <x:c r="N385" s="5" t="str">
        <x:v>Takeaway</x:v>
      </x:c>
      <x:c r="O385" s="5" t="str">
        <x:v>Transfer</x:v>
      </x:c>
      <x:c r="P385" s="5" t="str">
        <x:v>Lunch</x:v>
      </x:c>
      <x:c r="Q385" s="48" t="n">
        <x:v>15</x:v>
      </x:c>
      <x:c r="R385" s="5" t="n">
        <x:v>4</x:v>
      </x:c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5" t="str">
        <x:v>ORD-00133</x:v>
      </x:c>
      <x:c r="B386" s="43" t="n">
        <x:v>46073</x:v>
      </x:c>
      <x:c r="C386" s="5" t="str">
        <x:v>CUST-0380</x:v>
      </x:c>
      <x:c r="D386" s="5" t="str">
        <x:v>FD003</x:v>
      </x:c>
      <x:c r="E386" s="5" t="str">
        <x:v>Fried Rice &amp; Chicken</x:v>
      </x:c>
      <x:c r="F386" s="5" t="str">
        <x:v>Rice Meals</x:v>
      </x:c>
      <x:c r="G386" s="44" t="n">
        <x:v>2</x:v>
      </x:c>
      <x:c r="H386" s="45" t="n">
        <x:v>3000</x:v>
      </x:c>
      <x:c r="I386" s="46" t="n">
        <x:v>0</x:v>
      </x:c>
      <x:c r="J386" s="47" t="n">
        <x:f>G386*H386*(1-I386)</x:f>
        <x:v>6000</x:v>
      </x:c>
      <x:c r="K386" s="47" t="n">
        <x:v>1580</x:v>
      </x:c>
      <x:c r="L386" s="47" t="n">
        <x:f>G386*K386</x:f>
        <x:v>3160</x:v>
      </x:c>
      <x:c r="M386" s="47" t="n">
        <x:f>J386-L386</x:f>
        <x:v>2840</x:v>
      </x:c>
      <x:c r="N386" s="5" t="str">
        <x:v>Takeaway</x:v>
      </x:c>
      <x:c r="O386" s="5" t="str">
        <x:v>Transfer</x:v>
      </x:c>
      <x:c r="P386" s="5" t="str">
        <x:v>Breakfast</x:v>
      </x:c>
      <x:c r="Q386" s="48" t="n">
        <x:v>9</x:v>
      </x:c>
      <x:c r="R386" s="5" t="n">
        <x:v>3</x:v>
      </x:c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5" t="str">
        <x:v>ORD-00178</x:v>
      </x:c>
      <x:c r="B387" s="43" t="n">
        <x:v>46073</x:v>
      </x:c>
      <x:c r="C387" s="5" t="str">
        <x:v>CUST-0321</x:v>
      </x:c>
      <x:c r="D387" s="5" t="str">
        <x:v>FD003</x:v>
      </x:c>
      <x:c r="E387" s="5" t="str">
        <x:v>Fried Rice &amp; Chicken</x:v>
      </x:c>
      <x:c r="F387" s="5" t="str">
        <x:v>Rice Meals</x:v>
      </x:c>
      <x:c r="G387" s="44" t="n">
        <x:v>3</x:v>
      </x:c>
      <x:c r="H387" s="45" t="n">
        <x:v>3000</x:v>
      </x:c>
      <x:c r="I387" s="46" t="n">
        <x:v>0</x:v>
      </x:c>
      <x:c r="J387" s="47" t="n">
        <x:f>G387*H387*(1-I387)</x:f>
        <x:v>9000</x:v>
      </x:c>
      <x:c r="K387" s="47" t="n">
        <x:v>1580</x:v>
      </x:c>
      <x:c r="L387" s="47" t="n">
        <x:f>G387*K387</x:f>
        <x:v>4740</x:v>
      </x:c>
      <x:c r="M387" s="47" t="n">
        <x:f>J387-L387</x:f>
        <x:v>4260</x:v>
      </x:c>
      <x:c r="N387" s="5" t="str">
        <x:v>Walk-in</x:v>
      </x:c>
      <x:c r="O387" s="5" t="str">
        <x:v>Cash</x:v>
      </x:c>
      <x:c r="P387" s="5" t="str">
        <x:v>Lunch</x:v>
      </x:c>
      <x:c r="Q387" s="48" t="n">
        <x:v>12</x:v>
      </x:c>
      <x:c r="R387" s="5" t="n">
        <x:v>5</x:v>
      </x:c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5" t="str">
        <x:v>ORD-00200</x:v>
      </x:c>
      <x:c r="B388" s="43" t="n">
        <x:v>46073</x:v>
      </x:c>
      <x:c r="C388" s="5" t="str">
        <x:v>CUST-0451</x:v>
      </x:c>
      <x:c r="D388" s="5" t="str">
        <x:v>FD007</x:v>
      </x:c>
      <x:c r="E388" s="5" t="str">
        <x:v>Amala &amp; Ewedu</x:v>
      </x:c>
      <x:c r="F388" s="5" t="str">
        <x:v>Swallow</x:v>
      </x:c>
      <x:c r="G388" s="44" t="n">
        <x:v>1</x:v>
      </x:c>
      <x:c r="H388" s="45" t="n">
        <x:v>2500</x:v>
      </x:c>
      <x:c r="I388" s="46" t="n">
        <x:v>0</x:v>
      </x:c>
      <x:c r="J388" s="47" t="n">
        <x:f>G388*H388*(1-I388)</x:f>
        <x:v>2500</x:v>
      </x:c>
      <x:c r="K388" s="47" t="n">
        <x:v>1250</x:v>
      </x:c>
      <x:c r="L388" s="47" t="n">
        <x:f>G388*K388</x:f>
        <x:v>1250</x:v>
      </x:c>
      <x:c r="M388" s="47" t="n">
        <x:f>J388-L388</x:f>
        <x:v>1250</x:v>
      </x:c>
      <x:c r="N388" s="5" t="str">
        <x:v>Walk-in</x:v>
      </x:c>
      <x:c r="O388" s="5" t="str">
        <x:v>Cash</x:v>
      </x:c>
      <x:c r="P388" s="5" t="str">
        <x:v>Dinner</x:v>
      </x:c>
      <x:c r="Q388" s="48" t="n">
        <x:v>20</x:v>
      </x:c>
      <x:c r="R388" s="5" t="n">
        <x:v>4</x:v>
      </x:c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5" t="str">
        <x:v>ORD-00386</x:v>
      </x:c>
      <x:c r="B389" s="43" t="n">
        <x:v>46073</x:v>
      </x:c>
      <x:c r="C389" s="5" t="str">
        <x:v>CUST-0319</x:v>
      </x:c>
      <x:c r="D389" s="5" t="str">
        <x:v>FD001</x:v>
      </x:c>
      <x:c r="E389" s="5" t="str">
        <x:v>White Rice &amp; Stew</x:v>
      </x:c>
      <x:c r="F389" s="5" t="str">
        <x:v>Rice Meals</x:v>
      </x:c>
      <x:c r="G389" s="44" t="n">
        <x:v>4</x:v>
      </x:c>
      <x:c r="H389" s="45" t="n">
        <x:v>1800</x:v>
      </x:c>
      <x:c r="I389" s="46" t="n">
        <x:v>0</x:v>
      </x:c>
      <x:c r="J389" s="47" t="n">
        <x:f>G389*H389*(1-I389)</x:f>
        <x:v>7200</x:v>
      </x:c>
      <x:c r="K389" s="47" t="n">
        <x:v>820</x:v>
      </x:c>
      <x:c r="L389" s="47" t="n">
        <x:f>G389*K389</x:f>
        <x:v>3280</x:v>
      </x:c>
      <x:c r="M389" s="47" t="n">
        <x:f>J389-L389</x:f>
        <x:v>3920</x:v>
      </x:c>
      <x:c r="N389" s="5" t="str">
        <x:v>Walk-in</x:v>
      </x:c>
      <x:c r="O389" s="5" t="str">
        <x:v>Cash</x:v>
      </x:c>
      <x:c r="P389" s="5" t="str">
        <x:v>Lunch</x:v>
      </x:c>
      <x:c r="Q389" s="48" t="n">
        <x:v>13</x:v>
      </x:c>
      <x:c r="R389" s="5" t="n">
        <x:v>5</x:v>
      </x:c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5" t="str">
        <x:v>ORD-00508</x:v>
      </x:c>
      <x:c r="B390" s="43" t="n">
        <x:v>46073</x:v>
      </x:c>
      <x:c r="C390" s="5" t="str">
        <x:v>CUST-0526</x:v>
      </x:c>
      <x:c r="D390" s="5" t="str">
        <x:v>FD004</x:v>
      </x:c>
      <x:c r="E390" s="5" t="str">
        <x:v>Beans &amp; Plantain</x:v>
      </x:c>
      <x:c r="F390" s="5" t="str">
        <x:v>Traditional Meals</x:v>
      </x:c>
      <x:c r="G390" s="44" t="n">
        <x:v>3</x:v>
      </x:c>
      <x:c r="H390" s="45" t="n">
        <x:v>2000</x:v>
      </x:c>
      <x:c r="I390" s="46" t="n">
        <x:v>0.05</x:v>
      </x:c>
      <x:c r="J390" s="47" t="n">
        <x:f>G390*H390*(1-I390)</x:f>
        <x:v>5700</x:v>
      </x:c>
      <x:c r="K390" s="47" t="n">
        <x:v>960</x:v>
      </x:c>
      <x:c r="L390" s="47" t="n">
        <x:f>G390*K390</x:f>
        <x:v>2880</x:v>
      </x:c>
      <x:c r="M390" s="47" t="n">
        <x:f>J390-L390</x:f>
        <x:v>2820</x:v>
      </x:c>
      <x:c r="N390" s="5" t="str">
        <x:v>Walk-in</x:v>
      </x:c>
      <x:c r="O390" s="5" t="str">
        <x:v>Cash</x:v>
      </x:c>
      <x:c r="P390" s="5" t="str">
        <x:v>Dinner</x:v>
      </x:c>
      <x:c r="Q390" s="48" t="n">
        <x:v>18</x:v>
      </x:c>
      <x:c r="R390" s="5" t="n">
        <x:v>4</x:v>
      </x:c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5" t="str">
        <x:v>ORD-01272</x:v>
      </x:c>
      <x:c r="B391" s="43" t="n">
        <x:v>46073</x:v>
      </x:c>
      <x:c r="C391" s="5" t="str">
        <x:v>CUST-0159</x:v>
      </x:c>
      <x:c r="D391" s="5" t="str">
        <x:v>FD008</x:v>
      </x:c>
      <x:c r="E391" s="5" t="str">
        <x:v>Pounded Yam &amp; Vegetable Soup</x:v>
      </x:c>
      <x:c r="F391" s="5" t="str">
        <x:v>Swallow</x:v>
      </x:c>
      <x:c r="G391" s="44" t="n">
        <x:v>2</x:v>
      </x:c>
      <x:c r="H391" s="45" t="n">
        <x:v>3200</x:v>
      </x:c>
      <x:c r="I391" s="46" t="n">
        <x:v>0</x:v>
      </x:c>
      <x:c r="J391" s="47" t="n">
        <x:f>G391*H391*(1-I391)</x:f>
        <x:v>6400</x:v>
      </x:c>
      <x:c r="K391" s="47" t="n">
        <x:v>1710</x:v>
      </x:c>
      <x:c r="L391" s="47" t="n">
        <x:f>G391*K391</x:f>
        <x:v>3420</x:v>
      </x:c>
      <x:c r="M391" s="47" t="n">
        <x:f>J391-L391</x:f>
        <x:v>2980</x:v>
      </x:c>
      <x:c r="N391" s="5" t="str">
        <x:v>Walk-in</x:v>
      </x:c>
      <x:c r="O391" s="5" t="str">
        <x:v>Cash</x:v>
      </x:c>
      <x:c r="P391" s="5" t="str">
        <x:v>Lunch</x:v>
      </x:c>
      <x:c r="Q391" s="48" t="n">
        <x:v>11</x:v>
      </x:c>
      <x:c r="R391" s="5" t="n">
        <x:v>4</x:v>
      </x:c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5" t="str">
        <x:v>ORD-00270</x:v>
      </x:c>
      <x:c r="B392" s="43" t="n">
        <x:v>46074</x:v>
      </x:c>
      <x:c r="C392" s="5" t="str">
        <x:v>CUST-0374</x:v>
      </x:c>
      <x:c r="D392" s="5" t="str">
        <x:v>FD001</x:v>
      </x:c>
      <x:c r="E392" s="5" t="str">
        <x:v>White Rice &amp; Stew</x:v>
      </x:c>
      <x:c r="F392" s="5" t="str">
        <x:v>Rice Meals</x:v>
      </x:c>
      <x:c r="G392" s="44" t="n">
        <x:v>3</x:v>
      </x:c>
      <x:c r="H392" s="45" t="n">
        <x:v>1800</x:v>
      </x:c>
      <x:c r="I392" s="46" t="n">
        <x:v>0</x:v>
      </x:c>
      <x:c r="J392" s="47" t="n">
        <x:f>G392*H392*(1-I392)</x:f>
        <x:v>5400</x:v>
      </x:c>
      <x:c r="K392" s="47" t="n">
        <x:v>820</x:v>
      </x:c>
      <x:c r="L392" s="47" t="n">
        <x:f>G392*K392</x:f>
        <x:v>2460</x:v>
      </x:c>
      <x:c r="M392" s="47" t="n">
        <x:f>J392-L392</x:f>
        <x:v>2940</x:v>
      </x:c>
      <x:c r="N392" s="5" t="str">
        <x:v>Takeaway</x:v>
      </x:c>
      <x:c r="O392" s="5" t="str">
        <x:v>Transfer</x:v>
      </x:c>
      <x:c r="P392" s="5" t="str">
        <x:v>Lunch</x:v>
      </x:c>
      <x:c r="Q392" s="48" t="n">
        <x:v>15</x:v>
      </x:c>
      <x:c r="R392" s="5" t="n">
        <x:v>3</x:v>
      </x:c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5" t="str">
        <x:v>ORD-00370</x:v>
      </x:c>
      <x:c r="B393" s="43" t="n">
        <x:v>46074</x:v>
      </x:c>
      <x:c r="C393" s="5" t="str">
        <x:v>CUST-0288</x:v>
      </x:c>
      <x:c r="D393" s="5" t="str">
        <x:v>FD003</x:v>
      </x:c>
      <x:c r="E393" s="5" t="str">
        <x:v>Fried Rice &amp; Chicken</x:v>
      </x:c>
      <x:c r="F393" s="5" t="str">
        <x:v>Rice Meals</x:v>
      </x:c>
      <x:c r="G393" s="44" t="n">
        <x:v>4</x:v>
      </x:c>
      <x:c r="H393" s="45" t="n">
        <x:v>3000</x:v>
      </x:c>
      <x:c r="I393" s="46" t="n">
        <x:v>0</x:v>
      </x:c>
      <x:c r="J393" s="47" t="n">
        <x:f>G393*H393*(1-I393)</x:f>
        <x:v>12000</x:v>
      </x:c>
      <x:c r="K393" s="47" t="n">
        <x:v>1580</x:v>
      </x:c>
      <x:c r="L393" s="47" t="n">
        <x:f>G393*K393</x:f>
        <x:v>6320</x:v>
      </x:c>
      <x:c r="M393" s="47" t="n">
        <x:f>J393-L393</x:f>
        <x:v>5680</x:v>
      </x:c>
      <x:c r="N393" s="5" t="str">
        <x:v>Walk-in</x:v>
      </x:c>
      <x:c r="O393" s="5" t="str">
        <x:v>Transfer</x:v>
      </x:c>
      <x:c r="P393" s="5" t="str">
        <x:v>Dinner</x:v>
      </x:c>
      <x:c r="Q393" s="48" t="n">
        <x:v>20</x:v>
      </x:c>
      <x:c r="R393" s="5" t="n">
        <x:v>4</x:v>
      </x:c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5" t="str">
        <x:v>ORD-00450</x:v>
      </x:c>
      <x:c r="B394" s="43" t="n">
        <x:v>46074</x:v>
      </x:c>
      <x:c r="C394" s="5" t="str">
        <x:v>CUST-0191</x:v>
      </x:c>
      <x:c r="D394" s="5" t="str">
        <x:v>FD003</x:v>
      </x:c>
      <x:c r="E394" s="5" t="str">
        <x:v>Fried Rice &amp; Chicken</x:v>
      </x:c>
      <x:c r="F394" s="5" t="str">
        <x:v>Rice Meals</x:v>
      </x:c>
      <x:c r="G394" s="44" t="n">
        <x:v>2</x:v>
      </x:c>
      <x:c r="H394" s="45" t="n">
        <x:v>3000</x:v>
      </x:c>
      <x:c r="I394" s="46" t="n">
        <x:v>0</x:v>
      </x:c>
      <x:c r="J394" s="47" t="n">
        <x:f>G394*H394*(1-I394)</x:f>
        <x:v>6000</x:v>
      </x:c>
      <x:c r="K394" s="47" t="n">
        <x:v>1580</x:v>
      </x:c>
      <x:c r="L394" s="47" t="n">
        <x:f>G394*K394</x:f>
        <x:v>3160</x:v>
      </x:c>
      <x:c r="M394" s="47" t="n">
        <x:f>J394-L394</x:f>
        <x:v>2840</x:v>
      </x:c>
      <x:c r="N394" s="5" t="str">
        <x:v>Walk-in</x:v>
      </x:c>
      <x:c r="O394" s="5" t="str">
        <x:v>POS</x:v>
      </x:c>
      <x:c r="P394" s="5" t="str">
        <x:v>Lunch</x:v>
      </x:c>
      <x:c r="Q394" s="48" t="n">
        <x:v>12</x:v>
      </x:c>
      <x:c r="R394" s="5" t="n">
        <x:v>5</x:v>
      </x:c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5" t="str">
        <x:v>ORD-00753</x:v>
      </x:c>
      <x:c r="B395" s="43" t="n">
        <x:v>46074</x:v>
      </x:c>
      <x:c r="C395" s="5" t="str">
        <x:v>CUST-0256</x:v>
      </x:c>
      <x:c r="D395" s="5" t="str">
        <x:v>FD007</x:v>
      </x:c>
      <x:c r="E395" s="5" t="str">
        <x:v>Amala &amp; Ewedu</x:v>
      </x:c>
      <x:c r="F395" s="5" t="str">
        <x:v>Swallow</x:v>
      </x:c>
      <x:c r="G395" s="44" t="n">
        <x:v>4</x:v>
      </x:c>
      <x:c r="H395" s="45" t="n">
        <x:v>2500</x:v>
      </x:c>
      <x:c r="I395" s="46" t="n">
        <x:v>0.1</x:v>
      </x:c>
      <x:c r="J395" s="47" t="n">
        <x:f>G395*H395*(1-I395)</x:f>
        <x:v>9000</x:v>
      </x:c>
      <x:c r="K395" s="47" t="n">
        <x:v>1250</x:v>
      </x:c>
      <x:c r="L395" s="47" t="n">
        <x:f>G395*K395</x:f>
        <x:v>5000</x:v>
      </x:c>
      <x:c r="M395" s="47" t="n">
        <x:f>J395-L395</x:f>
        <x:v>4000</x:v>
      </x:c>
      <x:c r="N395" s="5" t="str">
        <x:v>Walk-in</x:v>
      </x:c>
      <x:c r="O395" s="5" t="str">
        <x:v>Cash</x:v>
      </x:c>
      <x:c r="P395" s="5" t="str">
        <x:v>Lunch</x:v>
      </x:c>
      <x:c r="Q395" s="48" t="n">
        <x:v>11</x:v>
      </x:c>
      <x:c r="R395" s="5" t="n">
        <x:v>4</x:v>
      </x:c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5" t="str">
        <x:v>ORD-00807</x:v>
      </x:c>
      <x:c r="B396" s="43" t="n">
        <x:v>46074</x:v>
      </x:c>
      <x:c r="C396" s="5" t="str">
        <x:v>CUST-0175</x:v>
      </x:c>
      <x:c r="D396" s="5" t="str">
        <x:v>FD001</x:v>
      </x:c>
      <x:c r="E396" s="5" t="str">
        <x:v>White Rice &amp; Stew</x:v>
      </x:c>
      <x:c r="F396" s="5" t="str">
        <x:v>Rice Meals</x:v>
      </x:c>
      <x:c r="G396" s="44" t="n">
        <x:v>2</x:v>
      </x:c>
      <x:c r="H396" s="45" t="n">
        <x:v>1800</x:v>
      </x:c>
      <x:c r="I396" s="46" t="n">
        <x:v>0</x:v>
      </x:c>
      <x:c r="J396" s="47" t="n">
        <x:f>G396*H396*(1-I396)</x:f>
        <x:v>3600</x:v>
      </x:c>
      <x:c r="K396" s="47" t="n">
        <x:v>820</x:v>
      </x:c>
      <x:c r="L396" s="47" t="n">
        <x:f>G396*K396</x:f>
        <x:v>1640</x:v>
      </x:c>
      <x:c r="M396" s="47" t="n">
        <x:f>J396-L396</x:f>
        <x:v>1960</x:v>
      </x:c>
      <x:c r="N396" s="5" t="str">
        <x:v>Walk-in</x:v>
      </x:c>
      <x:c r="O396" s="5" t="str">
        <x:v>Transfer</x:v>
      </x:c>
      <x:c r="P396" s="5" t="str">
        <x:v>Lunch</x:v>
      </x:c>
      <x:c r="Q396" s="48" t="n">
        <x:v>13</x:v>
      </x:c>
      <x:c r="R396" s="5" t="n">
        <x:v>4</x:v>
      </x:c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5" t="str">
        <x:v>ORD-01010</x:v>
      </x:c>
      <x:c r="B397" s="43" t="n">
        <x:v>46074</x:v>
      </x:c>
      <x:c r="C397" s="5" t="str">
        <x:v>CUST-0287</x:v>
      </x:c>
      <x:c r="D397" s="5" t="str">
        <x:v>FD001</x:v>
      </x:c>
      <x:c r="E397" s="5" t="str">
        <x:v>White Rice &amp; Stew</x:v>
      </x:c>
      <x:c r="F397" s="5" t="str">
        <x:v>Rice Meals</x:v>
      </x:c>
      <x:c r="G397" s="44" t="n">
        <x:v>2</x:v>
      </x:c>
      <x:c r="H397" s="45" t="n">
        <x:v>1800</x:v>
      </x:c>
      <x:c r="I397" s="46" t="n">
        <x:v>0</x:v>
      </x:c>
      <x:c r="J397" s="47" t="n">
        <x:f>G397*H397*(1-I397)</x:f>
        <x:v>3600</x:v>
      </x:c>
      <x:c r="K397" s="47" t="n">
        <x:v>820</x:v>
      </x:c>
      <x:c r="L397" s="47" t="n">
        <x:f>G397*K397</x:f>
        <x:v>1640</x:v>
      </x:c>
      <x:c r="M397" s="47" t="n">
        <x:f>J397-L397</x:f>
        <x:v>1960</x:v>
      </x:c>
      <x:c r="N397" s="5" t="str">
        <x:v>Delivery</x:v>
      </x:c>
      <x:c r="O397" s="5" t="str">
        <x:v>Transfer</x:v>
      </x:c>
      <x:c r="P397" s="5" t="str">
        <x:v>Lunch</x:v>
      </x:c>
      <x:c r="Q397" s="48" t="n">
        <x:v>15</x:v>
      </x:c>
      <x:c r="R397" s="5" t="n">
        <x:v>3</x:v>
      </x:c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5" t="str">
        <x:v>ORD-01206</x:v>
      </x:c>
      <x:c r="B398" s="43" t="n">
        <x:v>46074</x:v>
      </x:c>
      <x:c r="C398" s="5" t="str">
        <x:v>CUST-0575</x:v>
      </x:c>
      <x:c r="D398" s="5" t="str">
        <x:v>FD001</x:v>
      </x:c>
      <x:c r="E398" s="5" t="str">
        <x:v>White Rice &amp; Stew</x:v>
      </x:c>
      <x:c r="F398" s="5" t="str">
        <x:v>Rice Meals</x:v>
      </x:c>
      <x:c r="G398" s="44" t="n">
        <x:v>2</x:v>
      </x:c>
      <x:c r="H398" s="45" t="n">
        <x:v>1800</x:v>
      </x:c>
      <x:c r="I398" s="46" t="n">
        <x:v>0</x:v>
      </x:c>
      <x:c r="J398" s="47" t="n">
        <x:f>G398*H398*(1-I398)</x:f>
        <x:v>3600</x:v>
      </x:c>
      <x:c r="K398" s="47" t="n">
        <x:v>820</x:v>
      </x:c>
      <x:c r="L398" s="47" t="n">
        <x:f>G398*K398</x:f>
        <x:v>1640</x:v>
      </x:c>
      <x:c r="M398" s="47" t="n">
        <x:f>J398-L398</x:f>
        <x:v>1960</x:v>
      </x:c>
      <x:c r="N398" s="5" t="str">
        <x:v>Delivery</x:v>
      </x:c>
      <x:c r="O398" s="5" t="str">
        <x:v>Cash</x:v>
      </x:c>
      <x:c r="P398" s="5" t="str">
        <x:v>Dinner</x:v>
      </x:c>
      <x:c r="Q398" s="48" t="n">
        <x:v>18</x:v>
      </x:c>
      <x:c r="R398" s="5" t="n">
        <x:v>3</x:v>
      </x:c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5" t="str">
        <x:v>ORD-01267</x:v>
      </x:c>
      <x:c r="B399" s="43" t="n">
        <x:v>46074</x:v>
      </x:c>
      <x:c r="C399" s="5" t="str">
        <x:v>CUST-0331</x:v>
      </x:c>
      <x:c r="D399" s="5" t="str">
        <x:v>FD006</x:v>
      </x:c>
      <x:c r="E399" s="5" t="str">
        <x:v>Eba &amp; Egusi Soup</x:v>
      </x:c>
      <x:c r="F399" s="5" t="str">
        <x:v>Swallow</x:v>
      </x:c>
      <x:c r="G399" s="44" t="n">
        <x:v>4</x:v>
      </x:c>
      <x:c r="H399" s="45" t="n">
        <x:v>2600</x:v>
      </x:c>
      <x:c r="I399" s="46" t="n">
        <x:v>0</x:v>
      </x:c>
      <x:c r="J399" s="47" t="n">
        <x:f>G399*H399*(1-I399)</x:f>
        <x:v>10400</x:v>
      </x:c>
      <x:c r="K399" s="47" t="n">
        <x:v>1320</x:v>
      </x:c>
      <x:c r="L399" s="47" t="n">
        <x:f>G399*K399</x:f>
        <x:v>5280</x:v>
      </x:c>
      <x:c r="M399" s="47" t="n">
        <x:f>J399-L399</x:f>
        <x:v>5120</x:v>
      </x:c>
      <x:c r="N399" s="5" t="str">
        <x:v>Delivery</x:v>
      </x:c>
      <x:c r="O399" s="5" t="str">
        <x:v>Cash</x:v>
      </x:c>
      <x:c r="P399" s="5" t="str">
        <x:v>Breakfast</x:v>
      </x:c>
      <x:c r="Q399" s="48" t="n">
        <x:v>10</x:v>
      </x:c>
      <x:c r="R399" s="5" t="n">
        <x:v>5</x:v>
      </x:c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5" t="str">
        <x:v>ORD-01396</x:v>
      </x:c>
      <x:c r="B400" s="43" t="n">
        <x:v>46074</x:v>
      </x:c>
      <x:c r="C400" s="5" t="str">
        <x:v>CUST-0359</x:v>
      </x:c>
      <x:c r="D400" s="5" t="str">
        <x:v>FD003</x:v>
      </x:c>
      <x:c r="E400" s="5" t="str">
        <x:v>Fried Rice &amp; Chicken</x:v>
      </x:c>
      <x:c r="F400" s="5" t="str">
        <x:v>Rice Meals</x:v>
      </x:c>
      <x:c r="G400" s="44" t="n">
        <x:v>4</x:v>
      </x:c>
      <x:c r="H400" s="45" t="n">
        <x:v>3000</x:v>
      </x:c>
      <x:c r="I400" s="46" t="n">
        <x:v>0</x:v>
      </x:c>
      <x:c r="J400" s="47" t="n">
        <x:f>G400*H400*(1-I400)</x:f>
        <x:v>12000</x:v>
      </x:c>
      <x:c r="K400" s="47" t="n">
        <x:v>1580</x:v>
      </x:c>
      <x:c r="L400" s="47" t="n">
        <x:f>G400*K400</x:f>
        <x:v>6320</x:v>
      </x:c>
      <x:c r="M400" s="47" t="n">
        <x:f>J400-L400</x:f>
        <x:v>5680</x:v>
      </x:c>
      <x:c r="N400" s="5" t="str">
        <x:v>Delivery</x:v>
      </x:c>
      <x:c r="O400" s="5" t="str">
        <x:v>Transfer</x:v>
      </x:c>
      <x:c r="P400" s="5" t="str">
        <x:v>Dinner</x:v>
      </x:c>
      <x:c r="Q400" s="48" t="n">
        <x:v>16</x:v>
      </x:c>
      <x:c r="R400" s="5" t="n">
        <x:v>5</x:v>
      </x:c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5" t="str">
        <x:v>ORD-01768</x:v>
      </x:c>
      <x:c r="B401" s="43" t="n">
        <x:v>46074</x:v>
      </x:c>
      <x:c r="C401" s="5" t="str">
        <x:v>CUST-0476</x:v>
      </x:c>
      <x:c r="D401" s="5" t="str">
        <x:v>FD009</x:v>
      </x:c>
      <x:c r="E401" s="5" t="str">
        <x:v>Moi Moi</x:v>
      </x:c>
      <x:c r="F401" s="5" t="str">
        <x:v>Sides</x:v>
      </x:c>
      <x:c r="G401" s="44" t="n">
        <x:v>3</x:v>
      </x:c>
      <x:c r="H401" s="45" t="n">
        <x:v>900</x:v>
      </x:c>
      <x:c r="I401" s="46" t="n">
        <x:v>0</x:v>
      </x:c>
      <x:c r="J401" s="47" t="n">
        <x:f>G401*H401*(1-I401)</x:f>
        <x:v>2700</x:v>
      </x:c>
      <x:c r="K401" s="47" t="n">
        <x:v>380</x:v>
      </x:c>
      <x:c r="L401" s="47" t="n">
        <x:f>G401*K401</x:f>
        <x:v>1140</x:v>
      </x:c>
      <x:c r="M401" s="47" t="n">
        <x:f>J401-L401</x:f>
        <x:v>1560</x:v>
      </x:c>
      <x:c r="N401" s="5" t="str">
        <x:v>Walk-in</x:v>
      </x:c>
      <x:c r="O401" s="5" t="str">
        <x:v>Cash</x:v>
      </x:c>
      <x:c r="P401" s="5" t="str">
        <x:v>Dinner</x:v>
      </x:c>
      <x:c r="Q401" s="48" t="n">
        <x:v>20</x:v>
      </x:c>
      <x:c r="R401" s="5" t="n">
        <x:v>4</x:v>
      </x:c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5" t="str">
        <x:v>ORD-00249</x:v>
      </x:c>
      <x:c r="B402" s="43" t="n">
        <x:v>46075</x:v>
      </x:c>
      <x:c r="C402" s="5" t="str">
        <x:v>CUST-0638</x:v>
      </x:c>
      <x:c r="D402" s="5" t="str">
        <x:v>FD005</x:v>
      </x:c>
      <x:c r="E402" s="5" t="str">
        <x:v>Yam Porridge</x:v>
      </x:c>
      <x:c r="F402" s="5" t="str">
        <x:v>Traditional Meals</x:v>
      </x:c>
      <x:c r="G402" s="44" t="n">
        <x:v>3</x:v>
      </x:c>
      <x:c r="H402" s="45" t="n">
        <x:v>2200</x:v>
      </x:c>
      <x:c r="I402" s="46" t="n">
        <x:v>0</x:v>
      </x:c>
      <x:c r="J402" s="47" t="n">
        <x:f>G402*H402*(1-I402)</x:f>
        <x:v>6600</x:v>
      </x:c>
      <x:c r="K402" s="47" t="n">
        <x:v>1050</x:v>
      </x:c>
      <x:c r="L402" s="47" t="n">
        <x:f>G402*K402</x:f>
        <x:v>3150</x:v>
      </x:c>
      <x:c r="M402" s="47" t="n">
        <x:f>J402-L402</x:f>
        <x:v>3450</x:v>
      </x:c>
      <x:c r="N402" s="5" t="str">
        <x:v>Takeaway</x:v>
      </x:c>
      <x:c r="O402" s="5" t="str">
        <x:v>Transfer</x:v>
      </x:c>
      <x:c r="P402" s="5" t="str">
        <x:v>Lunch</x:v>
      </x:c>
      <x:c r="Q402" s="48" t="n">
        <x:v>11</x:v>
      </x:c>
      <x:c r="R402" s="5" t="n">
        <x:v>5</x:v>
      </x:c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5" t="str">
        <x:v>ORD-00267</x:v>
      </x:c>
      <x:c r="B403" s="43" t="n">
        <x:v>46075</x:v>
      </x:c>
      <x:c r="C403" s="5" t="str">
        <x:v>CUST-0063</x:v>
      </x:c>
      <x:c r="D403" s="5" t="str">
        <x:v>FD002</x:v>
      </x:c>
      <x:c r="E403" s="5" t="str">
        <x:v>Jollof Rice &amp; Chicken</x:v>
      </x:c>
      <x:c r="F403" s="5" t="str">
        <x:v>Rice Meals</x:v>
      </x:c>
      <x:c r="G403" s="44" t="n">
        <x:v>3</x:v>
      </x:c>
      <x:c r="H403" s="45" t="n">
        <x:v>2800</x:v>
      </x:c>
      <x:c r="I403" s="46" t="n">
        <x:v>0</x:v>
      </x:c>
      <x:c r="J403" s="47" t="n">
        <x:f>G403*H403*(1-I403)</x:f>
        <x:v>8400</x:v>
      </x:c>
      <x:c r="K403" s="47" t="n">
        <x:v>1450</x:v>
      </x:c>
      <x:c r="L403" s="47" t="n">
        <x:f>G403*K403</x:f>
        <x:v>4350</x:v>
      </x:c>
      <x:c r="M403" s="47" t="n">
        <x:f>J403-L403</x:f>
        <x:v>4050</x:v>
      </x:c>
      <x:c r="N403" s="5" t="str">
        <x:v>Walk-in</x:v>
      </x:c>
      <x:c r="O403" s="5" t="str">
        <x:v>POS</x:v>
      </x:c>
      <x:c r="P403" s="5" t="str">
        <x:v>Dinner</x:v>
      </x:c>
      <x:c r="Q403" s="48" t="n">
        <x:v>18</x:v>
      </x:c>
      <x:c r="R403" s="5" t="n">
        <x:v>5</x:v>
      </x:c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5" t="str">
        <x:v>ORD-00488</x:v>
      </x:c>
      <x:c r="B404" s="43" t="n">
        <x:v>46075</x:v>
      </x:c>
      <x:c r="C404" s="5" t="str">
        <x:v>CUST-0189</x:v>
      </x:c>
      <x:c r="D404" s="5" t="str">
        <x:v>FD006</x:v>
      </x:c>
      <x:c r="E404" s="5" t="str">
        <x:v>Eba &amp; Egusi Soup</x:v>
      </x:c>
      <x:c r="F404" s="5" t="str">
        <x:v>Swallow</x:v>
      </x:c>
      <x:c r="G404" s="44" t="n">
        <x:v>1</x:v>
      </x:c>
      <x:c r="H404" s="45" t="n">
        <x:v>2600</x:v>
      </x:c>
      <x:c r="I404" s="46" t="n">
        <x:v>0</x:v>
      </x:c>
      <x:c r="J404" s="47" t="n">
        <x:f>G404*H404*(1-I404)</x:f>
        <x:v>2600</x:v>
      </x:c>
      <x:c r="K404" s="47" t="n">
        <x:v>1320</x:v>
      </x:c>
      <x:c r="L404" s="47" t="n">
        <x:f>G404*K404</x:f>
        <x:v>1320</x:v>
      </x:c>
      <x:c r="M404" s="47" t="n">
        <x:f>J404-L404</x:f>
        <x:v>1280</x:v>
      </x:c>
      <x:c r="N404" s="5" t="str">
        <x:v>Delivery</x:v>
      </x:c>
      <x:c r="O404" s="5" t="str">
        <x:v>Transfer</x:v>
      </x:c>
      <x:c r="P404" s="5" t="str">
        <x:v>Dinner</x:v>
      </x:c>
      <x:c r="Q404" s="48" t="n">
        <x:v>16</x:v>
      </x:c>
      <x:c r="R404" s="5" t="n">
        <x:v>5</x:v>
      </x:c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5" t="str">
        <x:v>ORD-00639</x:v>
      </x:c>
      <x:c r="B405" s="43" t="n">
        <x:v>46075</x:v>
      </x:c>
      <x:c r="C405" s="5" t="str">
        <x:v>CUST-0316</x:v>
      </x:c>
      <x:c r="D405" s="5" t="str">
        <x:v>FD006</x:v>
      </x:c>
      <x:c r="E405" s="5" t="str">
        <x:v>Eba &amp; Egusi Soup</x:v>
      </x:c>
      <x:c r="F405" s="5" t="str">
        <x:v>Swallow</x:v>
      </x:c>
      <x:c r="G405" s="44" t="n">
        <x:v>2</x:v>
      </x:c>
      <x:c r="H405" s="45" t="n">
        <x:v>2600</x:v>
      </x:c>
      <x:c r="I405" s="46" t="n">
        <x:v>0</x:v>
      </x:c>
      <x:c r="J405" s="47" t="n">
        <x:f>G405*H405*(1-I405)</x:f>
        <x:v>5200</x:v>
      </x:c>
      <x:c r="K405" s="47" t="n">
        <x:v>1320</x:v>
      </x:c>
      <x:c r="L405" s="47" t="n">
        <x:f>G405*K405</x:f>
        <x:v>2640</x:v>
      </x:c>
      <x:c r="M405" s="47" t="n">
        <x:f>J405-L405</x:f>
        <x:v>2560</x:v>
      </x:c>
      <x:c r="N405" s="5" t="str">
        <x:v>Takeaway</x:v>
      </x:c>
      <x:c r="O405" s="5" t="str">
        <x:v>POS</x:v>
      </x:c>
      <x:c r="P405" s="5" t="str">
        <x:v>Lunch</x:v>
      </x:c>
      <x:c r="Q405" s="48" t="n">
        <x:v>12</x:v>
      </x:c>
      <x:c r="R405" s="5" t="n">
        <x:v>5</x:v>
      </x:c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5" t="str">
        <x:v>ORD-01430</x:v>
      </x:c>
      <x:c r="B406" s="43" t="n">
        <x:v>46075</x:v>
      </x:c>
      <x:c r="C406" s="5" t="str">
        <x:v>CUST-0222</x:v>
      </x:c>
      <x:c r="D406" s="5" t="str">
        <x:v>FD001</x:v>
      </x:c>
      <x:c r="E406" s="5" t="str">
        <x:v>White Rice &amp; Stew</x:v>
      </x:c>
      <x:c r="F406" s="5" t="str">
        <x:v>Rice Meals</x:v>
      </x:c>
      <x:c r="G406" s="44" t="n">
        <x:v>4</x:v>
      </x:c>
      <x:c r="H406" s="45" t="n">
        <x:v>1800</x:v>
      </x:c>
      <x:c r="I406" s="46" t="n">
        <x:v>0</x:v>
      </x:c>
      <x:c r="J406" s="47" t="n">
        <x:f>G406*H406*(1-I406)</x:f>
        <x:v>7200</x:v>
      </x:c>
      <x:c r="K406" s="47" t="n">
        <x:v>820</x:v>
      </x:c>
      <x:c r="L406" s="47" t="n">
        <x:f>G406*K406</x:f>
        <x:v>3280</x:v>
      </x:c>
      <x:c r="M406" s="47" t="n">
        <x:f>J406-L406</x:f>
        <x:v>3920</x:v>
      </x:c>
      <x:c r="N406" s="5" t="str">
        <x:v>Walk-in</x:v>
      </x:c>
      <x:c r="O406" s="5" t="str">
        <x:v>Transfer</x:v>
      </x:c>
      <x:c r="P406" s="5" t="str">
        <x:v>Dinner</x:v>
      </x:c>
      <x:c r="Q406" s="48" t="n">
        <x:v>16</x:v>
      </x:c>
      <x:c r="R406" s="5" t="n">
        <x:v>5</x:v>
      </x:c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5" t="str">
        <x:v>ORD-01694</x:v>
      </x:c>
      <x:c r="B407" s="43" t="n">
        <x:v>46075</x:v>
      </x:c>
      <x:c r="C407" s="5" t="str">
        <x:v>CUST-0273</x:v>
      </x:c>
      <x:c r="D407" s="5" t="str">
        <x:v>FD008</x:v>
      </x:c>
      <x:c r="E407" s="5" t="str">
        <x:v>Pounded Yam &amp; Vegetable Soup</x:v>
      </x:c>
      <x:c r="F407" s="5" t="str">
        <x:v>Swallow</x:v>
      </x:c>
      <x:c r="G407" s="44" t="n">
        <x:v>3</x:v>
      </x:c>
      <x:c r="H407" s="45" t="n">
        <x:v>3200</x:v>
      </x:c>
      <x:c r="I407" s="46" t="n">
        <x:v>0.05</x:v>
      </x:c>
      <x:c r="J407" s="47" t="n">
        <x:f>G407*H407*(1-I407)</x:f>
        <x:v>9120</x:v>
      </x:c>
      <x:c r="K407" s="47" t="n">
        <x:v>1710</x:v>
      </x:c>
      <x:c r="L407" s="47" t="n">
        <x:f>G407*K407</x:f>
        <x:v>5130</x:v>
      </x:c>
      <x:c r="M407" s="47" t="n">
        <x:f>J407-L407</x:f>
        <x:v>3990</x:v>
      </x:c>
      <x:c r="N407" s="5" t="str">
        <x:v>Walk-in</x:v>
      </x:c>
      <x:c r="O407" s="5" t="str">
        <x:v>Transfer</x:v>
      </x:c>
      <x:c r="P407" s="5" t="str">
        <x:v>Lunch</x:v>
      </x:c>
      <x:c r="Q407" s="48" t="n">
        <x:v>14</x:v>
      </x:c>
      <x:c r="R407" s="5" t="n">
        <x:v>5</x:v>
      </x:c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5" t="str">
        <x:v>ORD-00003</x:v>
      </x:c>
      <x:c r="B408" s="43" t="n">
        <x:v>46076</x:v>
      </x:c>
      <x:c r="C408" s="5" t="str">
        <x:v>CUST-0021</x:v>
      </x:c>
      <x:c r="D408" s="5" t="str">
        <x:v>FD004</x:v>
      </x:c>
      <x:c r="E408" s="5" t="str">
        <x:v>Beans &amp; Plantain</x:v>
      </x:c>
      <x:c r="F408" s="5" t="str">
        <x:v>Traditional Meals</x:v>
      </x:c>
      <x:c r="G408" s="44" t="n">
        <x:v>2</x:v>
      </x:c>
      <x:c r="H408" s="45" t="n">
        <x:v>2000</x:v>
      </x:c>
      <x:c r="I408" s="46" t="n">
        <x:v>0</x:v>
      </x:c>
      <x:c r="J408" s="47" t="n">
        <x:f>G408*H408*(1-I408)</x:f>
        <x:v>4000</x:v>
      </x:c>
      <x:c r="K408" s="47" t="n">
        <x:v>960</x:v>
      </x:c>
      <x:c r="L408" s="47" t="n">
        <x:f>G408*K408</x:f>
        <x:v>1920</x:v>
      </x:c>
      <x:c r="M408" s="47" t="n">
        <x:f>J408-L408</x:f>
        <x:v>2080</x:v>
      </x:c>
      <x:c r="N408" s="5" t="str">
        <x:v>Takeaway</x:v>
      </x:c>
      <x:c r="O408" s="5" t="str">
        <x:v>POS</x:v>
      </x:c>
      <x:c r="P408" s="5" t="str">
        <x:v>Dinner</x:v>
      </x:c>
      <x:c r="Q408" s="48" t="n">
        <x:v>16</x:v>
      </x:c>
      <x:c r="R408" s="5" t="n">
        <x:v>5</x:v>
      </x:c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5" t="str">
        <x:v>ORD-00011</x:v>
      </x:c>
      <x:c r="B409" s="43" t="n">
        <x:v>46076</x:v>
      </x:c>
      <x:c r="C409" s="5" t="str">
        <x:v>CUST-0544</x:v>
      </x:c>
      <x:c r="D409" s="5" t="str">
        <x:v>FD003</x:v>
      </x:c>
      <x:c r="E409" s="5" t="str">
        <x:v>Fried Rice &amp; Chicken</x:v>
      </x:c>
      <x:c r="F409" s="5" t="str">
        <x:v>Rice Meals</x:v>
      </x:c>
      <x:c r="G409" s="44" t="n">
        <x:v>2</x:v>
      </x:c>
      <x:c r="H409" s="45" t="n">
        <x:v>3000</x:v>
      </x:c>
      <x:c r="I409" s="46" t="n">
        <x:v>0</x:v>
      </x:c>
      <x:c r="J409" s="47" t="n">
        <x:f>G409*H409*(1-I409)</x:f>
        <x:v>6000</x:v>
      </x:c>
      <x:c r="K409" s="47" t="n">
        <x:v>1580</x:v>
      </x:c>
      <x:c r="L409" s="47" t="n">
        <x:f>G409*K409</x:f>
        <x:v>3160</x:v>
      </x:c>
      <x:c r="M409" s="47" t="n">
        <x:f>J409-L409</x:f>
        <x:v>2840</x:v>
      </x:c>
      <x:c r="N409" s="5" t="str">
        <x:v>Delivery</x:v>
      </x:c>
      <x:c r="O409" s="5" t="str">
        <x:v>Transfer</x:v>
      </x:c>
      <x:c r="P409" s="5" t="str">
        <x:v>Dinner</x:v>
      </x:c>
      <x:c r="Q409" s="48" t="n">
        <x:v>17</x:v>
      </x:c>
      <x:c r="R409" s="5" t="n">
        <x:v>5</x:v>
      </x:c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5" t="str">
        <x:v>ORD-00237</x:v>
      </x:c>
      <x:c r="B410" s="43" t="n">
        <x:v>46076</x:v>
      </x:c>
      <x:c r="C410" s="5" t="str">
        <x:v>CUST-0415</x:v>
      </x:c>
      <x:c r="D410" s="5" t="str">
        <x:v>FD006</x:v>
      </x:c>
      <x:c r="E410" s="5" t="str">
        <x:v>Eba &amp; Egusi Soup</x:v>
      </x:c>
      <x:c r="F410" s="5" t="str">
        <x:v>Swallow</x:v>
      </x:c>
      <x:c r="G410" s="44" t="n">
        <x:v>2</x:v>
      </x:c>
      <x:c r="H410" s="45" t="n">
        <x:v>2600</x:v>
      </x:c>
      <x:c r="I410" s="46" t="n">
        <x:v>0</x:v>
      </x:c>
      <x:c r="J410" s="47" t="n">
        <x:f>G410*H410*(1-I410)</x:f>
        <x:v>5200</x:v>
      </x:c>
      <x:c r="K410" s="47" t="n">
        <x:v>1320</x:v>
      </x:c>
      <x:c r="L410" s="47" t="n">
        <x:f>G410*K410</x:f>
        <x:v>2640</x:v>
      </x:c>
      <x:c r="M410" s="47" t="n">
        <x:f>J410-L410</x:f>
        <x:v>2560</x:v>
      </x:c>
      <x:c r="N410" s="5" t="str">
        <x:v>Walk-in</x:v>
      </x:c>
      <x:c r="O410" s="5" t="str">
        <x:v>Transfer</x:v>
      </x:c>
      <x:c r="P410" s="5" t="str">
        <x:v>Dinner</x:v>
      </x:c>
      <x:c r="Q410" s="48" t="n">
        <x:v>17</x:v>
      </x:c>
      <x:c r="R410" s="5" t="n">
        <x:v>4</x:v>
      </x:c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5" t="str">
        <x:v>ORD-00382</x:v>
      </x:c>
      <x:c r="B411" s="43" t="n">
        <x:v>46076</x:v>
      </x:c>
      <x:c r="C411" s="5" t="str">
        <x:v>CUST-0267</x:v>
      </x:c>
      <x:c r="D411" s="5" t="str">
        <x:v>FD005</x:v>
      </x:c>
      <x:c r="E411" s="5" t="str">
        <x:v>Yam Porridge</x:v>
      </x:c>
      <x:c r="F411" s="5" t="str">
        <x:v>Traditional Meals</x:v>
      </x:c>
      <x:c r="G411" s="44" t="n">
        <x:v>1</x:v>
      </x:c>
      <x:c r="H411" s="45" t="n">
        <x:v>2200</x:v>
      </x:c>
      <x:c r="I411" s="46" t="n">
        <x:v>0.05</x:v>
      </x:c>
      <x:c r="J411" s="47" t="n">
        <x:f>G411*H411*(1-I411)</x:f>
        <x:v>2090</x:v>
      </x:c>
      <x:c r="K411" s="47" t="n">
        <x:v>1050</x:v>
      </x:c>
      <x:c r="L411" s="47" t="n">
        <x:f>G411*K411</x:f>
        <x:v>1050</x:v>
      </x:c>
      <x:c r="M411" s="47" t="n">
        <x:f>J411-L411</x:f>
        <x:v>1040</x:v>
      </x:c>
      <x:c r="N411" s="5" t="str">
        <x:v>Walk-in</x:v>
      </x:c>
      <x:c r="O411" s="5" t="str">
        <x:v>Cash</x:v>
      </x:c>
      <x:c r="P411" s="5" t="str">
        <x:v>Lunch</x:v>
      </x:c>
      <x:c r="Q411" s="48" t="n">
        <x:v>14</x:v>
      </x:c>
      <x:c r="R411" s="5" t="n">
        <x:v>5</x:v>
      </x:c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5" t="str">
        <x:v>ORD-00403</x:v>
      </x:c>
      <x:c r="B412" s="43" t="n">
        <x:v>46076</x:v>
      </x:c>
      <x:c r="C412" s="5" t="str">
        <x:v>CUST-0295</x:v>
      </x:c>
      <x:c r="D412" s="5" t="str">
        <x:v>FD005</x:v>
      </x:c>
      <x:c r="E412" s="5" t="str">
        <x:v>Yam Porridge</x:v>
      </x:c>
      <x:c r="F412" s="5" t="str">
        <x:v>Traditional Meals</x:v>
      </x:c>
      <x:c r="G412" s="44" t="n">
        <x:v>1</x:v>
      </x:c>
      <x:c r="H412" s="45" t="n">
        <x:v>2200</x:v>
      </x:c>
      <x:c r="I412" s="46" t="n">
        <x:v>0</x:v>
      </x:c>
      <x:c r="J412" s="47" t="n">
        <x:f>G412*H412*(1-I412)</x:f>
        <x:v>2200</x:v>
      </x:c>
      <x:c r="K412" s="47" t="n">
        <x:v>1050</x:v>
      </x:c>
      <x:c r="L412" s="47" t="n">
        <x:f>G412*K412</x:f>
        <x:v>1050</x:v>
      </x:c>
      <x:c r="M412" s="47" t="n">
        <x:f>J412-L412</x:f>
        <x:v>1150</x:v>
      </x:c>
      <x:c r="N412" s="5" t="str">
        <x:v>Delivery</x:v>
      </x:c>
      <x:c r="O412" s="5" t="str">
        <x:v>Cash</x:v>
      </x:c>
      <x:c r="P412" s="5" t="str">
        <x:v>Lunch</x:v>
      </x:c>
      <x:c r="Q412" s="48" t="n">
        <x:v>15</x:v>
      </x:c>
      <x:c r="R412" s="5" t="n">
        <x:v>4</x:v>
      </x:c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5" t="str">
        <x:v>ORD-00590</x:v>
      </x:c>
      <x:c r="B413" s="43" t="n">
        <x:v>46076</x:v>
      </x:c>
      <x:c r="C413" s="5" t="str">
        <x:v>CUST-0328</x:v>
      </x:c>
      <x:c r="D413" s="5" t="str">
        <x:v>FD001</x:v>
      </x:c>
      <x:c r="E413" s="5" t="str">
        <x:v>White Rice &amp; Stew</x:v>
      </x:c>
      <x:c r="F413" s="5" t="str">
        <x:v>Rice Meals</x:v>
      </x:c>
      <x:c r="G413" s="44" t="n">
        <x:v>2</x:v>
      </x:c>
      <x:c r="H413" s="45" t="n">
        <x:v>1800</x:v>
      </x:c>
      <x:c r="I413" s="46" t="n">
        <x:v>0</x:v>
      </x:c>
      <x:c r="J413" s="47" t="n">
        <x:f>G413*H413*(1-I413)</x:f>
        <x:v>3600</x:v>
      </x:c>
      <x:c r="K413" s="47" t="n">
        <x:v>820</x:v>
      </x:c>
      <x:c r="L413" s="47" t="n">
        <x:f>G413*K413</x:f>
        <x:v>1640</x:v>
      </x:c>
      <x:c r="M413" s="47" t="n">
        <x:f>J413-L413</x:f>
        <x:v>1960</x:v>
      </x:c>
      <x:c r="N413" s="5" t="str">
        <x:v>Walk-in</x:v>
      </x:c>
      <x:c r="O413" s="5" t="str">
        <x:v>POS</x:v>
      </x:c>
      <x:c r="P413" s="5" t="str">
        <x:v>Lunch</x:v>
      </x:c>
      <x:c r="Q413" s="48" t="n">
        <x:v>15</x:v>
      </x:c>
      <x:c r="R413" s="5" t="n">
        <x:v>5</x:v>
      </x:c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5" t="str">
        <x:v>ORD-00594</x:v>
      </x:c>
      <x:c r="B414" s="43" t="n">
        <x:v>46076</x:v>
      </x:c>
      <x:c r="C414" s="5" t="str">
        <x:v>CUST-0008</x:v>
      </x:c>
      <x:c r="D414" s="5" t="str">
        <x:v>FD006</x:v>
      </x:c>
      <x:c r="E414" s="5" t="str">
        <x:v>Eba &amp; Egusi Soup</x:v>
      </x:c>
      <x:c r="F414" s="5" t="str">
        <x:v>Swallow</x:v>
      </x:c>
      <x:c r="G414" s="44" t="n">
        <x:v>4</x:v>
      </x:c>
      <x:c r="H414" s="45" t="n">
        <x:v>2600</x:v>
      </x:c>
      <x:c r="I414" s="46" t="n">
        <x:v>0</x:v>
      </x:c>
      <x:c r="J414" s="47" t="n">
        <x:f>G414*H414*(1-I414)</x:f>
        <x:v>10400</x:v>
      </x:c>
      <x:c r="K414" s="47" t="n">
        <x:v>1320</x:v>
      </x:c>
      <x:c r="L414" s="47" t="n">
        <x:f>G414*K414</x:f>
        <x:v>5280</x:v>
      </x:c>
      <x:c r="M414" s="47" t="n">
        <x:f>J414-L414</x:f>
        <x:v>5120</x:v>
      </x:c>
      <x:c r="N414" s="5" t="str">
        <x:v>Takeaway</x:v>
      </x:c>
      <x:c r="O414" s="5" t="str">
        <x:v>POS</x:v>
      </x:c>
      <x:c r="P414" s="5" t="str">
        <x:v>Breakfast</x:v>
      </x:c>
      <x:c r="Q414" s="48" t="n">
        <x:v>8</x:v>
      </x:c>
      <x:c r="R414" s="5" t="n">
        <x:v>5</x:v>
      </x:c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5" t="str">
        <x:v>ORD-00801</x:v>
      </x:c>
      <x:c r="B415" s="43" t="n">
        <x:v>46076</x:v>
      </x:c>
      <x:c r="C415" s="5" t="str">
        <x:v>CUST-0116</x:v>
      </x:c>
      <x:c r="D415" s="5" t="str">
        <x:v>FD003</x:v>
      </x:c>
      <x:c r="E415" s="5" t="str">
        <x:v>Fried Rice &amp; Chicken</x:v>
      </x:c>
      <x:c r="F415" s="5" t="str">
        <x:v>Rice Meals</x:v>
      </x:c>
      <x:c r="G415" s="44" t="n">
        <x:v>1</x:v>
      </x:c>
      <x:c r="H415" s="45" t="n">
        <x:v>3000</x:v>
      </x:c>
      <x:c r="I415" s="46" t="n">
        <x:v>0</x:v>
      </x:c>
      <x:c r="J415" s="47" t="n">
        <x:f>G415*H415*(1-I415)</x:f>
        <x:v>3000</x:v>
      </x:c>
      <x:c r="K415" s="47" t="n">
        <x:v>1580</x:v>
      </x:c>
      <x:c r="L415" s="47" t="n">
        <x:f>G415*K415</x:f>
        <x:v>1580</x:v>
      </x:c>
      <x:c r="M415" s="47" t="n">
        <x:f>J415-L415</x:f>
        <x:v>1420</x:v>
      </x:c>
      <x:c r="N415" s="5" t="str">
        <x:v>Delivery</x:v>
      </x:c>
      <x:c r="O415" s="5" t="str">
        <x:v>Transfer</x:v>
      </x:c>
      <x:c r="P415" s="5" t="str">
        <x:v>Breakfast</x:v>
      </x:c>
      <x:c r="Q415" s="48" t="n">
        <x:v>9</x:v>
      </x:c>
      <x:c r="R415" s="5" t="n">
        <x:v>5</x:v>
      </x:c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5" t="str">
        <x:v>ORD-00857</x:v>
      </x:c>
      <x:c r="B416" s="43" t="n">
        <x:v>46076</x:v>
      </x:c>
      <x:c r="C416" s="5" t="str">
        <x:v>CUST-0397</x:v>
      </x:c>
      <x:c r="D416" s="5" t="str">
        <x:v>FD004</x:v>
      </x:c>
      <x:c r="E416" s="5" t="str">
        <x:v>Beans &amp; Plantain</x:v>
      </x:c>
      <x:c r="F416" s="5" t="str">
        <x:v>Traditional Meals</x:v>
      </x:c>
      <x:c r="G416" s="44" t="n">
        <x:v>4</x:v>
      </x:c>
      <x:c r="H416" s="45" t="n">
        <x:v>2000</x:v>
      </x:c>
      <x:c r="I416" s="46" t="n">
        <x:v>0</x:v>
      </x:c>
      <x:c r="J416" s="47" t="n">
        <x:f>G416*H416*(1-I416)</x:f>
        <x:v>8000</x:v>
      </x:c>
      <x:c r="K416" s="47" t="n">
        <x:v>960</x:v>
      </x:c>
      <x:c r="L416" s="47" t="n">
        <x:f>G416*K416</x:f>
        <x:v>3840</x:v>
      </x:c>
      <x:c r="M416" s="47" t="n">
        <x:f>J416-L416</x:f>
        <x:v>4160</x:v>
      </x:c>
      <x:c r="N416" s="5" t="str">
        <x:v>Takeaway</x:v>
      </x:c>
      <x:c r="O416" s="5" t="str">
        <x:v>POS</x:v>
      </x:c>
      <x:c r="P416" s="5" t="str">
        <x:v>Dinner</x:v>
      </x:c>
      <x:c r="Q416" s="48" t="n">
        <x:v>18</x:v>
      </x:c>
      <x:c r="R416" s="5" t="n">
        <x:v>5</x:v>
      </x:c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5" t="str">
        <x:v>ORD-00995</x:v>
      </x:c>
      <x:c r="B417" s="43" t="n">
        <x:v>46076</x:v>
      </x:c>
      <x:c r="C417" s="5" t="str">
        <x:v>CUST-0217</x:v>
      </x:c>
      <x:c r="D417" s="5" t="str">
        <x:v>FD003</x:v>
      </x:c>
      <x:c r="E417" s="5" t="str">
        <x:v>Fried Rice &amp; Chicken</x:v>
      </x:c>
      <x:c r="F417" s="5" t="str">
        <x:v>Rice Meals</x:v>
      </x:c>
      <x:c r="G417" s="44" t="n">
        <x:v>3</x:v>
      </x:c>
      <x:c r="H417" s="45" t="n">
        <x:v>3000</x:v>
      </x:c>
      <x:c r="I417" s="46" t="n">
        <x:v>0</x:v>
      </x:c>
      <x:c r="J417" s="47" t="n">
        <x:f>G417*H417*(1-I417)</x:f>
        <x:v>9000</x:v>
      </x:c>
      <x:c r="K417" s="47" t="n">
        <x:v>1580</x:v>
      </x:c>
      <x:c r="L417" s="47" t="n">
        <x:f>G417*K417</x:f>
        <x:v>4740</x:v>
      </x:c>
      <x:c r="M417" s="47" t="n">
        <x:f>J417-L417</x:f>
        <x:v>4260</x:v>
      </x:c>
      <x:c r="N417" s="5" t="str">
        <x:v>Walk-in</x:v>
      </x:c>
      <x:c r="O417" s="5" t="str">
        <x:v>POS</x:v>
      </x:c>
      <x:c r="P417" s="5" t="str">
        <x:v>Lunch</x:v>
      </x:c>
      <x:c r="Q417" s="48" t="n">
        <x:v>14</x:v>
      </x:c>
      <x:c r="R417" s="5" t="n">
        <x:v>5</x:v>
      </x:c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5" t="str">
        <x:v>ORD-01148</x:v>
      </x:c>
      <x:c r="B418" s="43" t="n">
        <x:v>46076</x:v>
      </x:c>
      <x:c r="C418" s="5" t="str">
        <x:v>CUST-0480</x:v>
      </x:c>
      <x:c r="D418" s="5" t="str">
        <x:v>FD001</x:v>
      </x:c>
      <x:c r="E418" s="5" t="str">
        <x:v>White Rice &amp; Stew</x:v>
      </x:c>
      <x:c r="F418" s="5" t="str">
        <x:v>Rice Meals</x:v>
      </x:c>
      <x:c r="G418" s="44" t="n">
        <x:v>1</x:v>
      </x:c>
      <x:c r="H418" s="45" t="n">
        <x:v>1800</x:v>
      </x:c>
      <x:c r="I418" s="46" t="n">
        <x:v>0</x:v>
      </x:c>
      <x:c r="J418" s="47" t="n">
        <x:f>G418*H418*(1-I418)</x:f>
        <x:v>1800</x:v>
      </x:c>
      <x:c r="K418" s="47" t="n">
        <x:v>820</x:v>
      </x:c>
      <x:c r="L418" s="47" t="n">
        <x:f>G418*K418</x:f>
        <x:v>820</x:v>
      </x:c>
      <x:c r="M418" s="47" t="n">
        <x:f>J418-L418</x:f>
        <x:v>980</x:v>
      </x:c>
      <x:c r="N418" s="5" t="str">
        <x:v>Delivery</x:v>
      </x:c>
      <x:c r="O418" s="5" t="str">
        <x:v>Transfer</x:v>
      </x:c>
      <x:c r="P418" s="5" t="str">
        <x:v>Lunch</x:v>
      </x:c>
      <x:c r="Q418" s="48" t="n">
        <x:v>11</x:v>
      </x:c>
      <x:c r="R418" s="5" t="n">
        <x:v>5</x:v>
      </x:c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5" t="str">
        <x:v>ORD-01504</x:v>
      </x:c>
      <x:c r="B419" s="43" t="n">
        <x:v>46076</x:v>
      </x:c>
      <x:c r="C419" s="5" t="str">
        <x:v>CUST-0200</x:v>
      </x:c>
      <x:c r="D419" s="5" t="str">
        <x:v>FD001</x:v>
      </x:c>
      <x:c r="E419" s="5" t="str">
        <x:v>White Rice &amp; Stew</x:v>
      </x:c>
      <x:c r="F419" s="5" t="str">
        <x:v>Rice Meals</x:v>
      </x:c>
      <x:c r="G419" s="44" t="n">
        <x:v>1</x:v>
      </x:c>
      <x:c r="H419" s="45" t="n">
        <x:v>1800</x:v>
      </x:c>
      <x:c r="I419" s="46" t="n">
        <x:v>0</x:v>
      </x:c>
      <x:c r="J419" s="47" t="n">
        <x:f>G419*H419*(1-I419)</x:f>
        <x:v>1800</x:v>
      </x:c>
      <x:c r="K419" s="47" t="n">
        <x:v>820</x:v>
      </x:c>
      <x:c r="L419" s="47" t="n">
        <x:f>G419*K419</x:f>
        <x:v>820</x:v>
      </x:c>
      <x:c r="M419" s="47" t="n">
        <x:f>J419-L419</x:f>
        <x:v>980</x:v>
      </x:c>
      <x:c r="N419" s="5" t="str">
        <x:v>Walk-in</x:v>
      </x:c>
      <x:c r="O419" s="5" t="str">
        <x:v>Transfer</x:v>
      </x:c>
      <x:c r="P419" s="5" t="str">
        <x:v>Breakfast</x:v>
      </x:c>
      <x:c r="Q419" s="48" t="n">
        <x:v>10</x:v>
      </x:c>
      <x:c r="R419" s="5" t="n">
        <x:v>4</x:v>
      </x:c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5" t="str">
        <x:v>ORD-01587</x:v>
      </x:c>
      <x:c r="B420" s="43" t="n">
        <x:v>46076</x:v>
      </x:c>
      <x:c r="C420" s="5" t="str">
        <x:v>CUST-0050</x:v>
      </x:c>
      <x:c r="D420" s="5" t="str">
        <x:v>FD003</x:v>
      </x:c>
      <x:c r="E420" s="5" t="str">
        <x:v>Fried Rice &amp; Chicken</x:v>
      </x:c>
      <x:c r="F420" s="5" t="str">
        <x:v>Rice Meals</x:v>
      </x:c>
      <x:c r="G420" s="44" t="n">
        <x:v>2</x:v>
      </x:c>
      <x:c r="H420" s="45" t="n">
        <x:v>3000</x:v>
      </x:c>
      <x:c r="I420" s="46" t="n">
        <x:v>0</x:v>
      </x:c>
      <x:c r="J420" s="47" t="n">
        <x:f>G420*H420*(1-I420)</x:f>
        <x:v>6000</x:v>
      </x:c>
      <x:c r="K420" s="47" t="n">
        <x:v>1580</x:v>
      </x:c>
      <x:c r="L420" s="47" t="n">
        <x:f>G420*K420</x:f>
        <x:v>3160</x:v>
      </x:c>
      <x:c r="M420" s="47" t="n">
        <x:f>J420-L420</x:f>
        <x:v>2840</x:v>
      </x:c>
      <x:c r="N420" s="5" t="str">
        <x:v>Delivery</x:v>
      </x:c>
      <x:c r="O420" s="5" t="str">
        <x:v>Transfer</x:v>
      </x:c>
      <x:c r="P420" s="5" t="str">
        <x:v>Dinner</x:v>
      </x:c>
      <x:c r="Q420" s="48" t="n">
        <x:v>19</x:v>
      </x:c>
      <x:c r="R420" s="5" t="n">
        <x:v>5</x:v>
      </x:c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5" t="str">
        <x:v>ORD-00189</x:v>
      </x:c>
      <x:c r="B421" s="43" t="n">
        <x:v>46077</x:v>
      </x:c>
      <x:c r="C421" s="5" t="str">
        <x:v>CUST-0305</x:v>
      </x:c>
      <x:c r="D421" s="5" t="str">
        <x:v>FD001</x:v>
      </x:c>
      <x:c r="E421" s="5" t="str">
        <x:v>White Rice &amp; Stew</x:v>
      </x:c>
      <x:c r="F421" s="5" t="str">
        <x:v>Rice Meals</x:v>
      </x:c>
      <x:c r="G421" s="44" t="n">
        <x:v>1</x:v>
      </x:c>
      <x:c r="H421" s="45" t="n">
        <x:v>1800</x:v>
      </x:c>
      <x:c r="I421" s="46" t="n">
        <x:v>0</x:v>
      </x:c>
      <x:c r="J421" s="47" t="n">
        <x:f>G421*H421*(1-I421)</x:f>
        <x:v>1800</x:v>
      </x:c>
      <x:c r="K421" s="47" t="n">
        <x:v>820</x:v>
      </x:c>
      <x:c r="L421" s="47" t="n">
        <x:f>G421*K421</x:f>
        <x:v>820</x:v>
      </x:c>
      <x:c r="M421" s="47" t="n">
        <x:f>J421-L421</x:f>
        <x:v>980</x:v>
      </x:c>
      <x:c r="N421" s="5" t="str">
        <x:v>Delivery</x:v>
      </x:c>
      <x:c r="O421" s="5" t="str">
        <x:v>Cash</x:v>
      </x:c>
      <x:c r="P421" s="5" t="str">
        <x:v>Breakfast</x:v>
      </x:c>
      <x:c r="Q421" s="48" t="n">
        <x:v>10</x:v>
      </x:c>
      <x:c r="R421" s="5" t="n">
        <x:v>3</x:v>
      </x:c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5" t="str">
        <x:v>ORD-00313</x:v>
      </x:c>
      <x:c r="B422" s="43" t="n">
        <x:v>46077</x:v>
      </x:c>
      <x:c r="C422" s="5" t="str">
        <x:v>CUST-0195</x:v>
      </x:c>
      <x:c r="D422" s="5" t="str">
        <x:v>FD006</x:v>
      </x:c>
      <x:c r="E422" s="5" t="str">
        <x:v>Eba &amp; Egusi Soup</x:v>
      </x:c>
      <x:c r="F422" s="5" t="str">
        <x:v>Swallow</x:v>
      </x:c>
      <x:c r="G422" s="44" t="n">
        <x:v>1</x:v>
      </x:c>
      <x:c r="H422" s="45" t="n">
        <x:v>2600</x:v>
      </x:c>
      <x:c r="I422" s="46" t="n">
        <x:v>0</x:v>
      </x:c>
      <x:c r="J422" s="47" t="n">
        <x:f>G422*H422*(1-I422)</x:f>
        <x:v>2600</x:v>
      </x:c>
      <x:c r="K422" s="47" t="n">
        <x:v>1320</x:v>
      </x:c>
      <x:c r="L422" s="47" t="n">
        <x:f>G422*K422</x:f>
        <x:v>1320</x:v>
      </x:c>
      <x:c r="M422" s="47" t="n">
        <x:f>J422-L422</x:f>
        <x:v>1280</x:v>
      </x:c>
      <x:c r="N422" s="5" t="str">
        <x:v>Walk-in</x:v>
      </x:c>
      <x:c r="O422" s="5" t="str">
        <x:v>Cash</x:v>
      </x:c>
      <x:c r="P422" s="5" t="str">
        <x:v>Lunch</x:v>
      </x:c>
      <x:c r="Q422" s="48" t="n">
        <x:v>11</x:v>
      </x:c>
      <x:c r="R422" s="5" t="n">
        <x:v>5</x:v>
      </x:c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5" t="str">
        <x:v>ORD-00588</x:v>
      </x:c>
      <x:c r="B423" s="43" t="n">
        <x:v>46077</x:v>
      </x:c>
      <x:c r="C423" s="5" t="str">
        <x:v>CUST-0233</x:v>
      </x:c>
      <x:c r="D423" s="5" t="str">
        <x:v>FD001</x:v>
      </x:c>
      <x:c r="E423" s="5" t="str">
        <x:v>White Rice &amp; Stew</x:v>
      </x:c>
      <x:c r="F423" s="5" t="str">
        <x:v>Rice Meals</x:v>
      </x:c>
      <x:c r="G423" s="44" t="n">
        <x:v>1</x:v>
      </x:c>
      <x:c r="H423" s="45" t="n">
        <x:v>1800</x:v>
      </x:c>
      <x:c r="I423" s="46" t="n">
        <x:v>0</x:v>
      </x:c>
      <x:c r="J423" s="47" t="n">
        <x:f>G423*H423*(1-I423)</x:f>
        <x:v>1800</x:v>
      </x:c>
      <x:c r="K423" s="47" t="n">
        <x:v>820</x:v>
      </x:c>
      <x:c r="L423" s="47" t="n">
        <x:f>G423*K423</x:f>
        <x:v>820</x:v>
      </x:c>
      <x:c r="M423" s="47" t="n">
        <x:f>J423-L423</x:f>
        <x:v>980</x:v>
      </x:c>
      <x:c r="N423" s="5" t="str">
        <x:v>Walk-in</x:v>
      </x:c>
      <x:c r="O423" s="5" t="str">
        <x:v>Cash</x:v>
      </x:c>
      <x:c r="P423" s="5" t="str">
        <x:v>Dinner</x:v>
      </x:c>
      <x:c r="Q423" s="48" t="n">
        <x:v>20</x:v>
      </x:c>
      <x:c r="R423" s="5" t="n">
        <x:v>4</x:v>
      </x:c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5" t="str">
        <x:v>ORD-01235</x:v>
      </x:c>
      <x:c r="B424" s="43" t="n">
        <x:v>46077</x:v>
      </x:c>
      <x:c r="C424" s="5" t="str">
        <x:v>CUST-0546</x:v>
      </x:c>
      <x:c r="D424" s="5" t="str">
        <x:v>FD002</x:v>
      </x:c>
      <x:c r="E424" s="5" t="str">
        <x:v>Jollof Rice &amp; Chicken</x:v>
      </x:c>
      <x:c r="F424" s="5" t="str">
        <x:v>Rice Meals</x:v>
      </x:c>
      <x:c r="G424" s="44" t="n">
        <x:v>4</x:v>
      </x:c>
      <x:c r="H424" s="45" t="n">
        <x:v>2800</x:v>
      </x:c>
      <x:c r="I424" s="46" t="n">
        <x:v>0</x:v>
      </x:c>
      <x:c r="J424" s="47" t="n">
        <x:f>G424*H424*(1-I424)</x:f>
        <x:v>11200</x:v>
      </x:c>
      <x:c r="K424" s="47" t="n">
        <x:v>1450</x:v>
      </x:c>
      <x:c r="L424" s="47" t="n">
        <x:f>G424*K424</x:f>
        <x:v>5800</x:v>
      </x:c>
      <x:c r="M424" s="47" t="n">
        <x:f>J424-L424</x:f>
        <x:v>5400</x:v>
      </x:c>
      <x:c r="N424" s="5" t="str">
        <x:v>Walk-in</x:v>
      </x:c>
      <x:c r="O424" s="5" t="str">
        <x:v>POS</x:v>
      </x:c>
      <x:c r="P424" s="5" t="str">
        <x:v>Lunch</x:v>
      </x:c>
      <x:c r="Q424" s="48" t="n">
        <x:v>11</x:v>
      </x:c>
      <x:c r="R424" s="5" t="n">
        <x:v>5</x:v>
      </x:c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5" t="str">
        <x:v>ORD-01274</x:v>
      </x:c>
      <x:c r="B425" s="43" t="n">
        <x:v>46077</x:v>
      </x:c>
      <x:c r="C425" s="5" t="str">
        <x:v>CUST-0103</x:v>
      </x:c>
      <x:c r="D425" s="5" t="str">
        <x:v>FD011</x:v>
      </x:c>
      <x:c r="E425" s="5" t="str">
        <x:v>Bottled Water</x:v>
      </x:c>
      <x:c r="F425" s="5" t="str">
        <x:v>Beverages</x:v>
      </x:c>
      <x:c r="G425" s="44" t="n">
        <x:v>1</x:v>
      </x:c>
      <x:c r="H425" s="45" t="n">
        <x:v>300</x:v>
      </x:c>
      <x:c r="I425" s="46" t="n">
        <x:v>0</x:v>
      </x:c>
      <x:c r="J425" s="47" t="n">
        <x:f>G425*H425*(1-I425)</x:f>
        <x:v>300</x:v>
      </x:c>
      <x:c r="K425" s="47" t="n">
        <x:v>120</x:v>
      </x:c>
      <x:c r="L425" s="47" t="n">
        <x:f>G425*K425</x:f>
        <x:v>120</x:v>
      </x:c>
      <x:c r="M425" s="47" t="n">
        <x:f>J425-L425</x:f>
        <x:v>180</x:v>
      </x:c>
      <x:c r="N425" s="5" t="str">
        <x:v>Takeaway</x:v>
      </x:c>
      <x:c r="O425" s="5" t="str">
        <x:v>POS</x:v>
      </x:c>
      <x:c r="P425" s="5" t="str">
        <x:v>Breakfast</x:v>
      </x:c>
      <x:c r="Q425" s="48" t="n">
        <x:v>8</x:v>
      </x:c>
      <x:c r="R425" s="5" t="n">
        <x:v>5</x:v>
      </x:c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5" t="str">
        <x:v>ORD-01316</x:v>
      </x:c>
      <x:c r="B426" s="43" t="n">
        <x:v>46077</x:v>
      </x:c>
      <x:c r="C426" s="5" t="str">
        <x:v>CUST-0195</x:v>
      </x:c>
      <x:c r="D426" s="5" t="str">
        <x:v>FD003</x:v>
      </x:c>
      <x:c r="E426" s="5" t="str">
        <x:v>Fried Rice &amp; Chicken</x:v>
      </x:c>
      <x:c r="F426" s="5" t="str">
        <x:v>Rice Meals</x:v>
      </x:c>
      <x:c r="G426" s="44" t="n">
        <x:v>2</x:v>
      </x:c>
      <x:c r="H426" s="45" t="n">
        <x:v>3000</x:v>
      </x:c>
      <x:c r="I426" s="46" t="n">
        <x:v>0</x:v>
      </x:c>
      <x:c r="J426" s="47" t="n">
        <x:f>G426*H426*(1-I426)</x:f>
        <x:v>6000</x:v>
      </x:c>
      <x:c r="K426" s="47" t="n">
        <x:v>1580</x:v>
      </x:c>
      <x:c r="L426" s="47" t="n">
        <x:f>G426*K426</x:f>
        <x:v>3160</x:v>
      </x:c>
      <x:c r="M426" s="47" t="n">
        <x:f>J426-L426</x:f>
        <x:v>2840</x:v>
      </x:c>
      <x:c r="N426" s="5" t="str">
        <x:v>Walk-in</x:v>
      </x:c>
      <x:c r="O426" s="5" t="str">
        <x:v>POS</x:v>
      </x:c>
      <x:c r="P426" s="5" t="str">
        <x:v>Dinner</x:v>
      </x:c>
      <x:c r="Q426" s="48" t="n">
        <x:v>16</x:v>
      </x:c>
      <x:c r="R426" s="5" t="n">
        <x:v>4</x:v>
      </x:c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5" t="str">
        <x:v>ORD-01326</x:v>
      </x:c>
      <x:c r="B427" s="43" t="n">
        <x:v>46077</x:v>
      </x:c>
      <x:c r="C427" s="5" t="str">
        <x:v>CUST-0568</x:v>
      </x:c>
      <x:c r="D427" s="5" t="str">
        <x:v>FD004</x:v>
      </x:c>
      <x:c r="E427" s="5" t="str">
        <x:v>Beans &amp; Plantain</x:v>
      </x:c>
      <x:c r="F427" s="5" t="str">
        <x:v>Traditional Meals</x:v>
      </x:c>
      <x:c r="G427" s="44" t="n">
        <x:v>2</x:v>
      </x:c>
      <x:c r="H427" s="45" t="n">
        <x:v>2000</x:v>
      </x:c>
      <x:c r="I427" s="46" t="n">
        <x:v>0</x:v>
      </x:c>
      <x:c r="J427" s="47" t="n">
        <x:f>G427*H427*(1-I427)</x:f>
        <x:v>4000</x:v>
      </x:c>
      <x:c r="K427" s="47" t="n">
        <x:v>960</x:v>
      </x:c>
      <x:c r="L427" s="47" t="n">
        <x:f>G427*K427</x:f>
        <x:v>1920</x:v>
      </x:c>
      <x:c r="M427" s="47" t="n">
        <x:f>J427-L427</x:f>
        <x:v>2080</x:v>
      </x:c>
      <x:c r="N427" s="5" t="str">
        <x:v>Takeaway</x:v>
      </x:c>
      <x:c r="O427" s="5" t="str">
        <x:v>Cash</x:v>
      </x:c>
      <x:c r="P427" s="5" t="str">
        <x:v>Lunch</x:v>
      </x:c>
      <x:c r="Q427" s="48" t="n">
        <x:v>13</x:v>
      </x:c>
      <x:c r="R427" s="5" t="n">
        <x:v>4</x:v>
      </x:c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5" t="str">
        <x:v>ORD-01422</x:v>
      </x:c>
      <x:c r="B428" s="43" t="n">
        <x:v>46077</x:v>
      </x:c>
      <x:c r="C428" s="5" t="str">
        <x:v>CUST-0338</x:v>
      </x:c>
      <x:c r="D428" s="5" t="str">
        <x:v>FD004</x:v>
      </x:c>
      <x:c r="E428" s="5" t="str">
        <x:v>Beans &amp; Plantain</x:v>
      </x:c>
      <x:c r="F428" s="5" t="str">
        <x:v>Traditional Meals</x:v>
      </x:c>
      <x:c r="G428" s="44" t="n">
        <x:v>2</x:v>
      </x:c>
      <x:c r="H428" s="45" t="n">
        <x:v>2000</x:v>
      </x:c>
      <x:c r="I428" s="46" t="n">
        <x:v>0</x:v>
      </x:c>
      <x:c r="J428" s="47" t="n">
        <x:f>G428*H428*(1-I428)</x:f>
        <x:v>4000</x:v>
      </x:c>
      <x:c r="K428" s="47" t="n">
        <x:v>960</x:v>
      </x:c>
      <x:c r="L428" s="47" t="n">
        <x:f>G428*K428</x:f>
        <x:v>1920</x:v>
      </x:c>
      <x:c r="M428" s="47" t="n">
        <x:f>J428-L428</x:f>
        <x:v>2080</x:v>
      </x:c>
      <x:c r="N428" s="5" t="str">
        <x:v>Delivery</x:v>
      </x:c>
      <x:c r="O428" s="5" t="str">
        <x:v>POS</x:v>
      </x:c>
      <x:c r="P428" s="5" t="str">
        <x:v>Lunch</x:v>
      </x:c>
      <x:c r="Q428" s="48" t="n">
        <x:v>11</x:v>
      </x:c>
      <x:c r="R428" s="5" t="n">
        <x:v>3</x:v>
      </x:c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5" t="str">
        <x:v>ORD-01649</x:v>
      </x:c>
      <x:c r="B429" s="43" t="n">
        <x:v>46077</x:v>
      </x:c>
      <x:c r="C429" s="5" t="str">
        <x:v>CUST-0494</x:v>
      </x:c>
      <x:c r="D429" s="5" t="str">
        <x:v>FD004</x:v>
      </x:c>
      <x:c r="E429" s="5" t="str">
        <x:v>Beans &amp; Plantain</x:v>
      </x:c>
      <x:c r="F429" s="5" t="str">
        <x:v>Traditional Meals</x:v>
      </x:c>
      <x:c r="G429" s="44" t="n">
        <x:v>3</x:v>
      </x:c>
      <x:c r="H429" s="45" t="n">
        <x:v>2000</x:v>
      </x:c>
      <x:c r="I429" s="46" t="n">
        <x:v>0</x:v>
      </x:c>
      <x:c r="J429" s="47" t="n">
        <x:f>G429*H429*(1-I429)</x:f>
        <x:v>6000</x:v>
      </x:c>
      <x:c r="K429" s="47" t="n">
        <x:v>960</x:v>
      </x:c>
      <x:c r="L429" s="47" t="n">
        <x:f>G429*K429</x:f>
        <x:v>2880</x:v>
      </x:c>
      <x:c r="M429" s="47" t="n">
        <x:f>J429-L429</x:f>
        <x:v>3120</x:v>
      </x:c>
      <x:c r="N429" s="5" t="str">
        <x:v>Takeaway</x:v>
      </x:c>
      <x:c r="O429" s="5" t="str">
        <x:v>POS</x:v>
      </x:c>
      <x:c r="P429" s="5" t="str">
        <x:v>Lunch</x:v>
      </x:c>
      <x:c r="Q429" s="48" t="n">
        <x:v>12</x:v>
      </x:c>
      <x:c r="R429" s="5" t="n">
        <x:v>4</x:v>
      </x:c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5" t="str">
        <x:v>ORD-00019</x:v>
      </x:c>
      <x:c r="B430" s="43" t="n">
        <x:v>46078</x:v>
      </x:c>
      <x:c r="C430" s="5" t="str">
        <x:v>CUST-0331</x:v>
      </x:c>
      <x:c r="D430" s="5" t="str">
        <x:v>FD002</x:v>
      </x:c>
      <x:c r="E430" s="5" t="str">
        <x:v>Jollof Rice &amp; Chicken</x:v>
      </x:c>
      <x:c r="F430" s="5" t="str">
        <x:v>Rice Meals</x:v>
      </x:c>
      <x:c r="G430" s="44" t="n">
        <x:v>2</x:v>
      </x:c>
      <x:c r="H430" s="45" t="n">
        <x:v>2800</x:v>
      </x:c>
      <x:c r="I430" s="46" t="n">
        <x:v>0</x:v>
      </x:c>
      <x:c r="J430" s="47" t="n">
        <x:f>G430*H430*(1-I430)</x:f>
        <x:v>5600</x:v>
      </x:c>
      <x:c r="K430" s="47" t="n">
        <x:v>1450</x:v>
      </x:c>
      <x:c r="L430" s="47" t="n">
        <x:f>G430*K430</x:f>
        <x:v>2900</x:v>
      </x:c>
      <x:c r="M430" s="47" t="n">
        <x:f>J430-L430</x:f>
        <x:v>2700</x:v>
      </x:c>
      <x:c r="N430" s="5" t="str">
        <x:v>Walk-in</x:v>
      </x:c>
      <x:c r="O430" s="5" t="str">
        <x:v>Transfer</x:v>
      </x:c>
      <x:c r="P430" s="5" t="str">
        <x:v>Breakfast</x:v>
      </x:c>
      <x:c r="Q430" s="48" t="n">
        <x:v>10</x:v>
      </x:c>
      <x:c r="R430" s="5" t="n">
        <x:v>3</x:v>
      </x:c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5" t="str">
        <x:v>ORD-00242</x:v>
      </x:c>
      <x:c r="B431" s="43" t="n">
        <x:v>46078</x:v>
      </x:c>
      <x:c r="C431" s="5" t="str">
        <x:v>CUST-0279</x:v>
      </x:c>
      <x:c r="D431" s="5" t="str">
        <x:v>FD006</x:v>
      </x:c>
      <x:c r="E431" s="5" t="str">
        <x:v>Eba &amp; Egusi Soup</x:v>
      </x:c>
      <x:c r="F431" s="5" t="str">
        <x:v>Swallow</x:v>
      </x:c>
      <x:c r="G431" s="44" t="n">
        <x:v>4</x:v>
      </x:c>
      <x:c r="H431" s="45" t="n">
        <x:v>2600</x:v>
      </x:c>
      <x:c r="I431" s="46" t="n">
        <x:v>0</x:v>
      </x:c>
      <x:c r="J431" s="47" t="n">
        <x:f>G431*H431*(1-I431)</x:f>
        <x:v>10400</x:v>
      </x:c>
      <x:c r="K431" s="47" t="n">
        <x:v>1320</x:v>
      </x:c>
      <x:c r="L431" s="47" t="n">
        <x:f>G431*K431</x:f>
        <x:v>5280</x:v>
      </x:c>
      <x:c r="M431" s="47" t="n">
        <x:f>J431-L431</x:f>
        <x:v>5120</x:v>
      </x:c>
      <x:c r="N431" s="5" t="str">
        <x:v>Takeaway</x:v>
      </x:c>
      <x:c r="O431" s="5" t="str">
        <x:v>Cash</x:v>
      </x:c>
      <x:c r="P431" s="5" t="str">
        <x:v>Breakfast</x:v>
      </x:c>
      <x:c r="Q431" s="48" t="n">
        <x:v>8</x:v>
      </x:c>
      <x:c r="R431" s="5" t="n">
        <x:v>4</x:v>
      </x:c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5" t="str">
        <x:v>ORD-01096</x:v>
      </x:c>
      <x:c r="B432" s="43" t="n">
        <x:v>46078</x:v>
      </x:c>
      <x:c r="C432" s="5" t="str">
        <x:v>CUST-0339</x:v>
      </x:c>
      <x:c r="D432" s="5" t="str">
        <x:v>FD002</x:v>
      </x:c>
      <x:c r="E432" s="5" t="str">
        <x:v>Jollof Rice &amp; Chicken</x:v>
      </x:c>
      <x:c r="F432" s="5" t="str">
        <x:v>Rice Meals</x:v>
      </x:c>
      <x:c r="G432" s="44" t="n">
        <x:v>2</x:v>
      </x:c>
      <x:c r="H432" s="45" t="n">
        <x:v>2800</x:v>
      </x:c>
      <x:c r="I432" s="46" t="n">
        <x:v>0</x:v>
      </x:c>
      <x:c r="J432" s="47" t="n">
        <x:f>G432*H432*(1-I432)</x:f>
        <x:v>5600</x:v>
      </x:c>
      <x:c r="K432" s="47" t="n">
        <x:v>1450</x:v>
      </x:c>
      <x:c r="L432" s="47" t="n">
        <x:f>G432*K432</x:f>
        <x:v>2900</x:v>
      </x:c>
      <x:c r="M432" s="47" t="n">
        <x:f>J432-L432</x:f>
        <x:v>2700</x:v>
      </x:c>
      <x:c r="N432" s="5" t="str">
        <x:v>Delivery</x:v>
      </x:c>
      <x:c r="O432" s="5" t="str">
        <x:v>Transfer</x:v>
      </x:c>
      <x:c r="P432" s="5" t="str">
        <x:v>Lunch</x:v>
      </x:c>
      <x:c r="Q432" s="48" t="n">
        <x:v>14</x:v>
      </x:c>
      <x:c r="R432" s="5" t="n">
        <x:v>5</x:v>
      </x:c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5" t="str">
        <x:v>ORD-01115</x:v>
      </x:c>
      <x:c r="B433" s="43" t="n">
        <x:v>46078</x:v>
      </x:c>
      <x:c r="C433" s="5" t="str">
        <x:v>CUST-0078</x:v>
      </x:c>
      <x:c r="D433" s="5" t="str">
        <x:v>FD005</x:v>
      </x:c>
      <x:c r="E433" s="5" t="str">
        <x:v>Yam Porridge</x:v>
      </x:c>
      <x:c r="F433" s="5" t="str">
        <x:v>Traditional Meals</x:v>
      </x:c>
      <x:c r="G433" s="44" t="n">
        <x:v>2</x:v>
      </x:c>
      <x:c r="H433" s="45" t="n">
        <x:v>2200</x:v>
      </x:c>
      <x:c r="I433" s="46" t="n">
        <x:v>0</x:v>
      </x:c>
      <x:c r="J433" s="47" t="n">
        <x:f>G433*H433*(1-I433)</x:f>
        <x:v>4400</x:v>
      </x:c>
      <x:c r="K433" s="47" t="n">
        <x:v>1050</x:v>
      </x:c>
      <x:c r="L433" s="47" t="n">
        <x:f>G433*K433</x:f>
        <x:v>2100</x:v>
      </x:c>
      <x:c r="M433" s="47" t="n">
        <x:f>J433-L433</x:f>
        <x:v>2300</x:v>
      </x:c>
      <x:c r="N433" s="5" t="str">
        <x:v>Walk-in</x:v>
      </x:c>
      <x:c r="O433" s="5" t="str">
        <x:v>Transfer</x:v>
      </x:c>
      <x:c r="P433" s="5" t="str">
        <x:v>Dinner</x:v>
      </x:c>
      <x:c r="Q433" s="48" t="n">
        <x:v>16</x:v>
      </x:c>
      <x:c r="R433" s="5" t="n">
        <x:v>3</x:v>
      </x:c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5" t="str">
        <x:v>ORD-01160</x:v>
      </x:c>
      <x:c r="B434" s="43" t="n">
        <x:v>46078</x:v>
      </x:c>
      <x:c r="C434" s="5" t="str">
        <x:v>CUST-0105</x:v>
      </x:c>
      <x:c r="D434" s="5" t="str">
        <x:v>FD004</x:v>
      </x:c>
      <x:c r="E434" s="5" t="str">
        <x:v>Beans &amp; Plantain</x:v>
      </x:c>
      <x:c r="F434" s="5" t="str">
        <x:v>Traditional Meals</x:v>
      </x:c>
      <x:c r="G434" s="44" t="n">
        <x:v>1</x:v>
      </x:c>
      <x:c r="H434" s="45" t="n">
        <x:v>2000</x:v>
      </x:c>
      <x:c r="I434" s="46" t="n">
        <x:v>0</x:v>
      </x:c>
      <x:c r="J434" s="47" t="n">
        <x:f>G434*H434*(1-I434)</x:f>
        <x:v>2000</x:v>
      </x:c>
      <x:c r="K434" s="47" t="n">
        <x:v>960</x:v>
      </x:c>
      <x:c r="L434" s="47" t="n">
        <x:f>G434*K434</x:f>
        <x:v>960</x:v>
      </x:c>
      <x:c r="M434" s="47" t="n">
        <x:f>J434-L434</x:f>
        <x:v>1040</x:v>
      </x:c>
      <x:c r="N434" s="5" t="str">
        <x:v>Walk-in</x:v>
      </x:c>
      <x:c r="O434" s="5" t="str">
        <x:v>Cash</x:v>
      </x:c>
      <x:c r="P434" s="5" t="str">
        <x:v>Dinner</x:v>
      </x:c>
      <x:c r="Q434" s="48" t="n">
        <x:v>18</x:v>
      </x:c>
      <x:c r="R434" s="5" t="n">
        <x:v>4</x:v>
      </x:c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5" t="str">
        <x:v>ORD-01280</x:v>
      </x:c>
      <x:c r="B435" s="43" t="n">
        <x:v>46078</x:v>
      </x:c>
      <x:c r="C435" s="5" t="str">
        <x:v>CUST-0194</x:v>
      </x:c>
      <x:c r="D435" s="5" t="str">
        <x:v>FD002</x:v>
      </x:c>
      <x:c r="E435" s="5" t="str">
        <x:v>Jollof Rice &amp; Chicken</x:v>
      </x:c>
      <x:c r="F435" s="5" t="str">
        <x:v>Rice Meals</x:v>
      </x:c>
      <x:c r="G435" s="44" t="n">
        <x:v>2</x:v>
      </x:c>
      <x:c r="H435" s="45" t="n">
        <x:v>2800</x:v>
      </x:c>
      <x:c r="I435" s="46" t="n">
        <x:v>0.1</x:v>
      </x:c>
      <x:c r="J435" s="47" t="n">
        <x:f>G435*H435*(1-I435)</x:f>
        <x:v>5040</x:v>
      </x:c>
      <x:c r="K435" s="47" t="n">
        <x:v>1450</x:v>
      </x:c>
      <x:c r="L435" s="47" t="n">
        <x:f>G435*K435</x:f>
        <x:v>2900</x:v>
      </x:c>
      <x:c r="M435" s="47" t="n">
        <x:f>J435-L435</x:f>
        <x:v>2140</x:v>
      </x:c>
      <x:c r="N435" s="5" t="str">
        <x:v>Takeaway</x:v>
      </x:c>
      <x:c r="O435" s="5" t="str">
        <x:v>POS</x:v>
      </x:c>
      <x:c r="P435" s="5" t="str">
        <x:v>Lunch</x:v>
      </x:c>
      <x:c r="Q435" s="48" t="n">
        <x:v>12</x:v>
      </x:c>
      <x:c r="R435" s="5" t="n">
        <x:v>3</x:v>
      </x:c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5" t="str">
        <x:v>ORD-01355</x:v>
      </x:c>
      <x:c r="B436" s="43" t="n">
        <x:v>46078</x:v>
      </x:c>
      <x:c r="C436" s="5" t="str">
        <x:v>CUST-0017</x:v>
      </x:c>
      <x:c r="D436" s="5" t="str">
        <x:v>FD007</x:v>
      </x:c>
      <x:c r="E436" s="5" t="str">
        <x:v>Amala &amp; Ewedu</x:v>
      </x:c>
      <x:c r="F436" s="5" t="str">
        <x:v>Swallow</x:v>
      </x:c>
      <x:c r="G436" s="44" t="n">
        <x:v>4</x:v>
      </x:c>
      <x:c r="H436" s="45" t="n">
        <x:v>2500</x:v>
      </x:c>
      <x:c r="I436" s="46" t="n">
        <x:v>0.05</x:v>
      </x:c>
      <x:c r="J436" s="47" t="n">
        <x:f>G436*H436*(1-I436)</x:f>
        <x:v>9500</x:v>
      </x:c>
      <x:c r="K436" s="47" t="n">
        <x:v>1250</x:v>
      </x:c>
      <x:c r="L436" s="47" t="n">
        <x:f>G436*K436</x:f>
        <x:v>5000</x:v>
      </x:c>
      <x:c r="M436" s="47" t="n">
        <x:f>J436-L436</x:f>
        <x:v>4500</x:v>
      </x:c>
      <x:c r="N436" s="5" t="str">
        <x:v>Delivery</x:v>
      </x:c>
      <x:c r="O436" s="5" t="str">
        <x:v>Transfer</x:v>
      </x:c>
      <x:c r="P436" s="5" t="str">
        <x:v>Lunch</x:v>
      </x:c>
      <x:c r="Q436" s="48" t="n">
        <x:v>11</x:v>
      </x:c>
      <x:c r="R436" s="5" t="n">
        <x:v>5</x:v>
      </x:c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5" t="str">
        <x:v>ORD-01495</x:v>
      </x:c>
      <x:c r="B437" s="43" t="n">
        <x:v>46078</x:v>
      </x:c>
      <x:c r="C437" s="5" t="str">
        <x:v>CUST-0514</x:v>
      </x:c>
      <x:c r="D437" s="5" t="str">
        <x:v>FD001</x:v>
      </x:c>
      <x:c r="E437" s="5" t="str">
        <x:v>White Rice &amp; Stew</x:v>
      </x:c>
      <x:c r="F437" s="5" t="str">
        <x:v>Rice Meals</x:v>
      </x:c>
      <x:c r="G437" s="44" t="n">
        <x:v>1</x:v>
      </x:c>
      <x:c r="H437" s="45" t="n">
        <x:v>1800</x:v>
      </x:c>
      <x:c r="I437" s="46" t="n">
        <x:v>0</x:v>
      </x:c>
      <x:c r="J437" s="47" t="n">
        <x:f>G437*H437*(1-I437)</x:f>
        <x:v>1800</x:v>
      </x:c>
      <x:c r="K437" s="47" t="n">
        <x:v>820</x:v>
      </x:c>
      <x:c r="L437" s="47" t="n">
        <x:f>G437*K437</x:f>
        <x:v>820</x:v>
      </x:c>
      <x:c r="M437" s="47" t="n">
        <x:f>J437-L437</x:f>
        <x:v>980</x:v>
      </x:c>
      <x:c r="N437" s="5" t="str">
        <x:v>Takeaway</x:v>
      </x:c>
      <x:c r="O437" s="5" t="str">
        <x:v>Transfer</x:v>
      </x:c>
      <x:c r="P437" s="5" t="str">
        <x:v>Breakfast</x:v>
      </x:c>
      <x:c r="Q437" s="48" t="n">
        <x:v>8</x:v>
      </x:c>
      <x:c r="R437" s="5" t="n">
        <x:v>5</x:v>
      </x:c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5" t="str">
        <x:v>ORD-00205</x:v>
      </x:c>
      <x:c r="B438" s="43" t="n">
        <x:v>46079</x:v>
      </x:c>
      <x:c r="C438" s="5" t="str">
        <x:v>CUST-0230</x:v>
      </x:c>
      <x:c r="D438" s="5" t="str">
        <x:v>FD001</x:v>
      </x:c>
      <x:c r="E438" s="5" t="str">
        <x:v>White Rice &amp; Stew</x:v>
      </x:c>
      <x:c r="F438" s="5" t="str">
        <x:v>Rice Meals</x:v>
      </x:c>
      <x:c r="G438" s="44" t="n">
        <x:v>1</x:v>
      </x:c>
      <x:c r="H438" s="45" t="n">
        <x:v>1800</x:v>
      </x:c>
      <x:c r="I438" s="46" t="n">
        <x:v>0</x:v>
      </x:c>
      <x:c r="J438" s="47" t="n">
        <x:f>G438*H438*(1-I438)</x:f>
        <x:v>1800</x:v>
      </x:c>
      <x:c r="K438" s="47" t="n">
        <x:v>820</x:v>
      </x:c>
      <x:c r="L438" s="47" t="n">
        <x:f>G438*K438</x:f>
        <x:v>820</x:v>
      </x:c>
      <x:c r="M438" s="47" t="n">
        <x:f>J438-L438</x:f>
        <x:v>980</x:v>
      </x:c>
      <x:c r="N438" s="5" t="str">
        <x:v>Takeaway</x:v>
      </x:c>
      <x:c r="O438" s="5" t="str">
        <x:v>Cash</x:v>
      </x:c>
      <x:c r="P438" s="5" t="str">
        <x:v>Breakfast</x:v>
      </x:c>
      <x:c r="Q438" s="48" t="n">
        <x:v>8</x:v>
      </x:c>
      <x:c r="R438" s="5" t="n">
        <x:v>5</x:v>
      </x:c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5" t="str">
        <x:v>ORD-00518</x:v>
      </x:c>
      <x:c r="B439" s="43" t="n">
        <x:v>46079</x:v>
      </x:c>
      <x:c r="C439" s="5" t="str">
        <x:v>CUST-0169</x:v>
      </x:c>
      <x:c r="D439" s="5" t="str">
        <x:v>FD001</x:v>
      </x:c>
      <x:c r="E439" s="5" t="str">
        <x:v>White Rice &amp; Stew</x:v>
      </x:c>
      <x:c r="F439" s="5" t="str">
        <x:v>Rice Meals</x:v>
      </x:c>
      <x:c r="G439" s="44" t="n">
        <x:v>2</x:v>
      </x:c>
      <x:c r="H439" s="45" t="n">
        <x:v>1800</x:v>
      </x:c>
      <x:c r="I439" s="46" t="n">
        <x:v>0</x:v>
      </x:c>
      <x:c r="J439" s="47" t="n">
        <x:f>G439*H439*(1-I439)</x:f>
        <x:v>3600</x:v>
      </x:c>
      <x:c r="K439" s="47" t="n">
        <x:v>820</x:v>
      </x:c>
      <x:c r="L439" s="47" t="n">
        <x:f>G439*K439</x:f>
        <x:v>1640</x:v>
      </x:c>
      <x:c r="M439" s="47" t="n">
        <x:f>J439-L439</x:f>
        <x:v>1960</x:v>
      </x:c>
      <x:c r="N439" s="5" t="str">
        <x:v>Takeaway</x:v>
      </x:c>
      <x:c r="O439" s="5" t="str">
        <x:v>Cash</x:v>
      </x:c>
      <x:c r="P439" s="5" t="str">
        <x:v>Lunch</x:v>
      </x:c>
      <x:c r="Q439" s="48" t="n">
        <x:v>15</x:v>
      </x:c>
      <x:c r="R439" s="5" t="n">
        <x:v>4</x:v>
      </x:c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5" t="str">
        <x:v>ORD-00698</x:v>
      </x:c>
      <x:c r="B440" s="43" t="n">
        <x:v>46079</x:v>
      </x:c>
      <x:c r="C440" s="5" t="str">
        <x:v>CUST-0095</x:v>
      </x:c>
      <x:c r="D440" s="5" t="str">
        <x:v>FD003</x:v>
      </x:c>
      <x:c r="E440" s="5" t="str">
        <x:v>Fried Rice &amp; Chicken</x:v>
      </x:c>
      <x:c r="F440" s="5" t="str">
        <x:v>Rice Meals</x:v>
      </x:c>
      <x:c r="G440" s="44" t="n">
        <x:v>1</x:v>
      </x:c>
      <x:c r="H440" s="45" t="n">
        <x:v>3000</x:v>
      </x:c>
      <x:c r="I440" s="46" t="n">
        <x:v>0</x:v>
      </x:c>
      <x:c r="J440" s="47" t="n">
        <x:f>G440*H440*(1-I440)</x:f>
        <x:v>3000</x:v>
      </x:c>
      <x:c r="K440" s="47" t="n">
        <x:v>1580</x:v>
      </x:c>
      <x:c r="L440" s="47" t="n">
        <x:f>G440*K440</x:f>
        <x:v>1580</x:v>
      </x:c>
      <x:c r="M440" s="47" t="n">
        <x:f>J440-L440</x:f>
        <x:v>1420</x:v>
      </x:c>
      <x:c r="N440" s="5" t="str">
        <x:v>Walk-in</x:v>
      </x:c>
      <x:c r="O440" s="5" t="str">
        <x:v>POS</x:v>
      </x:c>
      <x:c r="P440" s="5" t="str">
        <x:v>Breakfast</x:v>
      </x:c>
      <x:c r="Q440" s="48" t="n">
        <x:v>9</x:v>
      </x:c>
      <x:c r="R440" s="5" t="n">
        <x:v>5</x:v>
      </x:c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5" t="str">
        <x:v>ORD-00591</x:v>
      </x:c>
      <x:c r="B441" s="43" t="n">
        <x:v>46080</x:v>
      </x:c>
      <x:c r="C441" s="5" t="str">
        <x:v>CUST-0204</x:v>
      </x:c>
      <x:c r="D441" s="5" t="str">
        <x:v>FD010</x:v>
      </x:c>
      <x:c r="E441" s="5" t="str">
        <x:v>Soft Drink</x:v>
      </x:c>
      <x:c r="F441" s="5" t="str">
        <x:v>Beverages</x:v>
      </x:c>
      <x:c r="G441" s="44" t="n">
        <x:v>2</x:v>
      </x:c>
      <x:c r="H441" s="45" t="n">
        <x:v>600</x:v>
      </x:c>
      <x:c r="I441" s="46" t="n">
        <x:v>0</x:v>
      </x:c>
      <x:c r="J441" s="47" t="n">
        <x:f>G441*H441*(1-I441)</x:f>
        <x:v>1200</x:v>
      </x:c>
      <x:c r="K441" s="47" t="n">
        <x:v>280</x:v>
      </x:c>
      <x:c r="L441" s="47" t="n">
        <x:f>G441*K441</x:f>
        <x:v>560</x:v>
      </x:c>
      <x:c r="M441" s="47" t="n">
        <x:f>J441-L441</x:f>
        <x:v>640</x:v>
      </x:c>
      <x:c r="N441" s="5" t="str">
        <x:v>Walk-in</x:v>
      </x:c>
      <x:c r="O441" s="5" t="str">
        <x:v>Cash</x:v>
      </x:c>
      <x:c r="P441" s="5" t="str">
        <x:v>Dinner</x:v>
      </x:c>
      <x:c r="Q441" s="48" t="n">
        <x:v>17</x:v>
      </x:c>
      <x:c r="R441" s="5" t="n">
        <x:v>5</x:v>
      </x:c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5" t="str">
        <x:v>ORD-00946</x:v>
      </x:c>
      <x:c r="B442" s="43" t="n">
        <x:v>46080</x:v>
      </x:c>
      <x:c r="C442" s="5" t="str">
        <x:v>CUST-0585</x:v>
      </x:c>
      <x:c r="D442" s="5" t="str">
        <x:v>FD009</x:v>
      </x:c>
      <x:c r="E442" s="5" t="str">
        <x:v>Moi Moi</x:v>
      </x:c>
      <x:c r="F442" s="5" t="str">
        <x:v>Sides</x:v>
      </x:c>
      <x:c r="G442" s="44" t="n">
        <x:v>4</x:v>
      </x:c>
      <x:c r="H442" s="45" t="n">
        <x:v>900</x:v>
      </x:c>
      <x:c r="I442" s="46" t="n">
        <x:v>0</x:v>
      </x:c>
      <x:c r="J442" s="47" t="n">
        <x:f>G442*H442*(1-I442)</x:f>
        <x:v>3600</x:v>
      </x:c>
      <x:c r="K442" s="47" t="n">
        <x:v>380</x:v>
      </x:c>
      <x:c r="L442" s="47" t="n">
        <x:f>G442*K442</x:f>
        <x:v>1520</x:v>
      </x:c>
      <x:c r="M442" s="47" t="n">
        <x:f>J442-L442</x:f>
        <x:v>2080</x:v>
      </x:c>
      <x:c r="N442" s="5" t="str">
        <x:v>Takeaway</x:v>
      </x:c>
      <x:c r="O442" s="5" t="str">
        <x:v>POS</x:v>
      </x:c>
      <x:c r="P442" s="5" t="str">
        <x:v>Breakfast</x:v>
      </x:c>
      <x:c r="Q442" s="48" t="n">
        <x:v>10</x:v>
      </x:c>
      <x:c r="R442" s="5" t="n">
        <x:v>4</x:v>
      </x:c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5" t="str">
        <x:v>ORD-00973</x:v>
      </x:c>
      <x:c r="B443" s="43" t="n">
        <x:v>46080</x:v>
      </x:c>
      <x:c r="C443" s="5" t="str">
        <x:v>CUST-0425</x:v>
      </x:c>
      <x:c r="D443" s="5" t="str">
        <x:v>FD001</x:v>
      </x:c>
      <x:c r="E443" s="5" t="str">
        <x:v>White Rice &amp; Stew</x:v>
      </x:c>
      <x:c r="F443" s="5" t="str">
        <x:v>Rice Meals</x:v>
      </x:c>
      <x:c r="G443" s="44" t="n">
        <x:v>4</x:v>
      </x:c>
      <x:c r="H443" s="45" t="n">
        <x:v>1800</x:v>
      </x:c>
      <x:c r="I443" s="46" t="n">
        <x:v>0</x:v>
      </x:c>
      <x:c r="J443" s="47" t="n">
        <x:f>G443*H443*(1-I443)</x:f>
        <x:v>7200</x:v>
      </x:c>
      <x:c r="K443" s="47" t="n">
        <x:v>820</x:v>
      </x:c>
      <x:c r="L443" s="47" t="n">
        <x:f>G443*K443</x:f>
        <x:v>3280</x:v>
      </x:c>
      <x:c r="M443" s="47" t="n">
        <x:f>J443-L443</x:f>
        <x:v>3920</x:v>
      </x:c>
      <x:c r="N443" s="5" t="str">
        <x:v>Walk-in</x:v>
      </x:c>
      <x:c r="O443" s="5" t="str">
        <x:v>POS</x:v>
      </x:c>
      <x:c r="P443" s="5" t="str">
        <x:v>Lunch</x:v>
      </x:c>
      <x:c r="Q443" s="48" t="n">
        <x:v>14</x:v>
      </x:c>
      <x:c r="R443" s="5" t="n">
        <x:v>4</x:v>
      </x:c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5" t="str">
        <x:v>ORD-01242</x:v>
      </x:c>
      <x:c r="B444" s="43" t="n">
        <x:v>46080</x:v>
      </x:c>
      <x:c r="C444" s="5" t="str">
        <x:v>CUST-0516</x:v>
      </x:c>
      <x:c r="D444" s="5" t="str">
        <x:v>FD004</x:v>
      </x:c>
      <x:c r="E444" s="5" t="str">
        <x:v>Beans &amp; Plantain</x:v>
      </x:c>
      <x:c r="F444" s="5" t="str">
        <x:v>Traditional Meals</x:v>
      </x:c>
      <x:c r="G444" s="44" t="n">
        <x:v>4</x:v>
      </x:c>
      <x:c r="H444" s="45" t="n">
        <x:v>2000</x:v>
      </x:c>
      <x:c r="I444" s="46" t="n">
        <x:v>0.05</x:v>
      </x:c>
      <x:c r="J444" s="47" t="n">
        <x:f>G444*H444*(1-I444)</x:f>
        <x:v>7600</x:v>
      </x:c>
      <x:c r="K444" s="47" t="n">
        <x:v>960</x:v>
      </x:c>
      <x:c r="L444" s="47" t="n">
        <x:f>G444*K444</x:f>
        <x:v>3840</x:v>
      </x:c>
      <x:c r="M444" s="47" t="n">
        <x:f>J444-L444</x:f>
        <x:v>3760</x:v>
      </x:c>
      <x:c r="N444" s="5" t="str">
        <x:v>Walk-in</x:v>
      </x:c>
      <x:c r="O444" s="5" t="str">
        <x:v>POS</x:v>
      </x:c>
      <x:c r="P444" s="5" t="str">
        <x:v>Breakfast</x:v>
      </x:c>
      <x:c r="Q444" s="48" t="n">
        <x:v>9</x:v>
      </x:c>
      <x:c r="R444" s="5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5" t="str">
        <x:v>ORD-01658</x:v>
      </x:c>
      <x:c r="B445" s="43" t="n">
        <x:v>46080</x:v>
      </x:c>
      <x:c r="C445" s="5" t="str">
        <x:v>CUST-0472</x:v>
      </x:c>
      <x:c r="D445" s="5" t="str">
        <x:v>FD007</x:v>
      </x:c>
      <x:c r="E445" s="5" t="str">
        <x:v>Amala &amp; Ewedu</x:v>
      </x:c>
      <x:c r="F445" s="5" t="str">
        <x:v>Swallow</x:v>
      </x:c>
      <x:c r="G445" s="44" t="n">
        <x:v>1</x:v>
      </x:c>
      <x:c r="H445" s="45" t="n">
        <x:v>2500</x:v>
      </x:c>
      <x:c r="I445" s="46" t="n">
        <x:v>0</x:v>
      </x:c>
      <x:c r="J445" s="47" t="n">
        <x:f>G445*H445*(1-I445)</x:f>
        <x:v>2500</x:v>
      </x:c>
      <x:c r="K445" s="47" t="n">
        <x:v>1250</x:v>
      </x:c>
      <x:c r="L445" s="47" t="n">
        <x:f>G445*K445</x:f>
        <x:v>1250</x:v>
      </x:c>
      <x:c r="M445" s="47" t="n">
        <x:f>J445-L445</x:f>
        <x:v>1250</x:v>
      </x:c>
      <x:c r="N445" s="5" t="str">
        <x:v>Delivery</x:v>
      </x:c>
      <x:c r="O445" s="5" t="str">
        <x:v>Transfer</x:v>
      </x:c>
      <x:c r="P445" s="5" t="str">
        <x:v>Lunch</x:v>
      </x:c>
      <x:c r="Q445" s="48" t="n">
        <x:v>11</x:v>
      </x:c>
      <x:c r="R445" s="5" t="n">
        <x:v>3</x:v>
      </x:c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5" t="str">
        <x:v>ORD-01743</x:v>
      </x:c>
      <x:c r="B446" s="43" t="n">
        <x:v>46080</x:v>
      </x:c>
      <x:c r="C446" s="5" t="str">
        <x:v>CUST-0170</x:v>
      </x:c>
      <x:c r="D446" s="5" t="str">
        <x:v>FD007</x:v>
      </x:c>
      <x:c r="E446" s="5" t="str">
        <x:v>Amala &amp; Ewedu</x:v>
      </x:c>
      <x:c r="F446" s="5" t="str">
        <x:v>Swallow</x:v>
      </x:c>
      <x:c r="G446" s="44" t="n">
        <x:v>4</x:v>
      </x:c>
      <x:c r="H446" s="45" t="n">
        <x:v>2500</x:v>
      </x:c>
      <x:c r="I446" s="46" t="n">
        <x:v>0</x:v>
      </x:c>
      <x:c r="J446" s="47" t="n">
        <x:f>G446*H446*(1-I446)</x:f>
        <x:v>10000</x:v>
      </x:c>
      <x:c r="K446" s="47" t="n">
        <x:v>1250</x:v>
      </x:c>
      <x:c r="L446" s="47" t="n">
        <x:f>G446*K446</x:f>
        <x:v>5000</x:v>
      </x:c>
      <x:c r="M446" s="47" t="n">
        <x:f>J446-L446</x:f>
        <x:v>5000</x:v>
      </x:c>
      <x:c r="N446" s="5" t="str">
        <x:v>Takeaway</x:v>
      </x:c>
      <x:c r="O446" s="5" t="str">
        <x:v>Cash</x:v>
      </x:c>
      <x:c r="P446" s="5" t="str">
        <x:v>Dinner</x:v>
      </x:c>
      <x:c r="Q446" s="48" t="n">
        <x:v>16</x:v>
      </x:c>
      <x:c r="R446" s="5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5" t="str">
        <x:v>ORD-00239</x:v>
      </x:c>
      <x:c r="B447" s="43" t="n">
        <x:v>46081</x:v>
      </x:c>
      <x:c r="C447" s="5" t="str">
        <x:v>CUST-0360</x:v>
      </x:c>
      <x:c r="D447" s="5" t="str">
        <x:v>FD003</x:v>
      </x:c>
      <x:c r="E447" s="5" t="str">
        <x:v>Fried Rice &amp; Chicken</x:v>
      </x:c>
      <x:c r="F447" s="5" t="str">
        <x:v>Rice Meals</x:v>
      </x:c>
      <x:c r="G447" s="44" t="n">
        <x:v>1</x:v>
      </x:c>
      <x:c r="H447" s="45" t="n">
        <x:v>3000</x:v>
      </x:c>
      <x:c r="I447" s="46" t="n">
        <x:v>0</x:v>
      </x:c>
      <x:c r="J447" s="47" t="n">
        <x:f>G447*H447*(1-I447)</x:f>
        <x:v>3000</x:v>
      </x:c>
      <x:c r="K447" s="47" t="n">
        <x:v>1580</x:v>
      </x:c>
      <x:c r="L447" s="47" t="n">
        <x:f>G447*K447</x:f>
        <x:v>1580</x:v>
      </x:c>
      <x:c r="M447" s="47" t="n">
        <x:f>J447-L447</x:f>
        <x:v>1420</x:v>
      </x:c>
      <x:c r="N447" s="5" t="str">
        <x:v>Takeaway</x:v>
      </x:c>
      <x:c r="O447" s="5" t="str">
        <x:v>Cash</x:v>
      </x:c>
      <x:c r="P447" s="5" t="str">
        <x:v>Dinner</x:v>
      </x:c>
      <x:c r="Q447" s="48" t="n">
        <x:v>18</x:v>
      </x:c>
      <x:c r="R447" s="5" t="n">
        <x:v>4</x:v>
      </x:c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5" t="str">
        <x:v>ORD-00400</x:v>
      </x:c>
      <x:c r="B448" s="43" t="n">
        <x:v>46081</x:v>
      </x:c>
      <x:c r="C448" s="5" t="str">
        <x:v>CUST-0302</x:v>
      </x:c>
      <x:c r="D448" s="5" t="str">
        <x:v>FD005</x:v>
      </x:c>
      <x:c r="E448" s="5" t="str">
        <x:v>Yam Porridge</x:v>
      </x:c>
      <x:c r="F448" s="5" t="str">
        <x:v>Traditional Meals</x:v>
      </x:c>
      <x:c r="G448" s="44" t="n">
        <x:v>4</x:v>
      </x:c>
      <x:c r="H448" s="45" t="n">
        <x:v>2200</x:v>
      </x:c>
      <x:c r="I448" s="46" t="n">
        <x:v>0</x:v>
      </x:c>
      <x:c r="J448" s="47" t="n">
        <x:f>G448*H448*(1-I448)</x:f>
        <x:v>8800</x:v>
      </x:c>
      <x:c r="K448" s="47" t="n">
        <x:v>1050</x:v>
      </x:c>
      <x:c r="L448" s="47" t="n">
        <x:f>G448*K448</x:f>
        <x:v>4200</x:v>
      </x:c>
      <x:c r="M448" s="47" t="n">
        <x:f>J448-L448</x:f>
        <x:v>4600</x:v>
      </x:c>
      <x:c r="N448" s="5" t="str">
        <x:v>Takeaway</x:v>
      </x:c>
      <x:c r="O448" s="5" t="str">
        <x:v>POS</x:v>
      </x:c>
      <x:c r="P448" s="5" t="str">
        <x:v>Lunch</x:v>
      </x:c>
      <x:c r="Q448" s="48" t="n">
        <x:v>13</x:v>
      </x:c>
      <x:c r="R448" s="5" t="n">
        <x:v>4</x:v>
      </x:c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5" t="str">
        <x:v>ORD-01046</x:v>
      </x:c>
      <x:c r="B449" s="43" t="n">
        <x:v>46081</x:v>
      </x:c>
      <x:c r="C449" s="5" t="str">
        <x:v>CUST-0429</x:v>
      </x:c>
      <x:c r="D449" s="5" t="str">
        <x:v>FD001</x:v>
      </x:c>
      <x:c r="E449" s="5" t="str">
        <x:v>White Rice &amp; Stew</x:v>
      </x:c>
      <x:c r="F449" s="5" t="str">
        <x:v>Rice Meals</x:v>
      </x:c>
      <x:c r="G449" s="44" t="n">
        <x:v>2</x:v>
      </x:c>
      <x:c r="H449" s="45" t="n">
        <x:v>1800</x:v>
      </x:c>
      <x:c r="I449" s="46" t="n">
        <x:v>0</x:v>
      </x:c>
      <x:c r="J449" s="47" t="n">
        <x:f>G449*H449*(1-I449)</x:f>
        <x:v>3600</x:v>
      </x:c>
      <x:c r="K449" s="47" t="n">
        <x:v>820</x:v>
      </x:c>
      <x:c r="L449" s="47" t="n">
        <x:f>G449*K449</x:f>
        <x:v>1640</x:v>
      </x:c>
      <x:c r="M449" s="47" t="n">
        <x:f>J449-L449</x:f>
        <x:v>1960</x:v>
      </x:c>
      <x:c r="N449" s="5" t="str">
        <x:v>Walk-in</x:v>
      </x:c>
      <x:c r="O449" s="5" t="str">
        <x:v>POS</x:v>
      </x:c>
      <x:c r="P449" s="5" t="str">
        <x:v>Dinner</x:v>
      </x:c>
      <x:c r="Q449" s="48" t="n">
        <x:v>20</x:v>
      </x:c>
      <x:c r="R449" s="5" t="n">
        <x:v>5</x:v>
      </x:c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5" t="str">
        <x:v>ORD-01119</x:v>
      </x:c>
      <x:c r="B450" s="43" t="n">
        <x:v>46081</x:v>
      </x:c>
      <x:c r="C450" s="5" t="str">
        <x:v>CUST-0076</x:v>
      </x:c>
      <x:c r="D450" s="5" t="str">
        <x:v>FD001</x:v>
      </x:c>
      <x:c r="E450" s="5" t="str">
        <x:v>White Rice &amp; Stew</x:v>
      </x:c>
      <x:c r="F450" s="5" t="str">
        <x:v>Rice Meals</x:v>
      </x:c>
      <x:c r="G450" s="44" t="n">
        <x:v>4</x:v>
      </x:c>
      <x:c r="H450" s="45" t="n">
        <x:v>1800</x:v>
      </x:c>
      <x:c r="I450" s="46" t="n">
        <x:v>0</x:v>
      </x:c>
      <x:c r="J450" s="47" t="n">
        <x:f>G450*H450*(1-I450)</x:f>
        <x:v>7200</x:v>
      </x:c>
      <x:c r="K450" s="47" t="n">
        <x:v>820</x:v>
      </x:c>
      <x:c r="L450" s="47" t="n">
        <x:f>G450*K450</x:f>
        <x:v>3280</x:v>
      </x:c>
      <x:c r="M450" s="47" t="n">
        <x:f>J450-L450</x:f>
        <x:v>3920</x:v>
      </x:c>
      <x:c r="N450" s="5" t="str">
        <x:v>Takeaway</x:v>
      </x:c>
      <x:c r="O450" s="5" t="str">
        <x:v>Transfer</x:v>
      </x:c>
      <x:c r="P450" s="5" t="str">
        <x:v>Lunch</x:v>
      </x:c>
      <x:c r="Q450" s="48" t="n">
        <x:v>11</x:v>
      </x:c>
      <x:c r="R450" s="5" t="n">
        <x:v>4</x:v>
      </x:c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5" t="str">
        <x:v>ORD-01210</x:v>
      </x:c>
      <x:c r="B451" s="43" t="n">
        <x:v>46081</x:v>
      </x:c>
      <x:c r="C451" s="5" t="str">
        <x:v>CUST-0543</x:v>
      </x:c>
      <x:c r="D451" s="5" t="str">
        <x:v>FD004</x:v>
      </x:c>
      <x:c r="E451" s="5" t="str">
        <x:v>Beans &amp; Plantain</x:v>
      </x:c>
      <x:c r="F451" s="5" t="str">
        <x:v>Traditional Meals</x:v>
      </x:c>
      <x:c r="G451" s="44" t="n">
        <x:v>3</x:v>
      </x:c>
      <x:c r="H451" s="45" t="n">
        <x:v>2000</x:v>
      </x:c>
      <x:c r="I451" s="46" t="n">
        <x:v>0</x:v>
      </x:c>
      <x:c r="J451" s="47" t="n">
        <x:f>G451*H451*(1-I451)</x:f>
        <x:v>6000</x:v>
      </x:c>
      <x:c r="K451" s="47" t="n">
        <x:v>960</x:v>
      </x:c>
      <x:c r="L451" s="47" t="n">
        <x:f>G451*K451</x:f>
        <x:v>2880</x:v>
      </x:c>
      <x:c r="M451" s="47" t="n">
        <x:f>J451-L451</x:f>
        <x:v>3120</x:v>
      </x:c>
      <x:c r="N451" s="5" t="str">
        <x:v>Walk-in</x:v>
      </x:c>
      <x:c r="O451" s="5" t="str">
        <x:v>Cash</x:v>
      </x:c>
      <x:c r="P451" s="5" t="str">
        <x:v>Dinner</x:v>
      </x:c>
      <x:c r="Q451" s="48" t="n">
        <x:v>17</x:v>
      </x:c>
      <x:c r="R451" s="5" t="n">
        <x:v>5</x:v>
      </x:c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5" t="str">
        <x:v>ORD-01683</x:v>
      </x:c>
      <x:c r="B452" s="43" t="n">
        <x:v>46081</x:v>
      </x:c>
      <x:c r="C452" s="5" t="str">
        <x:v>CUST-0376</x:v>
      </x:c>
      <x:c r="D452" s="5" t="str">
        <x:v>FD006</x:v>
      </x:c>
      <x:c r="E452" s="5" t="str">
        <x:v>Eba &amp; Egusi Soup</x:v>
      </x:c>
      <x:c r="F452" s="5" t="str">
        <x:v>Swallow</x:v>
      </x:c>
      <x:c r="G452" s="44" t="n">
        <x:v>2</x:v>
      </x:c>
      <x:c r="H452" s="45" t="n">
        <x:v>2600</x:v>
      </x:c>
      <x:c r="I452" s="46" t="n">
        <x:v>0</x:v>
      </x:c>
      <x:c r="J452" s="47" t="n">
        <x:f>G452*H452*(1-I452)</x:f>
        <x:v>5200</x:v>
      </x:c>
      <x:c r="K452" s="47" t="n">
        <x:v>1320</x:v>
      </x:c>
      <x:c r="L452" s="47" t="n">
        <x:f>G452*K452</x:f>
        <x:v>2640</x:v>
      </x:c>
      <x:c r="M452" s="47" t="n">
        <x:f>J452-L452</x:f>
        <x:v>2560</x:v>
      </x:c>
      <x:c r="N452" s="5" t="str">
        <x:v>Delivery</x:v>
      </x:c>
      <x:c r="O452" s="5" t="str">
        <x:v>Transfer</x:v>
      </x:c>
      <x:c r="P452" s="5" t="str">
        <x:v>Lunch</x:v>
      </x:c>
      <x:c r="Q452" s="48" t="n">
        <x:v>11</x:v>
      </x:c>
      <x:c r="R452" s="5" t="n">
        <x:v>4</x:v>
      </x:c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5" t="str">
        <x:v>ORD-01709</x:v>
      </x:c>
      <x:c r="B453" s="43" t="n">
        <x:v>46081</x:v>
      </x:c>
      <x:c r="C453" s="5" t="str">
        <x:v>CUST-0283</x:v>
      </x:c>
      <x:c r="D453" s="5" t="str">
        <x:v>FD002</x:v>
      </x:c>
      <x:c r="E453" s="5" t="str">
        <x:v>Jollof Rice &amp; Chicken</x:v>
      </x:c>
      <x:c r="F453" s="5" t="str">
        <x:v>Rice Meals</x:v>
      </x:c>
      <x:c r="G453" s="44" t="n">
        <x:v>2</x:v>
      </x:c>
      <x:c r="H453" s="45" t="n">
        <x:v>2800</x:v>
      </x:c>
      <x:c r="I453" s="46" t="n">
        <x:v>0.05</x:v>
      </x:c>
      <x:c r="J453" s="47" t="n">
        <x:f>G453*H453*(1-I453)</x:f>
        <x:v>5320</x:v>
      </x:c>
      <x:c r="K453" s="47" t="n">
        <x:v>1450</x:v>
      </x:c>
      <x:c r="L453" s="47" t="n">
        <x:f>G453*K453</x:f>
        <x:v>2900</x:v>
      </x:c>
      <x:c r="M453" s="47" t="n">
        <x:f>J453-L453</x:f>
        <x:v>2420</x:v>
      </x:c>
      <x:c r="N453" s="5" t="str">
        <x:v>Walk-in</x:v>
      </x:c>
      <x:c r="O453" s="5" t="str">
        <x:v>POS</x:v>
      </x:c>
      <x:c r="P453" s="5" t="str">
        <x:v>Lunch</x:v>
      </x:c>
      <x:c r="Q453" s="48" t="n">
        <x:v>11</x:v>
      </x:c>
      <x:c r="R453" s="5" t="n">
        <x:v>4</x:v>
      </x:c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5" t="str">
        <x:v>ORD-01717</x:v>
      </x:c>
      <x:c r="B454" s="43" t="n">
        <x:v>46081</x:v>
      </x:c>
      <x:c r="C454" s="5" t="str">
        <x:v>CUST-0426</x:v>
      </x:c>
      <x:c r="D454" s="5" t="str">
        <x:v>FD010</x:v>
      </x:c>
      <x:c r="E454" s="5" t="str">
        <x:v>Soft Drink</x:v>
      </x:c>
      <x:c r="F454" s="5" t="str">
        <x:v>Beverages</x:v>
      </x:c>
      <x:c r="G454" s="44" t="n">
        <x:v>4</x:v>
      </x:c>
      <x:c r="H454" s="45" t="n">
        <x:v>600</x:v>
      </x:c>
      <x:c r="I454" s="46" t="n">
        <x:v>0</x:v>
      </x:c>
      <x:c r="J454" s="47" t="n">
        <x:f>G454*H454*(1-I454)</x:f>
        <x:v>2400</x:v>
      </x:c>
      <x:c r="K454" s="47" t="n">
        <x:v>280</x:v>
      </x:c>
      <x:c r="L454" s="47" t="n">
        <x:f>G454*K454</x:f>
        <x:v>1120</x:v>
      </x:c>
      <x:c r="M454" s="47" t="n">
        <x:f>J454-L454</x:f>
        <x:v>1280</x:v>
      </x:c>
      <x:c r="N454" s="5" t="str">
        <x:v>Takeaway</x:v>
      </x:c>
      <x:c r="O454" s="5" t="str">
        <x:v>Transfer</x:v>
      </x:c>
      <x:c r="P454" s="5" t="str">
        <x:v>Dinner</x:v>
      </x:c>
      <x:c r="Q454" s="48" t="n">
        <x:v>16</x:v>
      </x:c>
      <x:c r="R454" s="5" t="n">
        <x:v>4</x:v>
      </x:c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5" t="str">
        <x:v>ORD-00394</x:v>
      </x:c>
      <x:c r="B455" s="43" t="n">
        <x:v>46082</x:v>
      </x:c>
      <x:c r="C455" s="5" t="str">
        <x:v>CUST-0217</x:v>
      </x:c>
      <x:c r="D455" s="5" t="str">
        <x:v>FD005</x:v>
      </x:c>
      <x:c r="E455" s="5" t="str">
        <x:v>Yam Porridge</x:v>
      </x:c>
      <x:c r="F455" s="5" t="str">
        <x:v>Traditional Meals</x:v>
      </x:c>
      <x:c r="G455" s="44" t="n">
        <x:v>4</x:v>
      </x:c>
      <x:c r="H455" s="45" t="n">
        <x:v>2200</x:v>
      </x:c>
      <x:c r="I455" s="46" t="n">
        <x:v>0</x:v>
      </x:c>
      <x:c r="J455" s="47" t="n">
        <x:f>G455*H455*(1-I455)</x:f>
        <x:v>8800</x:v>
      </x:c>
      <x:c r="K455" s="47" t="n">
        <x:v>1050</x:v>
      </x:c>
      <x:c r="L455" s="47" t="n">
        <x:f>G455*K455</x:f>
        <x:v>4200</x:v>
      </x:c>
      <x:c r="M455" s="47" t="n">
        <x:f>J455-L455</x:f>
        <x:v>4600</x:v>
      </x:c>
      <x:c r="N455" s="5" t="str">
        <x:v>Walk-in</x:v>
      </x:c>
      <x:c r="O455" s="5" t="str">
        <x:v>POS</x:v>
      </x:c>
      <x:c r="P455" s="5" t="str">
        <x:v>Dinner</x:v>
      </x:c>
      <x:c r="Q455" s="48" t="n">
        <x:v>20</x:v>
      </x:c>
      <x:c r="R455" s="5" t="n">
        <x:v>5</x:v>
      </x:c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5" t="str">
        <x:v>ORD-00540</x:v>
      </x:c>
      <x:c r="B456" s="43" t="n">
        <x:v>46082</x:v>
      </x:c>
      <x:c r="C456" s="5" t="str">
        <x:v>CUST-0473</x:v>
      </x:c>
      <x:c r="D456" s="5" t="str">
        <x:v>FD002</x:v>
      </x:c>
      <x:c r="E456" s="5" t="str">
        <x:v>Jollof Rice &amp; Chicken</x:v>
      </x:c>
      <x:c r="F456" s="5" t="str">
        <x:v>Rice Meals</x:v>
      </x:c>
      <x:c r="G456" s="44" t="n">
        <x:v>1</x:v>
      </x:c>
      <x:c r="H456" s="45" t="n">
        <x:v>2800</x:v>
      </x:c>
      <x:c r="I456" s="46" t="n">
        <x:v>0</x:v>
      </x:c>
      <x:c r="J456" s="47" t="n">
        <x:f>G456*H456*(1-I456)</x:f>
        <x:v>2800</x:v>
      </x:c>
      <x:c r="K456" s="47" t="n">
        <x:v>1450</x:v>
      </x:c>
      <x:c r="L456" s="47" t="n">
        <x:f>G456*K456</x:f>
        <x:v>1450</x:v>
      </x:c>
      <x:c r="M456" s="47" t="n">
        <x:f>J456-L456</x:f>
        <x:v>1350</x:v>
      </x:c>
      <x:c r="N456" s="5" t="str">
        <x:v>Walk-in</x:v>
      </x:c>
      <x:c r="O456" s="5" t="str">
        <x:v>POS</x:v>
      </x:c>
      <x:c r="P456" s="5" t="str">
        <x:v>Dinner</x:v>
      </x:c>
      <x:c r="Q456" s="48" t="n">
        <x:v>20</x:v>
      </x:c>
      <x:c r="R456" s="5" t="n">
        <x:v>5</x:v>
      </x:c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5" t="str">
        <x:v>ORD-00912</x:v>
      </x:c>
      <x:c r="B457" s="43" t="n">
        <x:v>46082</x:v>
      </x:c>
      <x:c r="C457" s="5" t="str">
        <x:v>CUST-0006</x:v>
      </x:c>
      <x:c r="D457" s="5" t="str">
        <x:v>FD004</x:v>
      </x:c>
      <x:c r="E457" s="5" t="str">
        <x:v>Beans &amp; Plantain</x:v>
      </x:c>
      <x:c r="F457" s="5" t="str">
        <x:v>Traditional Meals</x:v>
      </x:c>
      <x:c r="G457" s="44" t="n">
        <x:v>1</x:v>
      </x:c>
      <x:c r="H457" s="45" t="n">
        <x:v>2000</x:v>
      </x:c>
      <x:c r="I457" s="46" t="n">
        <x:v>0</x:v>
      </x:c>
      <x:c r="J457" s="47" t="n">
        <x:f>G457*H457*(1-I457)</x:f>
        <x:v>2000</x:v>
      </x:c>
      <x:c r="K457" s="47" t="n">
        <x:v>960</x:v>
      </x:c>
      <x:c r="L457" s="47" t="n">
        <x:f>G457*K457</x:f>
        <x:v>960</x:v>
      </x:c>
      <x:c r="M457" s="47" t="n">
        <x:f>J457-L457</x:f>
        <x:v>1040</x:v>
      </x:c>
      <x:c r="N457" s="5" t="str">
        <x:v>Walk-in</x:v>
      </x:c>
      <x:c r="O457" s="5" t="str">
        <x:v>Transfer</x:v>
      </x:c>
      <x:c r="P457" s="5" t="str">
        <x:v>Lunch</x:v>
      </x:c>
      <x:c r="Q457" s="48" t="n">
        <x:v>14</x:v>
      </x:c>
      <x:c r="R457" s="5" t="n">
        <x:v>5</x:v>
      </x:c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5" t="str">
        <x:v>ORD-00969</x:v>
      </x:c>
      <x:c r="B458" s="43" t="n">
        <x:v>46082</x:v>
      </x:c>
      <x:c r="C458" s="5" t="str">
        <x:v>CUST-0271</x:v>
      </x:c>
      <x:c r="D458" s="5" t="str">
        <x:v>FD003</x:v>
      </x:c>
      <x:c r="E458" s="5" t="str">
        <x:v>Fried Rice &amp; Chicken</x:v>
      </x:c>
      <x:c r="F458" s="5" t="str">
        <x:v>Rice Meals</x:v>
      </x:c>
      <x:c r="G458" s="44" t="n">
        <x:v>4</x:v>
      </x:c>
      <x:c r="H458" s="45" t="n">
        <x:v>3000</x:v>
      </x:c>
      <x:c r="I458" s="46" t="n">
        <x:v>0</x:v>
      </x:c>
      <x:c r="J458" s="47" t="n">
        <x:f>G458*H458*(1-I458)</x:f>
        <x:v>12000</x:v>
      </x:c>
      <x:c r="K458" s="47" t="n">
        <x:v>1580</x:v>
      </x:c>
      <x:c r="L458" s="47" t="n">
        <x:f>G458*K458</x:f>
        <x:v>6320</x:v>
      </x:c>
      <x:c r="M458" s="47" t="n">
        <x:f>J458-L458</x:f>
        <x:v>5680</x:v>
      </x:c>
      <x:c r="N458" s="5" t="str">
        <x:v>Walk-in</x:v>
      </x:c>
      <x:c r="O458" s="5" t="str">
        <x:v>Transfer</x:v>
      </x:c>
      <x:c r="P458" s="5" t="str">
        <x:v>Breakfast</x:v>
      </x:c>
      <x:c r="Q458" s="48" t="n">
        <x:v>10</x:v>
      </x:c>
      <x:c r="R458" s="5" t="n">
        <x:v>5</x:v>
      </x:c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5" t="str">
        <x:v>ORD-01037</x:v>
      </x:c>
      <x:c r="B459" s="43" t="n">
        <x:v>46082</x:v>
      </x:c>
      <x:c r="C459" s="5" t="str">
        <x:v>CUST-0566</x:v>
      </x:c>
      <x:c r="D459" s="5" t="str">
        <x:v>FD003</x:v>
      </x:c>
      <x:c r="E459" s="5" t="str">
        <x:v>Fried Rice &amp; Chicken</x:v>
      </x:c>
      <x:c r="F459" s="5" t="str">
        <x:v>Rice Meals</x:v>
      </x:c>
      <x:c r="G459" s="44" t="n">
        <x:v>1</x:v>
      </x:c>
      <x:c r="H459" s="45" t="n">
        <x:v>3000</x:v>
      </x:c>
      <x:c r="I459" s="46" t="n">
        <x:v>0</x:v>
      </x:c>
      <x:c r="J459" s="47" t="n">
        <x:f>G459*H459*(1-I459)</x:f>
        <x:v>3000</x:v>
      </x:c>
      <x:c r="K459" s="47" t="n">
        <x:v>1580</x:v>
      </x:c>
      <x:c r="L459" s="47" t="n">
        <x:f>G459*K459</x:f>
        <x:v>1580</x:v>
      </x:c>
      <x:c r="M459" s="47" t="n">
        <x:f>J459-L459</x:f>
        <x:v>1420</x:v>
      </x:c>
      <x:c r="N459" s="5" t="str">
        <x:v>Walk-in</x:v>
      </x:c>
      <x:c r="O459" s="5" t="str">
        <x:v>POS</x:v>
      </x:c>
      <x:c r="P459" s="5" t="str">
        <x:v>Dinner</x:v>
      </x:c>
      <x:c r="Q459" s="48" t="n">
        <x:v>16</x:v>
      </x:c>
      <x:c r="R459" s="5" t="n">
        <x:v>4</x:v>
      </x:c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5" t="str">
        <x:v>ORD-01407</x:v>
      </x:c>
      <x:c r="B460" s="43" t="n">
        <x:v>46082</x:v>
      </x:c>
      <x:c r="C460" s="5" t="str">
        <x:v>CUST-0452</x:v>
      </x:c>
      <x:c r="D460" s="5" t="str">
        <x:v>FD003</x:v>
      </x:c>
      <x:c r="E460" s="5" t="str">
        <x:v>Fried Rice &amp; Chicken</x:v>
      </x:c>
      <x:c r="F460" s="5" t="str">
        <x:v>Rice Meals</x:v>
      </x:c>
      <x:c r="G460" s="44" t="n">
        <x:v>3</x:v>
      </x:c>
      <x:c r="H460" s="45" t="n">
        <x:v>3000</x:v>
      </x:c>
      <x:c r="I460" s="46" t="n">
        <x:v>0</x:v>
      </x:c>
      <x:c r="J460" s="47" t="n">
        <x:f>G460*H460*(1-I460)</x:f>
        <x:v>9000</x:v>
      </x:c>
      <x:c r="K460" s="47" t="n">
        <x:v>1580</x:v>
      </x:c>
      <x:c r="L460" s="47" t="n">
        <x:f>G460*K460</x:f>
        <x:v>4740</x:v>
      </x:c>
      <x:c r="M460" s="47" t="n">
        <x:f>J460-L460</x:f>
        <x:v>4260</x:v>
      </x:c>
      <x:c r="N460" s="5" t="str">
        <x:v>Delivery</x:v>
      </x:c>
      <x:c r="O460" s="5" t="str">
        <x:v>Transfer</x:v>
      </x:c>
      <x:c r="P460" s="5" t="str">
        <x:v>Lunch</x:v>
      </x:c>
      <x:c r="Q460" s="48" t="n">
        <x:v>12</x:v>
      </x:c>
      <x:c r="R460" s="5" t="n">
        <x:v>5</x:v>
      </x:c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5" t="str">
        <x:v>ORD-01619</x:v>
      </x:c>
      <x:c r="B461" s="43" t="n">
        <x:v>46082</x:v>
      </x:c>
      <x:c r="C461" s="5" t="str">
        <x:v>CUST-0427</x:v>
      </x:c>
      <x:c r="D461" s="5" t="str">
        <x:v>FD003</x:v>
      </x:c>
      <x:c r="E461" s="5" t="str">
        <x:v>Fried Rice &amp; Chicken</x:v>
      </x:c>
      <x:c r="F461" s="5" t="str">
        <x:v>Rice Meals</x:v>
      </x:c>
      <x:c r="G461" s="44" t="n">
        <x:v>1</x:v>
      </x:c>
      <x:c r="H461" s="45" t="n">
        <x:v>3000</x:v>
      </x:c>
      <x:c r="I461" s="46" t="n">
        <x:v>0.1</x:v>
      </x:c>
      <x:c r="J461" s="47" t="n">
        <x:f>G461*H461*(1-I461)</x:f>
        <x:v>2700</x:v>
      </x:c>
      <x:c r="K461" s="47" t="n">
        <x:v>1580</x:v>
      </x:c>
      <x:c r="L461" s="47" t="n">
        <x:f>G461*K461</x:f>
        <x:v>1580</x:v>
      </x:c>
      <x:c r="M461" s="47" t="n">
        <x:f>J461-L461</x:f>
        <x:v>1120</x:v>
      </x:c>
      <x:c r="N461" s="5" t="str">
        <x:v>Walk-in</x:v>
      </x:c>
      <x:c r="O461" s="5" t="str">
        <x:v>Cash</x:v>
      </x:c>
      <x:c r="P461" s="5" t="str">
        <x:v>Lunch</x:v>
      </x:c>
      <x:c r="Q461" s="48" t="n">
        <x:v>14</x:v>
      </x:c>
      <x:c r="R461" s="5" t="n">
        <x:v>5</x:v>
      </x:c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5" t="str">
        <x:v>ORD-00244</x:v>
      </x:c>
      <x:c r="B462" s="43" t="n">
        <x:v>46083</x:v>
      </x:c>
      <x:c r="C462" s="5" t="str">
        <x:v>CUST-0399</x:v>
      </x:c>
      <x:c r="D462" s="5" t="str">
        <x:v>FD007</x:v>
      </x:c>
      <x:c r="E462" s="5" t="str">
        <x:v>Amala &amp; Ewedu</x:v>
      </x:c>
      <x:c r="F462" s="5" t="str">
        <x:v>Swallow</x:v>
      </x:c>
      <x:c r="G462" s="44" t="n">
        <x:v>2</x:v>
      </x:c>
      <x:c r="H462" s="45" t="n">
        <x:v>2500</x:v>
      </x:c>
      <x:c r="I462" s="46" t="n">
        <x:v>0.05</x:v>
      </x:c>
      <x:c r="J462" s="47" t="n">
        <x:f>G462*H462*(1-I462)</x:f>
        <x:v>4750</x:v>
      </x:c>
      <x:c r="K462" s="47" t="n">
        <x:v>1250</x:v>
      </x:c>
      <x:c r="L462" s="47" t="n">
        <x:f>G462*K462</x:f>
        <x:v>2500</x:v>
      </x:c>
      <x:c r="M462" s="47" t="n">
        <x:f>J462-L462</x:f>
        <x:v>2250</x:v>
      </x:c>
      <x:c r="N462" s="5" t="str">
        <x:v>Walk-in</x:v>
      </x:c>
      <x:c r="O462" s="5" t="str">
        <x:v>Cash</x:v>
      </x:c>
      <x:c r="P462" s="5" t="str">
        <x:v>Dinner</x:v>
      </x:c>
      <x:c r="Q462" s="48" t="n">
        <x:v>18</x:v>
      </x:c>
      <x:c r="R462" s="5" t="n">
        <x:v>5</x:v>
      </x:c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5" t="str">
        <x:v>ORD-00475</x:v>
      </x:c>
      <x:c r="B463" s="43" t="n">
        <x:v>46083</x:v>
      </x:c>
      <x:c r="C463" s="5" t="str">
        <x:v>CUST-0299</x:v>
      </x:c>
      <x:c r="D463" s="5" t="str">
        <x:v>FD002</x:v>
      </x:c>
      <x:c r="E463" s="5" t="str">
        <x:v>Jollof Rice &amp; Chicken</x:v>
      </x:c>
      <x:c r="F463" s="5" t="str">
        <x:v>Rice Meals</x:v>
      </x:c>
      <x:c r="G463" s="44" t="n">
        <x:v>3</x:v>
      </x:c>
      <x:c r="H463" s="45" t="n">
        <x:v>2800</x:v>
      </x:c>
      <x:c r="I463" s="46" t="n">
        <x:v>0</x:v>
      </x:c>
      <x:c r="J463" s="47" t="n">
        <x:f>G463*H463*(1-I463)</x:f>
        <x:v>8400</x:v>
      </x:c>
      <x:c r="K463" s="47" t="n">
        <x:v>1450</x:v>
      </x:c>
      <x:c r="L463" s="47" t="n">
        <x:f>G463*K463</x:f>
        <x:v>4350</x:v>
      </x:c>
      <x:c r="M463" s="47" t="n">
        <x:f>J463-L463</x:f>
        <x:v>4050</x:v>
      </x:c>
      <x:c r="N463" s="5" t="str">
        <x:v>Walk-in</x:v>
      </x:c>
      <x:c r="O463" s="5" t="str">
        <x:v>POS</x:v>
      </x:c>
      <x:c r="P463" s="5" t="str">
        <x:v>Lunch</x:v>
      </x:c>
      <x:c r="Q463" s="48" t="n">
        <x:v>13</x:v>
      </x:c>
      <x:c r="R463" s="5" t="n">
        <x:v>4</x:v>
      </x:c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5" t="str">
        <x:v>ORD-00555</x:v>
      </x:c>
      <x:c r="B464" s="43" t="n">
        <x:v>46083</x:v>
      </x:c>
      <x:c r="C464" s="5" t="str">
        <x:v>CUST-0615</x:v>
      </x:c>
      <x:c r="D464" s="5" t="str">
        <x:v>FD006</x:v>
      </x:c>
      <x:c r="E464" s="5" t="str">
        <x:v>Eba &amp; Egusi Soup</x:v>
      </x:c>
      <x:c r="F464" s="5" t="str">
        <x:v>Swallow</x:v>
      </x:c>
      <x:c r="G464" s="44" t="n">
        <x:v>1</x:v>
      </x:c>
      <x:c r="H464" s="45" t="n">
        <x:v>2600</x:v>
      </x:c>
      <x:c r="I464" s="46" t="n">
        <x:v>0</x:v>
      </x:c>
      <x:c r="J464" s="47" t="n">
        <x:f>G464*H464*(1-I464)</x:f>
        <x:v>2600</x:v>
      </x:c>
      <x:c r="K464" s="47" t="n">
        <x:v>1320</x:v>
      </x:c>
      <x:c r="L464" s="47" t="n">
        <x:f>G464*K464</x:f>
        <x:v>1320</x:v>
      </x:c>
      <x:c r="M464" s="47" t="n">
        <x:f>J464-L464</x:f>
        <x:v>1280</x:v>
      </x:c>
      <x:c r="N464" s="5" t="str">
        <x:v>Walk-in</x:v>
      </x:c>
      <x:c r="O464" s="5" t="str">
        <x:v>POS</x:v>
      </x:c>
      <x:c r="P464" s="5" t="str">
        <x:v>Lunch</x:v>
      </x:c>
      <x:c r="Q464" s="48" t="n">
        <x:v>15</x:v>
      </x:c>
      <x:c r="R464" s="5" t="n">
        <x:v>4</x:v>
      </x:c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5" t="str">
        <x:v>ORD-00729</x:v>
      </x:c>
      <x:c r="B465" s="43" t="n">
        <x:v>46083</x:v>
      </x:c>
      <x:c r="C465" s="5" t="str">
        <x:v>CUST-0625</x:v>
      </x:c>
      <x:c r="D465" s="5" t="str">
        <x:v>FD006</x:v>
      </x:c>
      <x:c r="E465" s="5" t="str">
        <x:v>Eba &amp; Egusi Soup</x:v>
      </x:c>
      <x:c r="F465" s="5" t="str">
        <x:v>Swallow</x:v>
      </x:c>
      <x:c r="G465" s="44" t="n">
        <x:v>4</x:v>
      </x:c>
      <x:c r="H465" s="45" t="n">
        <x:v>2600</x:v>
      </x:c>
      <x:c r="I465" s="46" t="n">
        <x:v>0</x:v>
      </x:c>
      <x:c r="J465" s="47" t="n">
        <x:f>G465*H465*(1-I465)</x:f>
        <x:v>10400</x:v>
      </x:c>
      <x:c r="K465" s="47" t="n">
        <x:v>1320</x:v>
      </x:c>
      <x:c r="L465" s="47" t="n">
        <x:f>G465*K465</x:f>
        <x:v>5280</x:v>
      </x:c>
      <x:c r="M465" s="47" t="n">
        <x:f>J465-L465</x:f>
        <x:v>5120</x:v>
      </x:c>
      <x:c r="N465" s="5" t="str">
        <x:v>Walk-in</x:v>
      </x:c>
      <x:c r="O465" s="5" t="str">
        <x:v>POS</x:v>
      </x:c>
      <x:c r="P465" s="5" t="str">
        <x:v>Lunch</x:v>
      </x:c>
      <x:c r="Q465" s="48" t="n">
        <x:v>15</x:v>
      </x:c>
      <x:c r="R465" s="5" t="n">
        <x:v>5</x:v>
      </x:c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5" t="str">
        <x:v>ORD-00747</x:v>
      </x:c>
      <x:c r="B466" s="43" t="n">
        <x:v>46083</x:v>
      </x:c>
      <x:c r="C466" s="5" t="str">
        <x:v>CUST-0169</x:v>
      </x:c>
      <x:c r="D466" s="5" t="str">
        <x:v>FD002</x:v>
      </x:c>
      <x:c r="E466" s="5" t="str">
        <x:v>Jollof Rice &amp; Chicken</x:v>
      </x:c>
      <x:c r="F466" s="5" t="str">
        <x:v>Rice Meals</x:v>
      </x:c>
      <x:c r="G466" s="44" t="n">
        <x:v>4</x:v>
      </x:c>
      <x:c r="H466" s="45" t="n">
        <x:v>2800</x:v>
      </x:c>
      <x:c r="I466" s="46" t="n">
        <x:v>0</x:v>
      </x:c>
      <x:c r="J466" s="47" t="n">
        <x:f>G466*H466*(1-I466)</x:f>
        <x:v>11200</x:v>
      </x:c>
      <x:c r="K466" s="47" t="n">
        <x:v>1450</x:v>
      </x:c>
      <x:c r="L466" s="47" t="n">
        <x:f>G466*K466</x:f>
        <x:v>5800</x:v>
      </x:c>
      <x:c r="M466" s="47" t="n">
        <x:f>J466-L466</x:f>
        <x:v>5400</x:v>
      </x:c>
      <x:c r="N466" s="5" t="str">
        <x:v>Walk-in</x:v>
      </x:c>
      <x:c r="O466" s="5" t="str">
        <x:v>Cash</x:v>
      </x:c>
      <x:c r="P466" s="5" t="str">
        <x:v>Lunch</x:v>
      </x:c>
      <x:c r="Q466" s="48" t="n">
        <x:v>12</x:v>
      </x:c>
      <x:c r="R466" s="5" t="n">
        <x:v>3</x:v>
      </x:c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5" t="str">
        <x:v>ORD-00916</x:v>
      </x:c>
      <x:c r="B467" s="43" t="n">
        <x:v>46083</x:v>
      </x:c>
      <x:c r="C467" s="5" t="str">
        <x:v>CUST-0502</x:v>
      </x:c>
      <x:c r="D467" s="5" t="str">
        <x:v>FD003</x:v>
      </x:c>
      <x:c r="E467" s="5" t="str">
        <x:v>Fried Rice &amp; Chicken</x:v>
      </x:c>
      <x:c r="F467" s="5" t="str">
        <x:v>Rice Meals</x:v>
      </x:c>
      <x:c r="G467" s="44" t="n">
        <x:v>3</x:v>
      </x:c>
      <x:c r="H467" s="45" t="n">
        <x:v>3000</x:v>
      </x:c>
      <x:c r="I467" s="46" t="n">
        <x:v>0.05</x:v>
      </x:c>
      <x:c r="J467" s="47" t="n">
        <x:f>G467*H467*(1-I467)</x:f>
        <x:v>8550</x:v>
      </x:c>
      <x:c r="K467" s="47" t="n">
        <x:v>1580</x:v>
      </x:c>
      <x:c r="L467" s="47" t="n">
        <x:f>G467*K467</x:f>
        <x:v>4740</x:v>
      </x:c>
      <x:c r="M467" s="47" t="n">
        <x:f>J467-L467</x:f>
        <x:v>3810</x:v>
      </x:c>
      <x:c r="N467" s="5" t="str">
        <x:v>Takeaway</x:v>
      </x:c>
      <x:c r="O467" s="5" t="str">
        <x:v>Cash</x:v>
      </x:c>
      <x:c r="P467" s="5" t="str">
        <x:v>Lunch</x:v>
      </x:c>
      <x:c r="Q467" s="48" t="n">
        <x:v>15</x:v>
      </x:c>
      <x:c r="R467" s="5" t="n">
        <x:v>4</x:v>
      </x:c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5" t="str">
        <x:v>ORD-01384</x:v>
      </x:c>
      <x:c r="B468" s="43" t="n">
        <x:v>46083</x:v>
      </x:c>
      <x:c r="C468" s="5" t="str">
        <x:v>CUST-0306</x:v>
      </x:c>
      <x:c r="D468" s="5" t="str">
        <x:v>FD006</x:v>
      </x:c>
      <x:c r="E468" s="5" t="str">
        <x:v>Eba &amp; Egusi Soup</x:v>
      </x:c>
      <x:c r="F468" s="5" t="str">
        <x:v>Swallow</x:v>
      </x:c>
      <x:c r="G468" s="44" t="n">
        <x:v>3</x:v>
      </x:c>
      <x:c r="H468" s="45" t="n">
        <x:v>2600</x:v>
      </x:c>
      <x:c r="I468" s="46" t="n">
        <x:v>0</x:v>
      </x:c>
      <x:c r="J468" s="47" t="n">
        <x:f>G468*H468*(1-I468)</x:f>
        <x:v>7800</x:v>
      </x:c>
      <x:c r="K468" s="47" t="n">
        <x:v>1320</x:v>
      </x:c>
      <x:c r="L468" s="47" t="n">
        <x:f>G468*K468</x:f>
        <x:v>3960</x:v>
      </x:c>
      <x:c r="M468" s="47" t="n">
        <x:f>J468-L468</x:f>
        <x:v>3840</x:v>
      </x:c>
      <x:c r="N468" s="5" t="str">
        <x:v>Delivery</x:v>
      </x:c>
      <x:c r="O468" s="5" t="str">
        <x:v>POS</x:v>
      </x:c>
      <x:c r="P468" s="5" t="str">
        <x:v>Dinner</x:v>
      </x:c>
      <x:c r="Q468" s="48" t="n">
        <x:v>20</x:v>
      </x:c>
      <x:c r="R468" s="5" t="n">
        <x:v>4</x:v>
      </x:c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5" t="str">
        <x:v>ORD-01627</x:v>
      </x:c>
      <x:c r="B469" s="43" t="n">
        <x:v>46083</x:v>
      </x:c>
      <x:c r="C469" s="5" t="str">
        <x:v>CUST-0170</x:v>
      </x:c>
      <x:c r="D469" s="5" t="str">
        <x:v>FD011</x:v>
      </x:c>
      <x:c r="E469" s="5" t="str">
        <x:v>Bottled Water</x:v>
      </x:c>
      <x:c r="F469" s="5" t="str">
        <x:v>Beverages</x:v>
      </x:c>
      <x:c r="G469" s="44" t="n">
        <x:v>2</x:v>
      </x:c>
      <x:c r="H469" s="45" t="n">
        <x:v>300</x:v>
      </x:c>
      <x:c r="I469" s="46" t="n">
        <x:v>0</x:v>
      </x:c>
      <x:c r="J469" s="47" t="n">
        <x:f>G469*H469*(1-I469)</x:f>
        <x:v>600</x:v>
      </x:c>
      <x:c r="K469" s="47" t="n">
        <x:v>120</x:v>
      </x:c>
      <x:c r="L469" s="47" t="n">
        <x:f>G469*K469</x:f>
        <x:v>240</x:v>
      </x:c>
      <x:c r="M469" s="47" t="n">
        <x:f>J469-L469</x:f>
        <x:v>360</x:v>
      </x:c>
      <x:c r="N469" s="5" t="str">
        <x:v>Takeaway</x:v>
      </x:c>
      <x:c r="O469" s="5" t="str">
        <x:v>POS</x:v>
      </x:c>
      <x:c r="P469" s="5" t="str">
        <x:v>Lunch</x:v>
      </x:c>
      <x:c r="Q469" s="48" t="n">
        <x:v>14</x:v>
      </x:c>
      <x:c r="R469" s="5" t="n">
        <x:v>5</x:v>
      </x:c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5" t="str">
        <x:v>ORD-00167</x:v>
      </x:c>
      <x:c r="B470" s="43" t="n">
        <x:v>46084</x:v>
      </x:c>
      <x:c r="C470" s="5" t="str">
        <x:v>CUST-0223</x:v>
      </x:c>
      <x:c r="D470" s="5" t="str">
        <x:v>FD009</x:v>
      </x:c>
      <x:c r="E470" s="5" t="str">
        <x:v>Moi Moi</x:v>
      </x:c>
      <x:c r="F470" s="5" t="str">
        <x:v>Sides</x:v>
      </x:c>
      <x:c r="G470" s="44" t="n">
        <x:v>3</x:v>
      </x:c>
      <x:c r="H470" s="45" t="n">
        <x:v>900</x:v>
      </x:c>
      <x:c r="I470" s="46" t="n">
        <x:v>0</x:v>
      </x:c>
      <x:c r="J470" s="47" t="n">
        <x:f>G470*H470*(1-I470)</x:f>
        <x:v>2700</x:v>
      </x:c>
      <x:c r="K470" s="47" t="n">
        <x:v>380</x:v>
      </x:c>
      <x:c r="L470" s="47" t="n">
        <x:f>G470*K470</x:f>
        <x:v>1140</x:v>
      </x:c>
      <x:c r="M470" s="47" t="n">
        <x:f>J470-L470</x:f>
        <x:v>1560</x:v>
      </x:c>
      <x:c r="N470" s="5" t="str">
        <x:v>Takeaway</x:v>
      </x:c>
      <x:c r="O470" s="5" t="str">
        <x:v>POS</x:v>
      </x:c>
      <x:c r="P470" s="5" t="str">
        <x:v>Dinner</x:v>
      </x:c>
      <x:c r="Q470" s="48" t="n">
        <x:v>17</x:v>
      </x:c>
      <x:c r="R470" s="5" t="n">
        <x:v>3</x:v>
      </x:c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5" t="str">
        <x:v>ORD-00433</x:v>
      </x:c>
      <x:c r="B471" s="43" t="n">
        <x:v>46084</x:v>
      </x:c>
      <x:c r="C471" s="5" t="str">
        <x:v>CUST-0099</x:v>
      </x:c>
      <x:c r="D471" s="5" t="str">
        <x:v>FD006</x:v>
      </x:c>
      <x:c r="E471" s="5" t="str">
        <x:v>Eba &amp; Egusi Soup</x:v>
      </x:c>
      <x:c r="F471" s="5" t="str">
        <x:v>Swallow</x:v>
      </x:c>
      <x:c r="G471" s="44" t="n">
        <x:v>3</x:v>
      </x:c>
      <x:c r="H471" s="45" t="n">
        <x:v>2600</x:v>
      </x:c>
      <x:c r="I471" s="46" t="n">
        <x:v>0</x:v>
      </x:c>
      <x:c r="J471" s="47" t="n">
        <x:f>G471*H471*(1-I471)</x:f>
        <x:v>7800</x:v>
      </x:c>
      <x:c r="K471" s="47" t="n">
        <x:v>1320</x:v>
      </x:c>
      <x:c r="L471" s="47" t="n">
        <x:f>G471*K471</x:f>
        <x:v>3960</x:v>
      </x:c>
      <x:c r="M471" s="47" t="n">
        <x:f>J471-L471</x:f>
        <x:v>3840</x:v>
      </x:c>
      <x:c r="N471" s="5" t="str">
        <x:v>Walk-in</x:v>
      </x:c>
      <x:c r="O471" s="5" t="str">
        <x:v>Transfer</x:v>
      </x:c>
      <x:c r="P471" s="5" t="str">
        <x:v>Lunch</x:v>
      </x:c>
      <x:c r="Q471" s="48" t="n">
        <x:v>14</x:v>
      </x:c>
      <x:c r="R471" s="5" t="n">
        <x:v>4</x:v>
      </x:c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5" t="str">
        <x:v>ORD-00624</x:v>
      </x:c>
      <x:c r="B472" s="43" t="n">
        <x:v>46084</x:v>
      </x:c>
      <x:c r="C472" s="5" t="str">
        <x:v>CUST-0522</x:v>
      </x:c>
      <x:c r="D472" s="5" t="str">
        <x:v>FD001</x:v>
      </x:c>
      <x:c r="E472" s="5" t="str">
        <x:v>White Rice &amp; Stew</x:v>
      </x:c>
      <x:c r="F472" s="5" t="str">
        <x:v>Rice Meals</x:v>
      </x:c>
      <x:c r="G472" s="44" t="n">
        <x:v>2</x:v>
      </x:c>
      <x:c r="H472" s="45" t="n">
        <x:v>1800</x:v>
      </x:c>
      <x:c r="I472" s="46" t="n">
        <x:v>0</x:v>
      </x:c>
      <x:c r="J472" s="47" t="n">
        <x:f>G472*H472*(1-I472)</x:f>
        <x:v>3600</x:v>
      </x:c>
      <x:c r="K472" s="47" t="n">
        <x:v>820</x:v>
      </x:c>
      <x:c r="L472" s="47" t="n">
        <x:f>G472*K472</x:f>
        <x:v>1640</x:v>
      </x:c>
      <x:c r="M472" s="47" t="n">
        <x:f>J472-L472</x:f>
        <x:v>1960</x:v>
      </x:c>
      <x:c r="N472" s="5" t="str">
        <x:v>Walk-in</x:v>
      </x:c>
      <x:c r="O472" s="5" t="str">
        <x:v>POS</x:v>
      </x:c>
      <x:c r="P472" s="5" t="str">
        <x:v>Lunch</x:v>
      </x:c>
      <x:c r="Q472" s="48" t="n">
        <x:v>11</x:v>
      </x:c>
      <x:c r="R472" s="5" t="n">
        <x:v>4</x:v>
      </x:c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5" t="str">
        <x:v>ORD-00852</x:v>
      </x:c>
      <x:c r="B473" s="43" t="n">
        <x:v>46084</x:v>
      </x:c>
      <x:c r="C473" s="5" t="str">
        <x:v>CUST-0607</x:v>
      </x:c>
      <x:c r="D473" s="5" t="str">
        <x:v>FD002</x:v>
      </x:c>
      <x:c r="E473" s="5" t="str">
        <x:v>Jollof Rice &amp; Chicken</x:v>
      </x:c>
      <x:c r="F473" s="5" t="str">
        <x:v>Rice Meals</x:v>
      </x:c>
      <x:c r="G473" s="44" t="n">
        <x:v>1</x:v>
      </x:c>
      <x:c r="H473" s="45" t="n">
        <x:v>2800</x:v>
      </x:c>
      <x:c r="I473" s="46" t="n">
        <x:v>0</x:v>
      </x:c>
      <x:c r="J473" s="47" t="n">
        <x:f>G473*H473*(1-I473)</x:f>
        <x:v>2800</x:v>
      </x:c>
      <x:c r="K473" s="47" t="n">
        <x:v>1450</x:v>
      </x:c>
      <x:c r="L473" s="47" t="n">
        <x:f>G473*K473</x:f>
        <x:v>1450</x:v>
      </x:c>
      <x:c r="M473" s="47" t="n">
        <x:f>J473-L473</x:f>
        <x:v>1350</x:v>
      </x:c>
      <x:c r="N473" s="5" t="str">
        <x:v>Takeaway</x:v>
      </x:c>
      <x:c r="O473" s="5" t="str">
        <x:v>Transfer</x:v>
      </x:c>
      <x:c r="P473" s="5" t="str">
        <x:v>Breakfast</x:v>
      </x:c>
      <x:c r="Q473" s="48" t="n">
        <x:v>8</x:v>
      </x:c>
      <x:c r="R473" s="5" t="n">
        <x:v>4</x:v>
      </x:c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5" t="str">
        <x:v>ORD-00864</x:v>
      </x:c>
      <x:c r="B474" s="43" t="n">
        <x:v>46084</x:v>
      </x:c>
      <x:c r="C474" s="5" t="str">
        <x:v>CUST-0006</x:v>
      </x:c>
      <x:c r="D474" s="5" t="str">
        <x:v>FD002</x:v>
      </x:c>
      <x:c r="E474" s="5" t="str">
        <x:v>Jollof Rice &amp; Chicken</x:v>
      </x:c>
      <x:c r="F474" s="5" t="str">
        <x:v>Rice Meals</x:v>
      </x:c>
      <x:c r="G474" s="44" t="n">
        <x:v>1</x:v>
      </x:c>
      <x:c r="H474" s="45" t="n">
        <x:v>2800</x:v>
      </x:c>
      <x:c r="I474" s="46" t="n">
        <x:v>0.05</x:v>
      </x:c>
      <x:c r="J474" s="47" t="n">
        <x:f>G474*H474*(1-I474)</x:f>
        <x:v>2660</x:v>
      </x:c>
      <x:c r="K474" s="47" t="n">
        <x:v>1450</x:v>
      </x:c>
      <x:c r="L474" s="47" t="n">
        <x:f>G474*K474</x:f>
        <x:v>1450</x:v>
      </x:c>
      <x:c r="M474" s="47" t="n">
        <x:f>J474-L474</x:f>
        <x:v>1210</x:v>
      </x:c>
      <x:c r="N474" s="5" t="str">
        <x:v>Takeaway</x:v>
      </x:c>
      <x:c r="O474" s="5" t="str">
        <x:v>Transfer</x:v>
      </x:c>
      <x:c r="P474" s="5" t="str">
        <x:v>Lunch</x:v>
      </x:c>
      <x:c r="Q474" s="48" t="n">
        <x:v>12</x:v>
      </x:c>
      <x:c r="R474" s="5" t="n">
        <x:v>4</x:v>
      </x:c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5" t="str">
        <x:v>ORD-00291</x:v>
      </x:c>
      <x:c r="B475" s="43" t="n">
        <x:v>46085</x:v>
      </x:c>
      <x:c r="C475" s="5" t="str">
        <x:v>CUST-0364</x:v>
      </x:c>
      <x:c r="D475" s="5" t="str">
        <x:v>FD006</x:v>
      </x:c>
      <x:c r="E475" s="5" t="str">
        <x:v>Eba &amp; Egusi Soup</x:v>
      </x:c>
      <x:c r="F475" s="5" t="str">
        <x:v>Swallow</x:v>
      </x:c>
      <x:c r="G475" s="44" t="n">
        <x:v>3</x:v>
      </x:c>
      <x:c r="H475" s="45" t="n">
        <x:v>2600</x:v>
      </x:c>
      <x:c r="I475" s="46" t="n">
        <x:v>0</x:v>
      </x:c>
      <x:c r="J475" s="47" t="n">
        <x:f>G475*H475*(1-I475)</x:f>
        <x:v>7800</x:v>
      </x:c>
      <x:c r="K475" s="47" t="n">
        <x:v>1320</x:v>
      </x:c>
      <x:c r="L475" s="47" t="n">
        <x:f>G475*K475</x:f>
        <x:v>3960</x:v>
      </x:c>
      <x:c r="M475" s="47" t="n">
        <x:f>J475-L475</x:f>
        <x:v>3840</x:v>
      </x:c>
      <x:c r="N475" s="5" t="str">
        <x:v>Walk-in</x:v>
      </x:c>
      <x:c r="O475" s="5" t="str">
        <x:v>Transfer</x:v>
      </x:c>
      <x:c r="P475" s="5" t="str">
        <x:v>Lunch</x:v>
      </x:c>
      <x:c r="Q475" s="48" t="n">
        <x:v>13</x:v>
      </x:c>
      <x:c r="R475" s="5" t="n">
        <x:v>5</x:v>
      </x:c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5" t="str">
        <x:v>ORD-00530</x:v>
      </x:c>
      <x:c r="B476" s="43" t="n">
        <x:v>46085</x:v>
      </x:c>
      <x:c r="C476" s="5" t="str">
        <x:v>CUST-0356</x:v>
      </x:c>
      <x:c r="D476" s="5" t="str">
        <x:v>FD001</x:v>
      </x:c>
      <x:c r="E476" s="5" t="str">
        <x:v>White Rice &amp; Stew</x:v>
      </x:c>
      <x:c r="F476" s="5" t="str">
        <x:v>Rice Meals</x:v>
      </x:c>
      <x:c r="G476" s="44" t="n">
        <x:v>2</x:v>
      </x:c>
      <x:c r="H476" s="45" t="n">
        <x:v>1800</x:v>
      </x:c>
      <x:c r="I476" s="46" t="n">
        <x:v>0</x:v>
      </x:c>
      <x:c r="J476" s="47" t="n">
        <x:f>G476*H476*(1-I476)</x:f>
        <x:v>3600</x:v>
      </x:c>
      <x:c r="K476" s="47" t="n">
        <x:v>820</x:v>
      </x:c>
      <x:c r="L476" s="47" t="n">
        <x:f>G476*K476</x:f>
        <x:v>1640</x:v>
      </x:c>
      <x:c r="M476" s="47" t="n">
        <x:f>J476-L476</x:f>
        <x:v>1960</x:v>
      </x:c>
      <x:c r="N476" s="5" t="str">
        <x:v>Walk-in</x:v>
      </x:c>
      <x:c r="O476" s="5" t="str">
        <x:v>Cash</x:v>
      </x:c>
      <x:c r="P476" s="5" t="str">
        <x:v>Dinner</x:v>
      </x:c>
      <x:c r="Q476" s="48" t="n">
        <x:v>16</x:v>
      </x:c>
      <x:c r="R476" s="5" t="n">
        <x:v>4</x:v>
      </x:c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5" t="str">
        <x:v>ORD-00699</x:v>
      </x:c>
      <x:c r="B477" s="43" t="n">
        <x:v>46085</x:v>
      </x:c>
      <x:c r="C477" s="5" t="str">
        <x:v>CUST-0290</x:v>
      </x:c>
      <x:c r="D477" s="5" t="str">
        <x:v>FD004</x:v>
      </x:c>
      <x:c r="E477" s="5" t="str">
        <x:v>Beans &amp; Plantain</x:v>
      </x:c>
      <x:c r="F477" s="5" t="str">
        <x:v>Traditional Meals</x:v>
      </x:c>
      <x:c r="G477" s="44" t="n">
        <x:v>4</x:v>
      </x:c>
      <x:c r="H477" s="45" t="n">
        <x:v>2000</x:v>
      </x:c>
      <x:c r="I477" s="46" t="n">
        <x:v>0</x:v>
      </x:c>
      <x:c r="J477" s="47" t="n">
        <x:f>G477*H477*(1-I477)</x:f>
        <x:v>8000</x:v>
      </x:c>
      <x:c r="K477" s="47" t="n">
        <x:v>960</x:v>
      </x:c>
      <x:c r="L477" s="47" t="n">
        <x:f>G477*K477</x:f>
        <x:v>3840</x:v>
      </x:c>
      <x:c r="M477" s="47" t="n">
        <x:f>J477-L477</x:f>
        <x:v>4160</x:v>
      </x:c>
      <x:c r="N477" s="5" t="str">
        <x:v>Takeaway</x:v>
      </x:c>
      <x:c r="O477" s="5" t="str">
        <x:v>Transfer</x:v>
      </x:c>
      <x:c r="P477" s="5" t="str">
        <x:v>Lunch</x:v>
      </x:c>
      <x:c r="Q477" s="48" t="n">
        <x:v>13</x:v>
      </x:c>
      <x:c r="R477" s="5" t="n">
        <x:v>5</x:v>
      </x:c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5" t="str">
        <x:v>ORD-00772</x:v>
      </x:c>
      <x:c r="B478" s="43" t="n">
        <x:v>46085</x:v>
      </x:c>
      <x:c r="C478" s="5" t="str">
        <x:v>CUST-0581</x:v>
      </x:c>
      <x:c r="D478" s="5" t="str">
        <x:v>FD001</x:v>
      </x:c>
      <x:c r="E478" s="5" t="str">
        <x:v>White Rice &amp; Stew</x:v>
      </x:c>
      <x:c r="F478" s="5" t="str">
        <x:v>Rice Meals</x:v>
      </x:c>
      <x:c r="G478" s="44" t="n">
        <x:v>2</x:v>
      </x:c>
      <x:c r="H478" s="45" t="n">
        <x:v>1800</x:v>
      </x:c>
      <x:c r="I478" s="46" t="n">
        <x:v>0</x:v>
      </x:c>
      <x:c r="J478" s="47" t="n">
        <x:f>G478*H478*(1-I478)</x:f>
        <x:v>3600</x:v>
      </x:c>
      <x:c r="K478" s="47" t="n">
        <x:v>820</x:v>
      </x:c>
      <x:c r="L478" s="47" t="n">
        <x:f>G478*K478</x:f>
        <x:v>1640</x:v>
      </x:c>
      <x:c r="M478" s="47" t="n">
        <x:f>J478-L478</x:f>
        <x:v>1960</x:v>
      </x:c>
      <x:c r="N478" s="5" t="str">
        <x:v>Takeaway</x:v>
      </x:c>
      <x:c r="O478" s="5" t="str">
        <x:v>Transfer</x:v>
      </x:c>
      <x:c r="P478" s="5" t="str">
        <x:v>Dinner</x:v>
      </x:c>
      <x:c r="Q478" s="48" t="n">
        <x:v>18</x:v>
      </x:c>
      <x:c r="R478" s="5" t="n">
        <x:v>5</x:v>
      </x:c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5" t="str">
        <x:v>ORD-00089</x:v>
      </x:c>
      <x:c r="B479" s="43" t="n">
        <x:v>46086</x:v>
      </x:c>
      <x:c r="C479" s="5" t="str">
        <x:v>CUST-0208</x:v>
      </x:c>
      <x:c r="D479" s="5" t="str">
        <x:v>FD001</x:v>
      </x:c>
      <x:c r="E479" s="5" t="str">
        <x:v>White Rice &amp; Stew</x:v>
      </x:c>
      <x:c r="F479" s="5" t="str">
        <x:v>Rice Meals</x:v>
      </x:c>
      <x:c r="G479" s="44" t="n">
        <x:v>4</x:v>
      </x:c>
      <x:c r="H479" s="45" t="n">
        <x:v>1800</x:v>
      </x:c>
      <x:c r="I479" s="46" t="n">
        <x:v>0</x:v>
      </x:c>
      <x:c r="J479" s="47" t="n">
        <x:f>G479*H479*(1-I479)</x:f>
        <x:v>7200</x:v>
      </x:c>
      <x:c r="K479" s="47" t="n">
        <x:v>820</x:v>
      </x:c>
      <x:c r="L479" s="47" t="n">
        <x:f>G479*K479</x:f>
        <x:v>3280</x:v>
      </x:c>
      <x:c r="M479" s="47" t="n">
        <x:f>J479-L479</x:f>
        <x:v>3920</x:v>
      </x:c>
      <x:c r="N479" s="5" t="str">
        <x:v>Walk-in</x:v>
      </x:c>
      <x:c r="O479" s="5" t="str">
        <x:v>Cash</x:v>
      </x:c>
      <x:c r="P479" s="5" t="str">
        <x:v>Breakfast</x:v>
      </x:c>
      <x:c r="Q479" s="48" t="n">
        <x:v>10</x:v>
      </x:c>
      <x:c r="R479" s="5" t="n">
        <x:v>4</x:v>
      </x:c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5" t="str">
        <x:v>ORD-00175</x:v>
      </x:c>
      <x:c r="B480" s="43" t="n">
        <x:v>46086</x:v>
      </x:c>
      <x:c r="C480" s="5" t="str">
        <x:v>CUST-0504</x:v>
      </x:c>
      <x:c r="D480" s="5" t="str">
        <x:v>FD001</x:v>
      </x:c>
      <x:c r="E480" s="5" t="str">
        <x:v>White Rice &amp; Stew</x:v>
      </x:c>
      <x:c r="F480" s="5" t="str">
        <x:v>Rice Meals</x:v>
      </x:c>
      <x:c r="G480" s="44" t="n">
        <x:v>3</x:v>
      </x:c>
      <x:c r="H480" s="45" t="n">
        <x:v>1800</x:v>
      </x:c>
      <x:c r="I480" s="46" t="n">
        <x:v>0.05</x:v>
      </x:c>
      <x:c r="J480" s="47" t="n">
        <x:f>G480*H480*(1-I480)</x:f>
        <x:v>5130</x:v>
      </x:c>
      <x:c r="K480" s="47" t="n">
        <x:v>820</x:v>
      </x:c>
      <x:c r="L480" s="47" t="n">
        <x:f>G480*K480</x:f>
        <x:v>2460</x:v>
      </x:c>
      <x:c r="M480" s="47" t="n">
        <x:f>J480-L480</x:f>
        <x:v>2670</x:v>
      </x:c>
      <x:c r="N480" s="5" t="str">
        <x:v>Walk-in</x:v>
      </x:c>
      <x:c r="O480" s="5" t="str">
        <x:v>Cash</x:v>
      </x:c>
      <x:c r="P480" s="5" t="str">
        <x:v>Dinner</x:v>
      </x:c>
      <x:c r="Q480" s="48" t="n">
        <x:v>17</x:v>
      </x:c>
      <x:c r="R480" s="5" t="n">
        <x:v>5</x:v>
      </x:c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5" t="str">
        <x:v>ORD-00437</x:v>
      </x:c>
      <x:c r="B481" s="43" t="n">
        <x:v>46086</x:v>
      </x:c>
      <x:c r="C481" s="5" t="str">
        <x:v>CUST-0497</x:v>
      </x:c>
      <x:c r="D481" s="5" t="str">
        <x:v>FD011</x:v>
      </x:c>
      <x:c r="E481" s="5" t="str">
        <x:v>Bottled Water</x:v>
      </x:c>
      <x:c r="F481" s="5" t="str">
        <x:v>Beverages</x:v>
      </x:c>
      <x:c r="G481" s="44" t="n">
        <x:v>1</x:v>
      </x:c>
      <x:c r="H481" s="45" t="n">
        <x:v>300</x:v>
      </x:c>
      <x:c r="I481" s="46" t="n">
        <x:v>0</x:v>
      </x:c>
      <x:c r="J481" s="47" t="n">
        <x:f>G481*H481*(1-I481)</x:f>
        <x:v>300</x:v>
      </x:c>
      <x:c r="K481" s="47" t="n">
        <x:v>120</x:v>
      </x:c>
      <x:c r="L481" s="47" t="n">
        <x:f>G481*K481</x:f>
        <x:v>120</x:v>
      </x:c>
      <x:c r="M481" s="47" t="n">
        <x:f>J481-L481</x:f>
        <x:v>180</x:v>
      </x:c>
      <x:c r="N481" s="5" t="str">
        <x:v>Walk-in</x:v>
      </x:c>
      <x:c r="O481" s="5" t="str">
        <x:v>POS</x:v>
      </x:c>
      <x:c r="P481" s="5" t="str">
        <x:v>Lunch</x:v>
      </x:c>
      <x:c r="Q481" s="48" t="n">
        <x:v>12</x:v>
      </x:c>
      <x:c r="R481" s="5" t="n">
        <x:v>5</x:v>
      </x:c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5" t="str">
        <x:v>ORD-00665</x:v>
      </x:c>
      <x:c r="B482" s="43" t="n">
        <x:v>46086</x:v>
      </x:c>
      <x:c r="C482" s="5" t="str">
        <x:v>CUST-0185</x:v>
      </x:c>
      <x:c r="D482" s="5" t="str">
        <x:v>FD011</x:v>
      </x:c>
      <x:c r="E482" s="5" t="str">
        <x:v>Bottled Water</x:v>
      </x:c>
      <x:c r="F482" s="5" t="str">
        <x:v>Beverages</x:v>
      </x:c>
      <x:c r="G482" s="44" t="n">
        <x:v>3</x:v>
      </x:c>
      <x:c r="H482" s="45" t="n">
        <x:v>300</x:v>
      </x:c>
      <x:c r="I482" s="46" t="n">
        <x:v>0</x:v>
      </x:c>
      <x:c r="J482" s="47" t="n">
        <x:f>G482*H482*(1-I482)</x:f>
        <x:v>900</x:v>
      </x:c>
      <x:c r="K482" s="47" t="n">
        <x:v>120</x:v>
      </x:c>
      <x:c r="L482" s="47" t="n">
        <x:f>G482*K482</x:f>
        <x:v>360</x:v>
      </x:c>
      <x:c r="M482" s="47" t="n">
        <x:f>J482-L482</x:f>
        <x:v>540</x:v>
      </x:c>
      <x:c r="N482" s="5" t="str">
        <x:v>Delivery</x:v>
      </x:c>
      <x:c r="O482" s="5" t="str">
        <x:v>Transfer</x:v>
      </x:c>
      <x:c r="P482" s="5" t="str">
        <x:v>Dinner</x:v>
      </x:c>
      <x:c r="Q482" s="48" t="n">
        <x:v>18</x:v>
      </x:c>
      <x:c r="R482" s="5" t="n">
        <x:v>5</x:v>
      </x:c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5" t="str">
        <x:v>ORD-00739</x:v>
      </x:c>
      <x:c r="B483" s="43" t="n">
        <x:v>46086</x:v>
      </x:c>
      <x:c r="C483" s="5" t="str">
        <x:v>CUST-0226</x:v>
      </x:c>
      <x:c r="D483" s="5" t="str">
        <x:v>FD001</x:v>
      </x:c>
      <x:c r="E483" s="5" t="str">
        <x:v>White Rice &amp; Stew</x:v>
      </x:c>
      <x:c r="F483" s="5" t="str">
        <x:v>Rice Meals</x:v>
      </x:c>
      <x:c r="G483" s="44" t="n">
        <x:v>1</x:v>
      </x:c>
      <x:c r="H483" s="45" t="n">
        <x:v>1800</x:v>
      </x:c>
      <x:c r="I483" s="46" t="n">
        <x:v>0</x:v>
      </x:c>
      <x:c r="J483" s="47" t="n">
        <x:f>G483*H483*(1-I483)</x:f>
        <x:v>1800</x:v>
      </x:c>
      <x:c r="K483" s="47" t="n">
        <x:v>820</x:v>
      </x:c>
      <x:c r="L483" s="47" t="n">
        <x:f>G483*K483</x:f>
        <x:v>820</x:v>
      </x:c>
      <x:c r="M483" s="47" t="n">
        <x:f>J483-L483</x:f>
        <x:v>980</x:v>
      </x:c>
      <x:c r="N483" s="5" t="str">
        <x:v>Takeaway</x:v>
      </x:c>
      <x:c r="O483" s="5" t="str">
        <x:v>POS</x:v>
      </x:c>
      <x:c r="P483" s="5" t="str">
        <x:v>Breakfast</x:v>
      </x:c>
      <x:c r="Q483" s="48" t="n">
        <x:v>9</x:v>
      </x:c>
      <x:c r="R483" s="5" t="n">
        <x:v>4</x:v>
      </x:c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5" t="str">
        <x:v>ORD-00740</x:v>
      </x:c>
      <x:c r="B484" s="43" t="n">
        <x:v>46086</x:v>
      </x:c>
      <x:c r="C484" s="5" t="str">
        <x:v>CUST-0302</x:v>
      </x:c>
      <x:c r="D484" s="5" t="str">
        <x:v>FD005</x:v>
      </x:c>
      <x:c r="E484" s="5" t="str">
        <x:v>Yam Porridge</x:v>
      </x:c>
      <x:c r="F484" s="5" t="str">
        <x:v>Traditional Meals</x:v>
      </x:c>
      <x:c r="G484" s="44" t="n">
        <x:v>1</x:v>
      </x:c>
      <x:c r="H484" s="45" t="n">
        <x:v>2200</x:v>
      </x:c>
      <x:c r="I484" s="46" t="n">
        <x:v>0</x:v>
      </x:c>
      <x:c r="J484" s="47" t="n">
        <x:f>G484*H484*(1-I484)</x:f>
        <x:v>2200</x:v>
      </x:c>
      <x:c r="K484" s="47" t="n">
        <x:v>1050</x:v>
      </x:c>
      <x:c r="L484" s="47" t="n">
        <x:f>G484*K484</x:f>
        <x:v>1050</x:v>
      </x:c>
      <x:c r="M484" s="47" t="n">
        <x:f>J484-L484</x:f>
        <x:v>1150</x:v>
      </x:c>
      <x:c r="N484" s="5" t="str">
        <x:v>Walk-in</x:v>
      </x:c>
      <x:c r="O484" s="5" t="str">
        <x:v>POS</x:v>
      </x:c>
      <x:c r="P484" s="5" t="str">
        <x:v>Lunch</x:v>
      </x:c>
      <x:c r="Q484" s="48" t="n">
        <x:v>12</x:v>
      </x:c>
      <x:c r="R484" s="5" t="n">
        <x:v>3</x:v>
      </x:c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5" t="str">
        <x:v>ORD-00788</x:v>
      </x:c>
      <x:c r="B485" s="43" t="n">
        <x:v>46086</x:v>
      </x:c>
      <x:c r="C485" s="5" t="str">
        <x:v>CUST-0599</x:v>
      </x:c>
      <x:c r="D485" s="5" t="str">
        <x:v>FD010</x:v>
      </x:c>
      <x:c r="E485" s="5" t="str">
        <x:v>Soft Drink</x:v>
      </x:c>
      <x:c r="F485" s="5" t="str">
        <x:v>Beverages</x:v>
      </x:c>
      <x:c r="G485" s="44" t="n">
        <x:v>3</x:v>
      </x:c>
      <x:c r="H485" s="45" t="n">
        <x:v>600</x:v>
      </x:c>
      <x:c r="I485" s="46" t="n">
        <x:v>0</x:v>
      </x:c>
      <x:c r="J485" s="47" t="n">
        <x:f>G485*H485*(1-I485)</x:f>
        <x:v>1800</x:v>
      </x:c>
      <x:c r="K485" s="47" t="n">
        <x:v>280</x:v>
      </x:c>
      <x:c r="L485" s="47" t="n">
        <x:f>G485*K485</x:f>
        <x:v>840</x:v>
      </x:c>
      <x:c r="M485" s="47" t="n">
        <x:f>J485-L485</x:f>
        <x:v>960</x:v>
      </x:c>
      <x:c r="N485" s="5" t="str">
        <x:v>Walk-in</x:v>
      </x:c>
      <x:c r="O485" s="5" t="str">
        <x:v>Cash</x:v>
      </x:c>
      <x:c r="P485" s="5" t="str">
        <x:v>Dinner</x:v>
      </x:c>
      <x:c r="Q485" s="48" t="n">
        <x:v>16</x:v>
      </x:c>
      <x:c r="R485" s="5" t="n">
        <x:v>4</x:v>
      </x:c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5" t="str">
        <x:v>ORD-00870</x:v>
      </x:c>
      <x:c r="B486" s="43" t="n">
        <x:v>46086</x:v>
      </x:c>
      <x:c r="C486" s="5" t="str">
        <x:v>CUST-0637</x:v>
      </x:c>
      <x:c r="D486" s="5" t="str">
        <x:v>FD003</x:v>
      </x:c>
      <x:c r="E486" s="5" t="str">
        <x:v>Fried Rice &amp; Chicken</x:v>
      </x:c>
      <x:c r="F486" s="5" t="str">
        <x:v>Rice Meals</x:v>
      </x:c>
      <x:c r="G486" s="44" t="n">
        <x:v>1</x:v>
      </x:c>
      <x:c r="H486" s="45" t="n">
        <x:v>3000</x:v>
      </x:c>
      <x:c r="I486" s="46" t="n">
        <x:v>0</x:v>
      </x:c>
      <x:c r="J486" s="47" t="n">
        <x:f>G486*H486*(1-I486)</x:f>
        <x:v>3000</x:v>
      </x:c>
      <x:c r="K486" s="47" t="n">
        <x:v>1580</x:v>
      </x:c>
      <x:c r="L486" s="47" t="n">
        <x:f>G486*K486</x:f>
        <x:v>1580</x:v>
      </x:c>
      <x:c r="M486" s="47" t="n">
        <x:f>J486-L486</x:f>
        <x:v>1420</x:v>
      </x:c>
      <x:c r="N486" s="5" t="str">
        <x:v>Walk-in</x:v>
      </x:c>
      <x:c r="O486" s="5" t="str">
        <x:v>POS</x:v>
      </x:c>
      <x:c r="P486" s="5" t="str">
        <x:v>Lunch</x:v>
      </x:c>
      <x:c r="Q486" s="48" t="n">
        <x:v>12</x:v>
      </x:c>
      <x:c r="R486" s="5" t="n">
        <x:v>4</x:v>
      </x:c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5" t="str">
        <x:v>ORD-00879</x:v>
      </x:c>
      <x:c r="B487" s="43" t="n">
        <x:v>46086</x:v>
      </x:c>
      <x:c r="C487" s="5" t="str">
        <x:v>CUST-0002</x:v>
      </x:c>
      <x:c r="D487" s="5" t="str">
        <x:v>FD001</x:v>
      </x:c>
      <x:c r="E487" s="5" t="str">
        <x:v>White Rice &amp; Stew</x:v>
      </x:c>
      <x:c r="F487" s="5" t="str">
        <x:v>Rice Meals</x:v>
      </x:c>
      <x:c r="G487" s="44" t="n">
        <x:v>4</x:v>
      </x:c>
      <x:c r="H487" s="45" t="n">
        <x:v>1800</x:v>
      </x:c>
      <x:c r="I487" s="46" t="n">
        <x:v>0</x:v>
      </x:c>
      <x:c r="J487" s="47" t="n">
        <x:f>G487*H487*(1-I487)</x:f>
        <x:v>7200</x:v>
      </x:c>
      <x:c r="K487" s="47" t="n">
        <x:v>820</x:v>
      </x:c>
      <x:c r="L487" s="47" t="n">
        <x:f>G487*K487</x:f>
        <x:v>3280</x:v>
      </x:c>
      <x:c r="M487" s="47" t="n">
        <x:f>J487-L487</x:f>
        <x:v>3920</x:v>
      </x:c>
      <x:c r="N487" s="5" t="str">
        <x:v>Walk-in</x:v>
      </x:c>
      <x:c r="O487" s="5" t="str">
        <x:v>Transfer</x:v>
      </x:c>
      <x:c r="P487" s="5" t="str">
        <x:v>Lunch</x:v>
      </x:c>
      <x:c r="Q487" s="48" t="n">
        <x:v>14</x:v>
      </x:c>
      <x:c r="R487" s="5" t="n">
        <x:v>5</x:v>
      </x:c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5" t="str">
        <x:v>ORD-01107</x:v>
      </x:c>
      <x:c r="B488" s="43" t="n">
        <x:v>46086</x:v>
      </x:c>
      <x:c r="C488" s="5" t="str">
        <x:v>CUST-0593</x:v>
      </x:c>
      <x:c r="D488" s="5" t="str">
        <x:v>FD004</x:v>
      </x:c>
      <x:c r="E488" s="5" t="str">
        <x:v>Beans &amp; Plantain</x:v>
      </x:c>
      <x:c r="F488" s="5" t="str">
        <x:v>Traditional Meals</x:v>
      </x:c>
      <x:c r="G488" s="44" t="n">
        <x:v>1</x:v>
      </x:c>
      <x:c r="H488" s="45" t="n">
        <x:v>2000</x:v>
      </x:c>
      <x:c r="I488" s="46" t="n">
        <x:v>0</x:v>
      </x:c>
      <x:c r="J488" s="47" t="n">
        <x:f>G488*H488*(1-I488)</x:f>
        <x:v>2000</x:v>
      </x:c>
      <x:c r="K488" s="47" t="n">
        <x:v>960</x:v>
      </x:c>
      <x:c r="L488" s="47" t="n">
        <x:f>G488*K488</x:f>
        <x:v>960</x:v>
      </x:c>
      <x:c r="M488" s="47" t="n">
        <x:f>J488-L488</x:f>
        <x:v>1040</x:v>
      </x:c>
      <x:c r="N488" s="5" t="str">
        <x:v>Takeaway</x:v>
      </x:c>
      <x:c r="O488" s="5" t="str">
        <x:v>Cash</x:v>
      </x:c>
      <x:c r="P488" s="5" t="str">
        <x:v>Lunch</x:v>
      </x:c>
      <x:c r="Q488" s="48" t="n">
        <x:v>14</x:v>
      </x:c>
      <x:c r="R488" s="5" t="n">
        <x:v>4</x:v>
      </x:c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5" t="str">
        <x:v>ORD-01109</x:v>
      </x:c>
      <x:c r="B489" s="43" t="n">
        <x:v>46086</x:v>
      </x:c>
      <x:c r="C489" s="5" t="str">
        <x:v>CUST-0082</x:v>
      </x:c>
      <x:c r="D489" s="5" t="str">
        <x:v>FD007</x:v>
      </x:c>
      <x:c r="E489" s="5" t="str">
        <x:v>Amala &amp; Ewedu</x:v>
      </x:c>
      <x:c r="F489" s="5" t="str">
        <x:v>Swallow</x:v>
      </x:c>
      <x:c r="G489" s="44" t="n">
        <x:v>3</x:v>
      </x:c>
      <x:c r="H489" s="45" t="n">
        <x:v>2500</x:v>
      </x:c>
      <x:c r="I489" s="46" t="n">
        <x:v>0</x:v>
      </x:c>
      <x:c r="J489" s="47" t="n">
        <x:f>G489*H489*(1-I489)</x:f>
        <x:v>7500</x:v>
      </x:c>
      <x:c r="K489" s="47" t="n">
        <x:v>1250</x:v>
      </x:c>
      <x:c r="L489" s="47" t="n">
        <x:f>G489*K489</x:f>
        <x:v>3750</x:v>
      </x:c>
      <x:c r="M489" s="47" t="n">
        <x:f>J489-L489</x:f>
        <x:v>3750</x:v>
      </x:c>
      <x:c r="N489" s="5" t="str">
        <x:v>Takeaway</x:v>
      </x:c>
      <x:c r="O489" s="5" t="str">
        <x:v>POS</x:v>
      </x:c>
      <x:c r="P489" s="5" t="str">
        <x:v>Lunch</x:v>
      </x:c>
      <x:c r="Q489" s="48" t="n">
        <x:v>12</x:v>
      </x:c>
      <x:c r="R489" s="5" t="n">
        <x:v>4</x:v>
      </x:c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5" t="str">
        <x:v>ORD-01173</x:v>
      </x:c>
      <x:c r="B490" s="43" t="n">
        <x:v>46086</x:v>
      </x:c>
      <x:c r="C490" s="5" t="str">
        <x:v>CUST-0078</x:v>
      </x:c>
      <x:c r="D490" s="5" t="str">
        <x:v>FD003</x:v>
      </x:c>
      <x:c r="E490" s="5" t="str">
        <x:v>Fried Rice &amp; Chicken</x:v>
      </x:c>
      <x:c r="F490" s="5" t="str">
        <x:v>Rice Meals</x:v>
      </x:c>
      <x:c r="G490" s="44" t="n">
        <x:v>2</x:v>
      </x:c>
      <x:c r="H490" s="45" t="n">
        <x:v>3000</x:v>
      </x:c>
      <x:c r="I490" s="46" t="n">
        <x:v>0</x:v>
      </x:c>
      <x:c r="J490" s="47" t="n">
        <x:f>G490*H490*(1-I490)</x:f>
        <x:v>6000</x:v>
      </x:c>
      <x:c r="K490" s="47" t="n">
        <x:v>1580</x:v>
      </x:c>
      <x:c r="L490" s="47" t="n">
        <x:f>G490*K490</x:f>
        <x:v>3160</x:v>
      </x:c>
      <x:c r="M490" s="47" t="n">
        <x:f>J490-L490</x:f>
        <x:v>2840</x:v>
      </x:c>
      <x:c r="N490" s="5" t="str">
        <x:v>Walk-in</x:v>
      </x:c>
      <x:c r="O490" s="5" t="str">
        <x:v>Cash</x:v>
      </x:c>
      <x:c r="P490" s="5" t="str">
        <x:v>Lunch</x:v>
      </x:c>
      <x:c r="Q490" s="48" t="n">
        <x:v>11</x:v>
      </x:c>
      <x:c r="R490" s="5" t="n">
        <x:v>5</x:v>
      </x:c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5" t="str">
        <x:v>ORD-01188</x:v>
      </x:c>
      <x:c r="B491" s="43" t="n">
        <x:v>46086</x:v>
      </x:c>
      <x:c r="C491" s="5" t="str">
        <x:v>CUST-0369</x:v>
      </x:c>
      <x:c r="D491" s="5" t="str">
        <x:v>FD005</x:v>
      </x:c>
      <x:c r="E491" s="5" t="str">
        <x:v>Yam Porridge</x:v>
      </x:c>
      <x:c r="F491" s="5" t="str">
        <x:v>Traditional Meals</x:v>
      </x:c>
      <x:c r="G491" s="44" t="n">
        <x:v>2</x:v>
      </x:c>
      <x:c r="H491" s="45" t="n">
        <x:v>2200</x:v>
      </x:c>
      <x:c r="I491" s="46" t="n">
        <x:v>0</x:v>
      </x:c>
      <x:c r="J491" s="47" t="n">
        <x:f>G491*H491*(1-I491)</x:f>
        <x:v>4400</x:v>
      </x:c>
      <x:c r="K491" s="47" t="n">
        <x:v>1050</x:v>
      </x:c>
      <x:c r="L491" s="47" t="n">
        <x:f>G491*K491</x:f>
        <x:v>2100</x:v>
      </x:c>
      <x:c r="M491" s="47" t="n">
        <x:f>J491-L491</x:f>
        <x:v>2300</x:v>
      </x:c>
      <x:c r="N491" s="5" t="str">
        <x:v>Delivery</x:v>
      </x:c>
      <x:c r="O491" s="5" t="str">
        <x:v>POS</x:v>
      </x:c>
      <x:c r="P491" s="5" t="str">
        <x:v>Lunch</x:v>
      </x:c>
      <x:c r="Q491" s="48" t="n">
        <x:v>14</x:v>
      </x:c>
      <x:c r="R491" s="5" t="n">
        <x:v>4</x:v>
      </x:c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5" t="str">
        <x:v>ORD-01217</x:v>
      </x:c>
      <x:c r="B492" s="43" t="n">
        <x:v>46086</x:v>
      </x:c>
      <x:c r="C492" s="5" t="str">
        <x:v>CUST-0498</x:v>
      </x:c>
      <x:c r="D492" s="5" t="str">
        <x:v>FD005</x:v>
      </x:c>
      <x:c r="E492" s="5" t="str">
        <x:v>Yam Porridge</x:v>
      </x:c>
      <x:c r="F492" s="5" t="str">
        <x:v>Traditional Meals</x:v>
      </x:c>
      <x:c r="G492" s="44" t="n">
        <x:v>2</x:v>
      </x:c>
      <x:c r="H492" s="45" t="n">
        <x:v>2200</x:v>
      </x:c>
      <x:c r="I492" s="46" t="n">
        <x:v>0</x:v>
      </x:c>
      <x:c r="J492" s="47" t="n">
        <x:f>G492*H492*(1-I492)</x:f>
        <x:v>4400</x:v>
      </x:c>
      <x:c r="K492" s="47" t="n">
        <x:v>1050</x:v>
      </x:c>
      <x:c r="L492" s="47" t="n">
        <x:f>G492*K492</x:f>
        <x:v>2100</x:v>
      </x:c>
      <x:c r="M492" s="47" t="n">
        <x:f>J492-L492</x:f>
        <x:v>2300</x:v>
      </x:c>
      <x:c r="N492" s="5" t="str">
        <x:v>Walk-in</x:v>
      </x:c>
      <x:c r="O492" s="5" t="str">
        <x:v>Transfer</x:v>
      </x:c>
      <x:c r="P492" s="5" t="str">
        <x:v>Lunch</x:v>
      </x:c>
      <x:c r="Q492" s="48" t="n">
        <x:v>12</x:v>
      </x:c>
      <x:c r="R492" s="5" t="n">
        <x:v>5</x:v>
      </x:c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5" t="str">
        <x:v>ORD-01498</x:v>
      </x:c>
      <x:c r="B493" s="43" t="n">
        <x:v>46086</x:v>
      </x:c>
      <x:c r="C493" s="5" t="str">
        <x:v>CUST-0001</x:v>
      </x:c>
      <x:c r="D493" s="5" t="str">
        <x:v>FD008</x:v>
      </x:c>
      <x:c r="E493" s="5" t="str">
        <x:v>Pounded Yam &amp; Vegetable Soup</x:v>
      </x:c>
      <x:c r="F493" s="5" t="str">
        <x:v>Swallow</x:v>
      </x:c>
      <x:c r="G493" s="44" t="n">
        <x:v>2</x:v>
      </x:c>
      <x:c r="H493" s="45" t="n">
        <x:v>3200</x:v>
      </x:c>
      <x:c r="I493" s="46" t="n">
        <x:v>0</x:v>
      </x:c>
      <x:c r="J493" s="47" t="n">
        <x:f>G493*H493*(1-I493)</x:f>
        <x:v>6400</x:v>
      </x:c>
      <x:c r="K493" s="47" t="n">
        <x:v>1710</x:v>
      </x:c>
      <x:c r="L493" s="47" t="n">
        <x:f>G493*K493</x:f>
        <x:v>3420</x:v>
      </x:c>
      <x:c r="M493" s="47" t="n">
        <x:f>J493-L493</x:f>
        <x:v>2980</x:v>
      </x:c>
      <x:c r="N493" s="5" t="str">
        <x:v>Takeaway</x:v>
      </x:c>
      <x:c r="O493" s="5" t="str">
        <x:v>Transfer</x:v>
      </x:c>
      <x:c r="P493" s="5" t="str">
        <x:v>Breakfast</x:v>
      </x:c>
      <x:c r="Q493" s="48" t="n">
        <x:v>10</x:v>
      </x:c>
      <x:c r="R493" s="5" t="n">
        <x:v>5</x:v>
      </x:c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5" t="str">
        <x:v>ORD-00823</x:v>
      </x:c>
      <x:c r="B494" s="43" t="n">
        <x:v>46087</x:v>
      </x:c>
      <x:c r="C494" s="5" t="str">
        <x:v>CUST-0469</x:v>
      </x:c>
      <x:c r="D494" s="5" t="str">
        <x:v>FD006</x:v>
      </x:c>
      <x:c r="E494" s="5" t="str">
        <x:v>Eba &amp; Egusi Soup</x:v>
      </x:c>
      <x:c r="F494" s="5" t="str">
        <x:v>Swallow</x:v>
      </x:c>
      <x:c r="G494" s="44" t="n">
        <x:v>1</x:v>
      </x:c>
      <x:c r="H494" s="45" t="n">
        <x:v>2600</x:v>
      </x:c>
      <x:c r="I494" s="46" t="n">
        <x:v>0</x:v>
      </x:c>
      <x:c r="J494" s="47" t="n">
        <x:f>G494*H494*(1-I494)</x:f>
        <x:v>2600</x:v>
      </x:c>
      <x:c r="K494" s="47" t="n">
        <x:v>1320</x:v>
      </x:c>
      <x:c r="L494" s="47" t="n">
        <x:f>G494*K494</x:f>
        <x:v>1320</x:v>
      </x:c>
      <x:c r="M494" s="47" t="n">
        <x:f>J494-L494</x:f>
        <x:v>1280</x:v>
      </x:c>
      <x:c r="N494" s="5" t="str">
        <x:v>Walk-in</x:v>
      </x:c>
      <x:c r="O494" s="5" t="str">
        <x:v>POS</x:v>
      </x:c>
      <x:c r="P494" s="5" t="str">
        <x:v>Breakfast</x:v>
      </x:c>
      <x:c r="Q494" s="48" t="n">
        <x:v>9</x:v>
      </x:c>
      <x:c r="R494" s="5" t="n">
        <x:v>4</x:v>
      </x:c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5" t="str">
        <x:v>ORD-00834</x:v>
      </x:c>
      <x:c r="B495" s="43" t="n">
        <x:v>46087</x:v>
      </x:c>
      <x:c r="C495" s="5" t="str">
        <x:v>CUST-0248</x:v>
      </x:c>
      <x:c r="D495" s="5" t="str">
        <x:v>FD004</x:v>
      </x:c>
      <x:c r="E495" s="5" t="str">
        <x:v>Beans &amp; Plantain</x:v>
      </x:c>
      <x:c r="F495" s="5" t="str">
        <x:v>Traditional Meals</x:v>
      </x:c>
      <x:c r="G495" s="44" t="n">
        <x:v>1</x:v>
      </x:c>
      <x:c r="H495" s="45" t="n">
        <x:v>2000</x:v>
      </x:c>
      <x:c r="I495" s="46" t="n">
        <x:v>0.05</x:v>
      </x:c>
      <x:c r="J495" s="47" t="n">
        <x:f>G495*H495*(1-I495)</x:f>
        <x:v>1900</x:v>
      </x:c>
      <x:c r="K495" s="47" t="n">
        <x:v>960</x:v>
      </x:c>
      <x:c r="L495" s="47" t="n">
        <x:f>G495*K495</x:f>
        <x:v>960</x:v>
      </x:c>
      <x:c r="M495" s="47" t="n">
        <x:f>J495-L495</x:f>
        <x:v>940</x:v>
      </x:c>
      <x:c r="N495" s="5" t="str">
        <x:v>Walk-in</x:v>
      </x:c>
      <x:c r="O495" s="5" t="str">
        <x:v>Transfer</x:v>
      </x:c>
      <x:c r="P495" s="5" t="str">
        <x:v>Dinner</x:v>
      </x:c>
      <x:c r="Q495" s="48" t="n">
        <x:v>17</x:v>
      </x:c>
      <x:c r="R495" s="5" t="n">
        <x:v>5</x:v>
      </x:c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5" t="str">
        <x:v>ORD-00835</x:v>
      </x:c>
      <x:c r="B496" s="43" t="n">
        <x:v>46087</x:v>
      </x:c>
      <x:c r="C496" s="5" t="str">
        <x:v>CUST-0064</x:v>
      </x:c>
      <x:c r="D496" s="5" t="str">
        <x:v>FD003</x:v>
      </x:c>
      <x:c r="E496" s="5" t="str">
        <x:v>Fried Rice &amp; Chicken</x:v>
      </x:c>
      <x:c r="F496" s="5" t="str">
        <x:v>Rice Meals</x:v>
      </x:c>
      <x:c r="G496" s="44" t="n">
        <x:v>2</x:v>
      </x:c>
      <x:c r="H496" s="45" t="n">
        <x:v>3000</x:v>
      </x:c>
      <x:c r="I496" s="46" t="n">
        <x:v>0</x:v>
      </x:c>
      <x:c r="J496" s="47" t="n">
        <x:f>G496*H496*(1-I496)</x:f>
        <x:v>6000</x:v>
      </x:c>
      <x:c r="K496" s="47" t="n">
        <x:v>1580</x:v>
      </x:c>
      <x:c r="L496" s="47" t="n">
        <x:f>G496*K496</x:f>
        <x:v>3160</x:v>
      </x:c>
      <x:c r="M496" s="47" t="n">
        <x:f>J496-L496</x:f>
        <x:v>2840</x:v>
      </x:c>
      <x:c r="N496" s="5" t="str">
        <x:v>Takeaway</x:v>
      </x:c>
      <x:c r="O496" s="5" t="str">
        <x:v>POS</x:v>
      </x:c>
      <x:c r="P496" s="5" t="str">
        <x:v>Breakfast</x:v>
      </x:c>
      <x:c r="Q496" s="48" t="n">
        <x:v>10</x:v>
      </x:c>
      <x:c r="R496" s="5" t="n">
        <x:v>3</x:v>
      </x:c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5" t="str">
        <x:v>ORD-01051</x:v>
      </x:c>
      <x:c r="B497" s="43" t="n">
        <x:v>46087</x:v>
      </x:c>
      <x:c r="C497" s="5" t="str">
        <x:v>CUST-0045</x:v>
      </x:c>
      <x:c r="D497" s="5" t="str">
        <x:v>FD002</x:v>
      </x:c>
      <x:c r="E497" s="5" t="str">
        <x:v>Jollof Rice &amp; Chicken</x:v>
      </x:c>
      <x:c r="F497" s="5" t="str">
        <x:v>Rice Meals</x:v>
      </x:c>
      <x:c r="G497" s="44" t="n">
        <x:v>4</x:v>
      </x:c>
      <x:c r="H497" s="45" t="n">
        <x:v>2800</x:v>
      </x:c>
      <x:c r="I497" s="46" t="n">
        <x:v>0</x:v>
      </x:c>
      <x:c r="J497" s="47" t="n">
        <x:f>G497*H497*(1-I497)</x:f>
        <x:v>11200</x:v>
      </x:c>
      <x:c r="K497" s="47" t="n">
        <x:v>1450</x:v>
      </x:c>
      <x:c r="L497" s="47" t="n">
        <x:f>G497*K497</x:f>
        <x:v>5800</x:v>
      </x:c>
      <x:c r="M497" s="47" t="n">
        <x:f>J497-L497</x:f>
        <x:v>5400</x:v>
      </x:c>
      <x:c r="N497" s="5" t="str">
        <x:v>Takeaway</x:v>
      </x:c>
      <x:c r="O497" s="5" t="str">
        <x:v>Cash</x:v>
      </x:c>
      <x:c r="P497" s="5" t="str">
        <x:v>Dinner</x:v>
      </x:c>
      <x:c r="Q497" s="48" t="n">
        <x:v>17</x:v>
      </x:c>
      <x:c r="R497" s="5" t="n">
        <x:v>5</x:v>
      </x:c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5" t="str">
        <x:v>ORD-01110</x:v>
      </x:c>
      <x:c r="B498" s="43" t="n">
        <x:v>46087</x:v>
      </x:c>
      <x:c r="C498" s="5" t="str">
        <x:v>CUST-0314</x:v>
      </x:c>
      <x:c r="D498" s="5" t="str">
        <x:v>FD001</x:v>
      </x:c>
      <x:c r="E498" s="5" t="str">
        <x:v>White Rice &amp; Stew</x:v>
      </x:c>
      <x:c r="F498" s="5" t="str">
        <x:v>Rice Meals</x:v>
      </x:c>
      <x:c r="G498" s="44" t="n">
        <x:v>1</x:v>
      </x:c>
      <x:c r="H498" s="45" t="n">
        <x:v>1800</x:v>
      </x:c>
      <x:c r="I498" s="46" t="n">
        <x:v>0</x:v>
      </x:c>
      <x:c r="J498" s="47" t="n">
        <x:f>G498*H498*(1-I498)</x:f>
        <x:v>1800</x:v>
      </x:c>
      <x:c r="K498" s="47" t="n">
        <x:v>820</x:v>
      </x:c>
      <x:c r="L498" s="47" t="n">
        <x:f>G498*K498</x:f>
        <x:v>820</x:v>
      </x:c>
      <x:c r="M498" s="47" t="n">
        <x:f>J498-L498</x:f>
        <x:v>980</x:v>
      </x:c>
      <x:c r="N498" s="5" t="str">
        <x:v>Walk-in</x:v>
      </x:c>
      <x:c r="O498" s="5" t="str">
        <x:v>Transfer</x:v>
      </x:c>
      <x:c r="P498" s="5" t="str">
        <x:v>Lunch</x:v>
      </x:c>
      <x:c r="Q498" s="48" t="n">
        <x:v>12</x:v>
      </x:c>
      <x:c r="R498" s="5" t="n">
        <x:v>5</x:v>
      </x:c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5" t="str">
        <x:v>ORD-01212</x:v>
      </x:c>
      <x:c r="B499" s="43" t="n">
        <x:v>46087</x:v>
      </x:c>
      <x:c r="C499" s="5" t="str">
        <x:v>CUST-0583</x:v>
      </x:c>
      <x:c r="D499" s="5" t="str">
        <x:v>FD007</x:v>
      </x:c>
      <x:c r="E499" s="5" t="str">
        <x:v>Amala &amp; Ewedu</x:v>
      </x:c>
      <x:c r="F499" s="5" t="str">
        <x:v>Swallow</x:v>
      </x:c>
      <x:c r="G499" s="44" t="n">
        <x:v>1</x:v>
      </x:c>
      <x:c r="H499" s="45" t="n">
        <x:v>2500</x:v>
      </x:c>
      <x:c r="I499" s="46" t="n">
        <x:v>0</x:v>
      </x:c>
      <x:c r="J499" s="47" t="n">
        <x:f>G499*H499*(1-I499)</x:f>
        <x:v>2500</x:v>
      </x:c>
      <x:c r="K499" s="47" t="n">
        <x:v>1250</x:v>
      </x:c>
      <x:c r="L499" s="47" t="n">
        <x:f>G499*K499</x:f>
        <x:v>1250</x:v>
      </x:c>
      <x:c r="M499" s="47" t="n">
        <x:f>J499-L499</x:f>
        <x:v>1250</x:v>
      </x:c>
      <x:c r="N499" s="5" t="str">
        <x:v>Walk-in</x:v>
      </x:c>
      <x:c r="O499" s="5" t="str">
        <x:v>Transfer</x:v>
      </x:c>
      <x:c r="P499" s="5" t="str">
        <x:v>Dinner</x:v>
      </x:c>
      <x:c r="Q499" s="48" t="n">
        <x:v>20</x:v>
      </x:c>
      <x:c r="R499" s="5" t="n">
        <x:v>3</x:v>
      </x:c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5" t="str">
        <x:v>ORD-01372</x:v>
      </x:c>
      <x:c r="B500" s="43" t="n">
        <x:v>46087</x:v>
      </x:c>
      <x:c r="C500" s="5" t="str">
        <x:v>CUST-0369</x:v>
      </x:c>
      <x:c r="D500" s="5" t="str">
        <x:v>FD003</x:v>
      </x:c>
      <x:c r="E500" s="5" t="str">
        <x:v>Fried Rice &amp; Chicken</x:v>
      </x:c>
      <x:c r="F500" s="5" t="str">
        <x:v>Rice Meals</x:v>
      </x:c>
      <x:c r="G500" s="44" t="n">
        <x:v>2</x:v>
      </x:c>
      <x:c r="H500" s="45" t="n">
        <x:v>3000</x:v>
      </x:c>
      <x:c r="I500" s="46" t="n">
        <x:v>0</x:v>
      </x:c>
      <x:c r="J500" s="47" t="n">
        <x:f>G500*H500*(1-I500)</x:f>
        <x:v>6000</x:v>
      </x:c>
      <x:c r="K500" s="47" t="n">
        <x:v>1580</x:v>
      </x:c>
      <x:c r="L500" s="47" t="n">
        <x:f>G500*K500</x:f>
        <x:v>3160</x:v>
      </x:c>
      <x:c r="M500" s="47" t="n">
        <x:f>J500-L500</x:f>
        <x:v>2840</x:v>
      </x:c>
      <x:c r="N500" s="5" t="str">
        <x:v>Takeaway</x:v>
      </x:c>
      <x:c r="O500" s="5" t="str">
        <x:v>Cash</x:v>
      </x:c>
      <x:c r="P500" s="5" t="str">
        <x:v>Lunch</x:v>
      </x:c>
      <x:c r="Q500" s="48" t="n">
        <x:v>12</x:v>
      </x:c>
      <x:c r="R500" s="5" t="n">
        <x:v>5</x:v>
      </x:c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5" t="str">
        <x:v>ORD-01375</x:v>
      </x:c>
      <x:c r="B501" s="43" t="n">
        <x:v>46087</x:v>
      </x:c>
      <x:c r="C501" s="5" t="str">
        <x:v>CUST-0360</x:v>
      </x:c>
      <x:c r="D501" s="5" t="str">
        <x:v>FD006</x:v>
      </x:c>
      <x:c r="E501" s="5" t="str">
        <x:v>Eba &amp; Egusi Soup</x:v>
      </x:c>
      <x:c r="F501" s="5" t="str">
        <x:v>Swallow</x:v>
      </x:c>
      <x:c r="G501" s="44" t="n">
        <x:v>2</x:v>
      </x:c>
      <x:c r="H501" s="45" t="n">
        <x:v>2600</x:v>
      </x:c>
      <x:c r="I501" s="46" t="n">
        <x:v>0</x:v>
      </x:c>
      <x:c r="J501" s="47" t="n">
        <x:f>G501*H501*(1-I501)</x:f>
        <x:v>5200</x:v>
      </x:c>
      <x:c r="K501" s="47" t="n">
        <x:v>1320</x:v>
      </x:c>
      <x:c r="L501" s="47" t="n">
        <x:f>G501*K501</x:f>
        <x:v>2640</x:v>
      </x:c>
      <x:c r="M501" s="47" t="n">
        <x:f>J501-L501</x:f>
        <x:v>2560</x:v>
      </x:c>
      <x:c r="N501" s="5" t="str">
        <x:v>Walk-in</x:v>
      </x:c>
      <x:c r="O501" s="5" t="str">
        <x:v>Transfer</x:v>
      </x:c>
      <x:c r="P501" s="5" t="str">
        <x:v>Dinner</x:v>
      </x:c>
      <x:c r="Q501" s="48" t="n">
        <x:v>20</x:v>
      </x:c>
      <x:c r="R501" s="5" t="n">
        <x:v>4</x:v>
      </x:c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5" t="str">
        <x:v>ORD-01420</x:v>
      </x:c>
      <x:c r="B502" s="43" t="n">
        <x:v>46087</x:v>
      </x:c>
      <x:c r="C502" s="5" t="str">
        <x:v>CUST-0172</x:v>
      </x:c>
      <x:c r="D502" s="5" t="str">
        <x:v>FD010</x:v>
      </x:c>
      <x:c r="E502" s="5" t="str">
        <x:v>Soft Drink</x:v>
      </x:c>
      <x:c r="F502" s="5" t="str">
        <x:v>Beverages</x:v>
      </x:c>
      <x:c r="G502" s="44" t="n">
        <x:v>1</x:v>
      </x:c>
      <x:c r="H502" s="45" t="n">
        <x:v>600</x:v>
      </x:c>
      <x:c r="I502" s="46" t="n">
        <x:v>0</x:v>
      </x:c>
      <x:c r="J502" s="47" t="n">
        <x:f>G502*H502*(1-I502)</x:f>
        <x:v>600</x:v>
      </x:c>
      <x:c r="K502" s="47" t="n">
        <x:v>280</x:v>
      </x:c>
      <x:c r="L502" s="47" t="n">
        <x:f>G502*K502</x:f>
        <x:v>280</x:v>
      </x:c>
      <x:c r="M502" s="47" t="n">
        <x:f>J502-L502</x:f>
        <x:v>320</x:v>
      </x:c>
      <x:c r="N502" s="5" t="str">
        <x:v>Walk-in</x:v>
      </x:c>
      <x:c r="O502" s="5" t="str">
        <x:v>Cash</x:v>
      </x:c>
      <x:c r="P502" s="5" t="str">
        <x:v>Lunch</x:v>
      </x:c>
      <x:c r="Q502" s="48" t="n">
        <x:v>12</x:v>
      </x:c>
      <x:c r="R502" s="5" t="n">
        <x:v>4</x:v>
      </x:c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5" t="str">
        <x:v>ORD-00023</x:v>
      </x:c>
      <x:c r="B503" s="43" t="n">
        <x:v>46088</x:v>
      </x:c>
      <x:c r="C503" s="5" t="str">
        <x:v>CUST-0649</x:v>
      </x:c>
      <x:c r="D503" s="5" t="str">
        <x:v>FD001</x:v>
      </x:c>
      <x:c r="E503" s="5" t="str">
        <x:v>White Rice &amp; Stew</x:v>
      </x:c>
      <x:c r="F503" s="5" t="str">
        <x:v>Rice Meals</x:v>
      </x:c>
      <x:c r="G503" s="44" t="n">
        <x:v>2</x:v>
      </x:c>
      <x:c r="H503" s="45" t="n">
        <x:v>1800</x:v>
      </x:c>
      <x:c r="I503" s="46" t="n">
        <x:v>0</x:v>
      </x:c>
      <x:c r="J503" s="47" t="n">
        <x:f>G503*H503*(1-I503)</x:f>
        <x:v>3600</x:v>
      </x:c>
      <x:c r="K503" s="47" t="n">
        <x:v>820</x:v>
      </x:c>
      <x:c r="L503" s="47" t="n">
        <x:f>G503*K503</x:f>
        <x:v>1640</x:v>
      </x:c>
      <x:c r="M503" s="47" t="n">
        <x:f>J503-L503</x:f>
        <x:v>1960</x:v>
      </x:c>
      <x:c r="N503" s="5" t="str">
        <x:v>Delivery</x:v>
      </x:c>
      <x:c r="O503" s="5" t="str">
        <x:v>POS</x:v>
      </x:c>
      <x:c r="P503" s="5" t="str">
        <x:v>Lunch</x:v>
      </x:c>
      <x:c r="Q503" s="48" t="n">
        <x:v>12</x:v>
      </x:c>
      <x:c r="R503" s="5" t="n">
        <x:v>3</x:v>
      </x:c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5" t="str">
        <x:v>ORD-00208</x:v>
      </x:c>
      <x:c r="B504" s="43" t="n">
        <x:v>46088</x:v>
      </x:c>
      <x:c r="C504" s="5" t="str">
        <x:v>CUST-0281</x:v>
      </x:c>
      <x:c r="D504" s="5" t="str">
        <x:v>FD006</x:v>
      </x:c>
      <x:c r="E504" s="5" t="str">
        <x:v>Eba &amp; Egusi Soup</x:v>
      </x:c>
      <x:c r="F504" s="5" t="str">
        <x:v>Swallow</x:v>
      </x:c>
      <x:c r="G504" s="44" t="n">
        <x:v>4</x:v>
      </x:c>
      <x:c r="H504" s="45" t="n">
        <x:v>2600</x:v>
      </x:c>
      <x:c r="I504" s="46" t="n">
        <x:v>0</x:v>
      </x:c>
      <x:c r="J504" s="47" t="n">
        <x:f>G504*H504*(1-I504)</x:f>
        <x:v>10400</x:v>
      </x:c>
      <x:c r="K504" s="47" t="n">
        <x:v>1320</x:v>
      </x:c>
      <x:c r="L504" s="47" t="n">
        <x:f>G504*K504</x:f>
        <x:v>5280</x:v>
      </x:c>
      <x:c r="M504" s="47" t="n">
        <x:f>J504-L504</x:f>
        <x:v>5120</x:v>
      </x:c>
      <x:c r="N504" s="5" t="str">
        <x:v>Takeaway</x:v>
      </x:c>
      <x:c r="O504" s="5" t="str">
        <x:v>Cash</x:v>
      </x:c>
      <x:c r="P504" s="5" t="str">
        <x:v>Lunch</x:v>
      </x:c>
      <x:c r="Q504" s="48" t="n">
        <x:v>12</x:v>
      </x:c>
      <x:c r="R504" s="5" t="n">
        <x:v>3</x:v>
      </x:c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5" t="str">
        <x:v>ORD-00281</x:v>
      </x:c>
      <x:c r="B505" s="43" t="n">
        <x:v>46088</x:v>
      </x:c>
      <x:c r="C505" s="5" t="str">
        <x:v>CUST-0500</x:v>
      </x:c>
      <x:c r="D505" s="5" t="str">
        <x:v>FD006</x:v>
      </x:c>
      <x:c r="E505" s="5" t="str">
        <x:v>Eba &amp; Egusi Soup</x:v>
      </x:c>
      <x:c r="F505" s="5" t="str">
        <x:v>Swallow</x:v>
      </x:c>
      <x:c r="G505" s="44" t="n">
        <x:v>3</x:v>
      </x:c>
      <x:c r="H505" s="45" t="n">
        <x:v>2600</x:v>
      </x:c>
      <x:c r="I505" s="46" t="n">
        <x:v>0</x:v>
      </x:c>
      <x:c r="J505" s="47" t="n">
        <x:f>G505*H505*(1-I505)</x:f>
        <x:v>7800</x:v>
      </x:c>
      <x:c r="K505" s="47" t="n">
        <x:v>1320</x:v>
      </x:c>
      <x:c r="L505" s="47" t="n">
        <x:f>G505*K505</x:f>
        <x:v>3960</x:v>
      </x:c>
      <x:c r="M505" s="47" t="n">
        <x:f>J505-L505</x:f>
        <x:v>3840</x:v>
      </x:c>
      <x:c r="N505" s="5" t="str">
        <x:v>Takeaway</x:v>
      </x:c>
      <x:c r="O505" s="5" t="str">
        <x:v>POS</x:v>
      </x:c>
      <x:c r="P505" s="5" t="str">
        <x:v>Lunch</x:v>
      </x:c>
      <x:c r="Q505" s="48" t="n">
        <x:v>12</x:v>
      </x:c>
      <x:c r="R505" s="5" t="n">
        <x:v>5</x:v>
      </x:c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5" t="str">
        <x:v>ORD-00781</x:v>
      </x:c>
      <x:c r="B506" s="43" t="n">
        <x:v>46088</x:v>
      </x:c>
      <x:c r="C506" s="5" t="str">
        <x:v>CUST-0648</x:v>
      </x:c>
      <x:c r="D506" s="5" t="str">
        <x:v>FD003</x:v>
      </x:c>
      <x:c r="E506" s="5" t="str">
        <x:v>Fried Rice &amp; Chicken</x:v>
      </x:c>
      <x:c r="F506" s="5" t="str">
        <x:v>Rice Meals</x:v>
      </x:c>
      <x:c r="G506" s="44" t="n">
        <x:v>4</x:v>
      </x:c>
      <x:c r="H506" s="45" t="n">
        <x:v>3000</x:v>
      </x:c>
      <x:c r="I506" s="46" t="n">
        <x:v>0</x:v>
      </x:c>
      <x:c r="J506" s="47" t="n">
        <x:f>G506*H506*(1-I506)</x:f>
        <x:v>12000</x:v>
      </x:c>
      <x:c r="K506" s="47" t="n">
        <x:v>1580</x:v>
      </x:c>
      <x:c r="L506" s="47" t="n">
        <x:f>G506*K506</x:f>
        <x:v>6320</x:v>
      </x:c>
      <x:c r="M506" s="47" t="n">
        <x:f>J506-L506</x:f>
        <x:v>5680</x:v>
      </x:c>
      <x:c r="N506" s="5" t="str">
        <x:v>Walk-in</x:v>
      </x:c>
      <x:c r="O506" s="5" t="str">
        <x:v>POS</x:v>
      </x:c>
      <x:c r="P506" s="5" t="str">
        <x:v>Dinner</x:v>
      </x:c>
      <x:c r="Q506" s="48" t="n">
        <x:v>19</x:v>
      </x:c>
      <x:c r="R506" s="5" t="n">
        <x:v>3</x:v>
      </x:c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5" t="str">
        <x:v>ORD-00913</x:v>
      </x:c>
      <x:c r="B507" s="43" t="n">
        <x:v>46088</x:v>
      </x:c>
      <x:c r="C507" s="5" t="str">
        <x:v>CUST-0523</x:v>
      </x:c>
      <x:c r="D507" s="5" t="str">
        <x:v>FD002</x:v>
      </x:c>
      <x:c r="E507" s="5" t="str">
        <x:v>Jollof Rice &amp; Chicken</x:v>
      </x:c>
      <x:c r="F507" s="5" t="str">
        <x:v>Rice Meals</x:v>
      </x:c>
      <x:c r="G507" s="44" t="n">
        <x:v>2</x:v>
      </x:c>
      <x:c r="H507" s="45" t="n">
        <x:v>2800</x:v>
      </x:c>
      <x:c r="I507" s="46" t="n">
        <x:v>0</x:v>
      </x:c>
      <x:c r="J507" s="47" t="n">
        <x:f>G507*H507*(1-I507)</x:f>
        <x:v>5600</x:v>
      </x:c>
      <x:c r="K507" s="47" t="n">
        <x:v>1450</x:v>
      </x:c>
      <x:c r="L507" s="47" t="n">
        <x:f>G507*K507</x:f>
        <x:v>2900</x:v>
      </x:c>
      <x:c r="M507" s="47" t="n">
        <x:f>J507-L507</x:f>
        <x:v>2700</x:v>
      </x:c>
      <x:c r="N507" s="5" t="str">
        <x:v>Walk-in</x:v>
      </x:c>
      <x:c r="O507" s="5" t="str">
        <x:v>Transfer</x:v>
      </x:c>
      <x:c r="P507" s="5" t="str">
        <x:v>Breakfast</x:v>
      </x:c>
      <x:c r="Q507" s="48" t="n">
        <x:v>9</x:v>
      </x:c>
      <x:c r="R507" s="5" t="n">
        <x:v>5</x:v>
      </x:c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5" t="str">
        <x:v>ORD-01532</x:v>
      </x:c>
      <x:c r="B508" s="43" t="n">
        <x:v>46088</x:v>
      </x:c>
      <x:c r="C508" s="5" t="str">
        <x:v>CUST-0571</x:v>
      </x:c>
      <x:c r="D508" s="5" t="str">
        <x:v>FD004</x:v>
      </x:c>
      <x:c r="E508" s="5" t="str">
        <x:v>Beans &amp; Plantain</x:v>
      </x:c>
      <x:c r="F508" s="5" t="str">
        <x:v>Traditional Meals</x:v>
      </x:c>
      <x:c r="G508" s="44" t="n">
        <x:v>4</x:v>
      </x:c>
      <x:c r="H508" s="45" t="n">
        <x:v>2000</x:v>
      </x:c>
      <x:c r="I508" s="46" t="n">
        <x:v>0</x:v>
      </x:c>
      <x:c r="J508" s="47" t="n">
        <x:f>G508*H508*(1-I508)</x:f>
        <x:v>8000</x:v>
      </x:c>
      <x:c r="K508" s="47" t="n">
        <x:v>960</x:v>
      </x:c>
      <x:c r="L508" s="47" t="n">
        <x:f>G508*K508</x:f>
        <x:v>3840</x:v>
      </x:c>
      <x:c r="M508" s="47" t="n">
        <x:f>J508-L508</x:f>
        <x:v>4160</x:v>
      </x:c>
      <x:c r="N508" s="5" t="str">
        <x:v>Walk-in</x:v>
      </x:c>
      <x:c r="O508" s="5" t="str">
        <x:v>Cash</x:v>
      </x:c>
      <x:c r="P508" s="5" t="str">
        <x:v>Dinner</x:v>
      </x:c>
      <x:c r="Q508" s="48" t="n">
        <x:v>16</x:v>
      </x:c>
      <x:c r="R508" s="5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5" t="str">
        <x:v>ORD-01539</x:v>
      </x:c>
      <x:c r="B509" s="43" t="n">
        <x:v>46088</x:v>
      </x:c>
      <x:c r="C509" s="5" t="str">
        <x:v>CUST-0398</x:v>
      </x:c>
      <x:c r="D509" s="5" t="str">
        <x:v>FD008</x:v>
      </x:c>
      <x:c r="E509" s="5" t="str">
        <x:v>Pounded Yam &amp; Vegetable Soup</x:v>
      </x:c>
      <x:c r="F509" s="5" t="str">
        <x:v>Swallow</x:v>
      </x:c>
      <x:c r="G509" s="44" t="n">
        <x:v>2</x:v>
      </x:c>
      <x:c r="H509" s="45" t="n">
        <x:v>3200</x:v>
      </x:c>
      <x:c r="I509" s="46" t="n">
        <x:v>0</x:v>
      </x:c>
      <x:c r="J509" s="47" t="n">
        <x:f>G509*H509*(1-I509)</x:f>
        <x:v>6400</x:v>
      </x:c>
      <x:c r="K509" s="47" t="n">
        <x:v>1710</x:v>
      </x:c>
      <x:c r="L509" s="47" t="n">
        <x:f>G509*K509</x:f>
        <x:v>3420</x:v>
      </x:c>
      <x:c r="M509" s="47" t="n">
        <x:f>J509-L509</x:f>
        <x:v>2980</x:v>
      </x:c>
      <x:c r="N509" s="5" t="str">
        <x:v>Walk-in</x:v>
      </x:c>
      <x:c r="O509" s="5" t="str">
        <x:v>Cash</x:v>
      </x:c>
      <x:c r="P509" s="5" t="str">
        <x:v>Lunch</x:v>
      </x:c>
      <x:c r="Q509" s="48" t="n">
        <x:v>11</x:v>
      </x:c>
      <x:c r="R509" s="5" t="n">
        <x:v>4</x:v>
      </x:c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5" t="str">
        <x:v>ORD-00424</x:v>
      </x:c>
      <x:c r="B510" s="43" t="n">
        <x:v>46089</x:v>
      </x:c>
      <x:c r="C510" s="5" t="str">
        <x:v>CUST-0478</x:v>
      </x:c>
      <x:c r="D510" s="5" t="str">
        <x:v>FD005</x:v>
      </x:c>
      <x:c r="E510" s="5" t="str">
        <x:v>Yam Porridge</x:v>
      </x:c>
      <x:c r="F510" s="5" t="str">
        <x:v>Traditional Meals</x:v>
      </x:c>
      <x:c r="G510" s="44" t="n">
        <x:v>2</x:v>
      </x:c>
      <x:c r="H510" s="45" t="n">
        <x:v>2200</x:v>
      </x:c>
      <x:c r="I510" s="46" t="n">
        <x:v>0</x:v>
      </x:c>
      <x:c r="J510" s="47" t="n">
        <x:f>G510*H510*(1-I510)</x:f>
        <x:v>4400</x:v>
      </x:c>
      <x:c r="K510" s="47" t="n">
        <x:v>1050</x:v>
      </x:c>
      <x:c r="L510" s="47" t="n">
        <x:f>G510*K510</x:f>
        <x:v>2100</x:v>
      </x:c>
      <x:c r="M510" s="47" t="n">
        <x:f>J510-L510</x:f>
        <x:v>2300</x:v>
      </x:c>
      <x:c r="N510" s="5" t="str">
        <x:v>Takeaway</x:v>
      </x:c>
      <x:c r="O510" s="5" t="str">
        <x:v>POS</x:v>
      </x:c>
      <x:c r="P510" s="5" t="str">
        <x:v>Lunch</x:v>
      </x:c>
      <x:c r="Q510" s="48" t="n">
        <x:v>15</x:v>
      </x:c>
      <x:c r="R510" s="5" t="n">
        <x:v>3</x:v>
      </x:c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5" t="str">
        <x:v>ORD-01108</x:v>
      </x:c>
      <x:c r="B511" s="43" t="n">
        <x:v>46089</x:v>
      </x:c>
      <x:c r="C511" s="5" t="str">
        <x:v>CUST-0092</x:v>
      </x:c>
      <x:c r="D511" s="5" t="str">
        <x:v>FD004</x:v>
      </x:c>
      <x:c r="E511" s="5" t="str">
        <x:v>Beans &amp; Plantain</x:v>
      </x:c>
      <x:c r="F511" s="5" t="str">
        <x:v>Traditional Meals</x:v>
      </x:c>
      <x:c r="G511" s="44" t="n">
        <x:v>1</x:v>
      </x:c>
      <x:c r="H511" s="45" t="n">
        <x:v>2000</x:v>
      </x:c>
      <x:c r="I511" s="46" t="n">
        <x:v>0</x:v>
      </x:c>
      <x:c r="J511" s="47" t="n">
        <x:f>G511*H511*(1-I511)</x:f>
        <x:v>2000</x:v>
      </x:c>
      <x:c r="K511" s="47" t="n">
        <x:v>960</x:v>
      </x:c>
      <x:c r="L511" s="47" t="n">
        <x:f>G511*K511</x:f>
        <x:v>960</x:v>
      </x:c>
      <x:c r="M511" s="47" t="n">
        <x:f>J511-L511</x:f>
        <x:v>1040</x:v>
      </x:c>
      <x:c r="N511" s="5" t="str">
        <x:v>Walk-in</x:v>
      </x:c>
      <x:c r="O511" s="5" t="str">
        <x:v>POS</x:v>
      </x:c>
      <x:c r="P511" s="5" t="str">
        <x:v>Dinner</x:v>
      </x:c>
      <x:c r="Q511" s="48" t="n">
        <x:v>17</x:v>
      </x:c>
      <x:c r="R511" s="5" t="n">
        <x:v>4</x:v>
      </x:c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5" t="str">
        <x:v>ORD-01155</x:v>
      </x:c>
      <x:c r="B512" s="43" t="n">
        <x:v>46089</x:v>
      </x:c>
      <x:c r="C512" s="5" t="str">
        <x:v>CUST-0263</x:v>
      </x:c>
      <x:c r="D512" s="5" t="str">
        <x:v>FD002</x:v>
      </x:c>
      <x:c r="E512" s="5" t="str">
        <x:v>Jollof Rice &amp; Chicken</x:v>
      </x:c>
      <x:c r="F512" s="5" t="str">
        <x:v>Rice Meals</x:v>
      </x:c>
      <x:c r="G512" s="44" t="n">
        <x:v>4</x:v>
      </x:c>
      <x:c r="H512" s="45" t="n">
        <x:v>2800</x:v>
      </x:c>
      <x:c r="I512" s="46" t="n">
        <x:v>0</x:v>
      </x:c>
      <x:c r="J512" s="47" t="n">
        <x:f>G512*H512*(1-I512)</x:f>
        <x:v>11200</x:v>
      </x:c>
      <x:c r="K512" s="47" t="n">
        <x:v>1450</x:v>
      </x:c>
      <x:c r="L512" s="47" t="n">
        <x:f>G512*K512</x:f>
        <x:v>5800</x:v>
      </x:c>
      <x:c r="M512" s="47" t="n">
        <x:f>J512-L512</x:f>
        <x:v>5400</x:v>
      </x:c>
      <x:c r="N512" s="5" t="str">
        <x:v>Delivery</x:v>
      </x:c>
      <x:c r="O512" s="5" t="str">
        <x:v>POS</x:v>
      </x:c>
      <x:c r="P512" s="5" t="str">
        <x:v>Lunch</x:v>
      </x:c>
      <x:c r="Q512" s="48" t="n">
        <x:v>11</x:v>
      </x:c>
      <x:c r="R512" s="5" t="n">
        <x:v>5</x:v>
      </x:c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5" t="str">
        <x:v>ORD-01194</x:v>
      </x:c>
      <x:c r="B513" s="43" t="n">
        <x:v>46089</x:v>
      </x:c>
      <x:c r="C513" s="5" t="str">
        <x:v>CUST-0362</x:v>
      </x:c>
      <x:c r="D513" s="5" t="str">
        <x:v>FD003</x:v>
      </x:c>
      <x:c r="E513" s="5" t="str">
        <x:v>Fried Rice &amp; Chicken</x:v>
      </x:c>
      <x:c r="F513" s="5" t="str">
        <x:v>Rice Meals</x:v>
      </x:c>
      <x:c r="G513" s="44" t="n">
        <x:v>2</x:v>
      </x:c>
      <x:c r="H513" s="45" t="n">
        <x:v>3000</x:v>
      </x:c>
      <x:c r="I513" s="46" t="n">
        <x:v>0</x:v>
      </x:c>
      <x:c r="J513" s="47" t="n">
        <x:f>G513*H513*(1-I513)</x:f>
        <x:v>6000</x:v>
      </x:c>
      <x:c r="K513" s="47" t="n">
        <x:v>1580</x:v>
      </x:c>
      <x:c r="L513" s="47" t="n">
        <x:f>G513*K513</x:f>
        <x:v>3160</x:v>
      </x:c>
      <x:c r="M513" s="47" t="n">
        <x:f>J513-L513</x:f>
        <x:v>2840</x:v>
      </x:c>
      <x:c r="N513" s="5" t="str">
        <x:v>Takeaway</x:v>
      </x:c>
      <x:c r="O513" s="5" t="str">
        <x:v>Transfer</x:v>
      </x:c>
      <x:c r="P513" s="5" t="str">
        <x:v>Lunch</x:v>
      </x:c>
      <x:c r="Q513" s="48" t="n">
        <x:v>12</x:v>
      </x:c>
      <x:c r="R513" s="5" t="n">
        <x:v>4</x:v>
      </x:c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5" t="str">
        <x:v>ORD-00308</x:v>
      </x:c>
      <x:c r="B514" s="43" t="n">
        <x:v>46090</x:v>
      </x:c>
      <x:c r="C514" s="5" t="str">
        <x:v>CUST-0111</x:v>
      </x:c>
      <x:c r="D514" s="5" t="str">
        <x:v>FD002</x:v>
      </x:c>
      <x:c r="E514" s="5" t="str">
        <x:v>Jollof Rice &amp; Chicken</x:v>
      </x:c>
      <x:c r="F514" s="5" t="str">
        <x:v>Rice Meals</x:v>
      </x:c>
      <x:c r="G514" s="44" t="n">
        <x:v>1</x:v>
      </x:c>
      <x:c r="H514" s="45" t="n">
        <x:v>2800</x:v>
      </x:c>
      <x:c r="I514" s="46" t="n">
        <x:v>0</x:v>
      </x:c>
      <x:c r="J514" s="47" t="n">
        <x:f>G514*H514*(1-I514)</x:f>
        <x:v>2800</x:v>
      </x:c>
      <x:c r="K514" s="47" t="n">
        <x:v>1450</x:v>
      </x:c>
      <x:c r="L514" s="47" t="n">
        <x:f>G514*K514</x:f>
        <x:v>1450</x:v>
      </x:c>
      <x:c r="M514" s="47" t="n">
        <x:f>J514-L514</x:f>
        <x:v>1350</x:v>
      </x:c>
      <x:c r="N514" s="5" t="str">
        <x:v>Walk-in</x:v>
      </x:c>
      <x:c r="O514" s="5" t="str">
        <x:v>Transfer</x:v>
      </x:c>
      <x:c r="P514" s="5" t="str">
        <x:v>Breakfast</x:v>
      </x:c>
      <x:c r="Q514" s="48" t="n">
        <x:v>10</x:v>
      </x:c>
      <x:c r="R514" s="5" t="n">
        <x:v>5</x:v>
      </x:c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5" t="str">
        <x:v>ORD-00486</x:v>
      </x:c>
      <x:c r="B515" s="43" t="n">
        <x:v>46090</x:v>
      </x:c>
      <x:c r="C515" s="5" t="str">
        <x:v>CUST-0528</x:v>
      </x:c>
      <x:c r="D515" s="5" t="str">
        <x:v>FD005</x:v>
      </x:c>
      <x:c r="E515" s="5" t="str">
        <x:v>Yam Porridge</x:v>
      </x:c>
      <x:c r="F515" s="5" t="str">
        <x:v>Traditional Meals</x:v>
      </x:c>
      <x:c r="G515" s="44" t="n">
        <x:v>1</x:v>
      </x:c>
      <x:c r="H515" s="45" t="n">
        <x:v>2200</x:v>
      </x:c>
      <x:c r="I515" s="46" t="n">
        <x:v>0.1</x:v>
      </x:c>
      <x:c r="J515" s="47" t="n">
        <x:f>G515*H515*(1-I515)</x:f>
        <x:v>1980</x:v>
      </x:c>
      <x:c r="K515" s="47" t="n">
        <x:v>1050</x:v>
      </x:c>
      <x:c r="L515" s="47" t="n">
        <x:f>G515*K515</x:f>
        <x:v>1050</x:v>
      </x:c>
      <x:c r="M515" s="47" t="n">
        <x:f>J515-L515</x:f>
        <x:v>930</x:v>
      </x:c>
      <x:c r="N515" s="5" t="str">
        <x:v>Delivery</x:v>
      </x:c>
      <x:c r="O515" s="5" t="str">
        <x:v>Transfer</x:v>
      </x:c>
      <x:c r="P515" s="5" t="str">
        <x:v>Dinner</x:v>
      </x:c>
      <x:c r="Q515" s="48" t="n">
        <x:v>16</x:v>
      </x:c>
      <x:c r="R515" s="5" t="n">
        <x:v>5</x:v>
      </x:c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5" t="str">
        <x:v>ORD-00550</x:v>
      </x:c>
      <x:c r="B516" s="43" t="n">
        <x:v>46090</x:v>
      </x:c>
      <x:c r="C516" s="5" t="str">
        <x:v>CUST-0101</x:v>
      </x:c>
      <x:c r="D516" s="5" t="str">
        <x:v>FD007</x:v>
      </x:c>
      <x:c r="E516" s="5" t="str">
        <x:v>Amala &amp; Ewedu</x:v>
      </x:c>
      <x:c r="F516" s="5" t="str">
        <x:v>Swallow</x:v>
      </x:c>
      <x:c r="G516" s="44" t="n">
        <x:v>1</x:v>
      </x:c>
      <x:c r="H516" s="45" t="n">
        <x:v>2500</x:v>
      </x:c>
      <x:c r="I516" s="46" t="n">
        <x:v>0</x:v>
      </x:c>
      <x:c r="J516" s="47" t="n">
        <x:f>G516*H516*(1-I516)</x:f>
        <x:v>2500</x:v>
      </x:c>
      <x:c r="K516" s="47" t="n">
        <x:v>1250</x:v>
      </x:c>
      <x:c r="L516" s="47" t="n">
        <x:f>G516*K516</x:f>
        <x:v>1250</x:v>
      </x:c>
      <x:c r="M516" s="47" t="n">
        <x:f>J516-L516</x:f>
        <x:v>1250</x:v>
      </x:c>
      <x:c r="N516" s="5" t="str">
        <x:v>Takeaway</x:v>
      </x:c>
      <x:c r="O516" s="5" t="str">
        <x:v>Transfer</x:v>
      </x:c>
      <x:c r="P516" s="5" t="str">
        <x:v>Breakfast</x:v>
      </x:c>
      <x:c r="Q516" s="48" t="n">
        <x:v>10</x:v>
      </x:c>
      <x:c r="R516" s="5" t="n">
        <x:v>5</x:v>
      </x:c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5" t="str">
        <x:v>ORD-00667</x:v>
      </x:c>
      <x:c r="B517" s="43" t="n">
        <x:v>46090</x:v>
      </x:c>
      <x:c r="C517" s="5" t="str">
        <x:v>CUST-0067</x:v>
      </x:c>
      <x:c r="D517" s="5" t="str">
        <x:v>FD007</x:v>
      </x:c>
      <x:c r="E517" s="5" t="str">
        <x:v>Amala &amp; Ewedu</x:v>
      </x:c>
      <x:c r="F517" s="5" t="str">
        <x:v>Swallow</x:v>
      </x:c>
      <x:c r="G517" s="44" t="n">
        <x:v>3</x:v>
      </x:c>
      <x:c r="H517" s="45" t="n">
        <x:v>2500</x:v>
      </x:c>
      <x:c r="I517" s="46" t="n">
        <x:v>0</x:v>
      </x:c>
      <x:c r="J517" s="47" t="n">
        <x:f>G517*H517*(1-I517)</x:f>
        <x:v>7500</x:v>
      </x:c>
      <x:c r="K517" s="47" t="n">
        <x:v>1250</x:v>
      </x:c>
      <x:c r="L517" s="47" t="n">
        <x:f>G517*K517</x:f>
        <x:v>3750</x:v>
      </x:c>
      <x:c r="M517" s="47" t="n">
        <x:f>J517-L517</x:f>
        <x:v>3750</x:v>
      </x:c>
      <x:c r="N517" s="5" t="str">
        <x:v>Takeaway</x:v>
      </x:c>
      <x:c r="O517" s="5" t="str">
        <x:v>POS</x:v>
      </x:c>
      <x:c r="P517" s="5" t="str">
        <x:v>Dinner</x:v>
      </x:c>
      <x:c r="Q517" s="48" t="n">
        <x:v>20</x:v>
      </x:c>
      <x:c r="R517" s="5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5" t="str">
        <x:v>ORD-01070</x:v>
      </x:c>
      <x:c r="B518" s="43" t="n">
        <x:v>46090</x:v>
      </x:c>
      <x:c r="C518" s="5" t="str">
        <x:v>CUST-0613</x:v>
      </x:c>
      <x:c r="D518" s="5" t="str">
        <x:v>FD006</x:v>
      </x:c>
      <x:c r="E518" s="5" t="str">
        <x:v>Eba &amp; Egusi Soup</x:v>
      </x:c>
      <x:c r="F518" s="5" t="str">
        <x:v>Swallow</x:v>
      </x:c>
      <x:c r="G518" s="44" t="n">
        <x:v>4</x:v>
      </x:c>
      <x:c r="H518" s="45" t="n">
        <x:v>2600</x:v>
      </x:c>
      <x:c r="I518" s="46" t="n">
        <x:v>0.05</x:v>
      </x:c>
      <x:c r="J518" s="47" t="n">
        <x:f>G518*H518*(1-I518)</x:f>
        <x:v>9880</x:v>
      </x:c>
      <x:c r="K518" s="47" t="n">
        <x:v>1320</x:v>
      </x:c>
      <x:c r="L518" s="47" t="n">
        <x:f>G518*K518</x:f>
        <x:v>5280</x:v>
      </x:c>
      <x:c r="M518" s="47" t="n">
        <x:f>J518-L518</x:f>
        <x:v>4600</x:v>
      </x:c>
      <x:c r="N518" s="5" t="str">
        <x:v>Walk-in</x:v>
      </x:c>
      <x:c r="O518" s="5" t="str">
        <x:v>Cash</x:v>
      </x:c>
      <x:c r="P518" s="5" t="str">
        <x:v>Lunch</x:v>
      </x:c>
      <x:c r="Q518" s="48" t="n">
        <x:v>12</x:v>
      </x:c>
      <x:c r="R518" s="5" t="n">
        <x:v>3</x:v>
      </x:c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5" t="str">
        <x:v>ORD-01083</x:v>
      </x:c>
      <x:c r="B519" s="43" t="n">
        <x:v>46090</x:v>
      </x:c>
      <x:c r="C519" s="5" t="str">
        <x:v>CUST-0113</x:v>
      </x:c>
      <x:c r="D519" s="5" t="str">
        <x:v>FD002</x:v>
      </x:c>
      <x:c r="E519" s="5" t="str">
        <x:v>Jollof Rice &amp; Chicken</x:v>
      </x:c>
      <x:c r="F519" s="5" t="str">
        <x:v>Rice Meals</x:v>
      </x:c>
      <x:c r="G519" s="44" t="n">
        <x:v>2</x:v>
      </x:c>
      <x:c r="H519" s="45" t="n">
        <x:v>2800</x:v>
      </x:c>
      <x:c r="I519" s="46" t="n">
        <x:v>0</x:v>
      </x:c>
      <x:c r="J519" s="47" t="n">
        <x:f>G519*H519*(1-I519)</x:f>
        <x:v>5600</x:v>
      </x:c>
      <x:c r="K519" s="47" t="n">
        <x:v>1450</x:v>
      </x:c>
      <x:c r="L519" s="47" t="n">
        <x:f>G519*K519</x:f>
        <x:v>2900</x:v>
      </x:c>
      <x:c r="M519" s="47" t="n">
        <x:f>J519-L519</x:f>
        <x:v>2700</x:v>
      </x:c>
      <x:c r="N519" s="5" t="str">
        <x:v>Takeaway</x:v>
      </x:c>
      <x:c r="O519" s="5" t="str">
        <x:v>Cash</x:v>
      </x:c>
      <x:c r="P519" s="5" t="str">
        <x:v>Breakfast</x:v>
      </x:c>
      <x:c r="Q519" s="48" t="n">
        <x:v>10</x:v>
      </x:c>
      <x:c r="R519" s="5" t="n">
        <x:v>4</x:v>
      </x:c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5" t="str">
        <x:v>ORD-01121</x:v>
      </x:c>
      <x:c r="B520" s="43" t="n">
        <x:v>46090</x:v>
      </x:c>
      <x:c r="C520" s="5" t="str">
        <x:v>CUST-0271</x:v>
      </x:c>
      <x:c r="D520" s="5" t="str">
        <x:v>FD002</x:v>
      </x:c>
      <x:c r="E520" s="5" t="str">
        <x:v>Jollof Rice &amp; Chicken</x:v>
      </x:c>
      <x:c r="F520" s="5" t="str">
        <x:v>Rice Meals</x:v>
      </x:c>
      <x:c r="G520" s="44" t="n">
        <x:v>4</x:v>
      </x:c>
      <x:c r="H520" s="45" t="n">
        <x:v>2800</x:v>
      </x:c>
      <x:c r="I520" s="46" t="n">
        <x:v>0</x:v>
      </x:c>
      <x:c r="J520" s="47" t="n">
        <x:f>G520*H520*(1-I520)</x:f>
        <x:v>11200</x:v>
      </x:c>
      <x:c r="K520" s="47" t="n">
        <x:v>1450</x:v>
      </x:c>
      <x:c r="L520" s="47" t="n">
        <x:f>G520*K520</x:f>
        <x:v>5800</x:v>
      </x:c>
      <x:c r="M520" s="47" t="n">
        <x:f>J520-L520</x:f>
        <x:v>5400</x:v>
      </x:c>
      <x:c r="N520" s="5" t="str">
        <x:v>Takeaway</x:v>
      </x:c>
      <x:c r="O520" s="5" t="str">
        <x:v>Cash</x:v>
      </x:c>
      <x:c r="P520" s="5" t="str">
        <x:v>Dinner</x:v>
      </x:c>
      <x:c r="Q520" s="48" t="n">
        <x:v>19</x:v>
      </x:c>
      <x:c r="R520" s="5" t="n">
        <x:v>5</x:v>
      </x:c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5" t="str">
        <x:v>ORD-01271</x:v>
      </x:c>
      <x:c r="B521" s="43" t="n">
        <x:v>46090</x:v>
      </x:c>
      <x:c r="C521" s="5" t="str">
        <x:v>CUST-0584</x:v>
      </x:c>
      <x:c r="D521" s="5" t="str">
        <x:v>FD002</x:v>
      </x:c>
      <x:c r="E521" s="5" t="str">
        <x:v>Jollof Rice &amp; Chicken</x:v>
      </x:c>
      <x:c r="F521" s="5" t="str">
        <x:v>Rice Meals</x:v>
      </x:c>
      <x:c r="G521" s="44" t="n">
        <x:v>1</x:v>
      </x:c>
      <x:c r="H521" s="45" t="n">
        <x:v>2800</x:v>
      </x:c>
      <x:c r="I521" s="46" t="n">
        <x:v>0</x:v>
      </x:c>
      <x:c r="J521" s="47" t="n">
        <x:f>G521*H521*(1-I521)</x:f>
        <x:v>2800</x:v>
      </x:c>
      <x:c r="K521" s="47" t="n">
        <x:v>1450</x:v>
      </x:c>
      <x:c r="L521" s="47" t="n">
        <x:f>G521*K521</x:f>
        <x:v>1450</x:v>
      </x:c>
      <x:c r="M521" s="47" t="n">
        <x:f>J521-L521</x:f>
        <x:v>1350</x:v>
      </x:c>
      <x:c r="N521" s="5" t="str">
        <x:v>Takeaway</x:v>
      </x:c>
      <x:c r="O521" s="5" t="str">
        <x:v>POS</x:v>
      </x:c>
      <x:c r="P521" s="5" t="str">
        <x:v>Lunch</x:v>
      </x:c>
      <x:c r="Q521" s="48" t="n">
        <x:v>13</x:v>
      </x:c>
      <x:c r="R521" s="5" t="n">
        <x:v>5</x:v>
      </x:c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5" t="str">
        <x:v>ORD-01315</x:v>
      </x:c>
      <x:c r="B522" s="43" t="n">
        <x:v>46090</x:v>
      </x:c>
      <x:c r="C522" s="5" t="str">
        <x:v>CUST-0126</x:v>
      </x:c>
      <x:c r="D522" s="5" t="str">
        <x:v>FD002</x:v>
      </x:c>
      <x:c r="E522" s="5" t="str">
        <x:v>Jollof Rice &amp; Chicken</x:v>
      </x:c>
      <x:c r="F522" s="5" t="str">
        <x:v>Rice Meals</x:v>
      </x:c>
      <x:c r="G522" s="44" t="n">
        <x:v>3</x:v>
      </x:c>
      <x:c r="H522" s="45" t="n">
        <x:v>2800</x:v>
      </x:c>
      <x:c r="I522" s="46" t="n">
        <x:v>0</x:v>
      </x:c>
      <x:c r="J522" s="47" t="n">
        <x:f>G522*H522*(1-I522)</x:f>
        <x:v>8400</x:v>
      </x:c>
      <x:c r="K522" s="47" t="n">
        <x:v>1450</x:v>
      </x:c>
      <x:c r="L522" s="47" t="n">
        <x:f>G522*K522</x:f>
        <x:v>4350</x:v>
      </x:c>
      <x:c r="M522" s="47" t="n">
        <x:f>J522-L522</x:f>
        <x:v>4050</x:v>
      </x:c>
      <x:c r="N522" s="5" t="str">
        <x:v>Takeaway</x:v>
      </x:c>
      <x:c r="O522" s="5" t="str">
        <x:v>Transfer</x:v>
      </x:c>
      <x:c r="P522" s="5" t="str">
        <x:v>Lunch</x:v>
      </x:c>
      <x:c r="Q522" s="48" t="n">
        <x:v>14</x:v>
      </x:c>
      <x:c r="R522" s="5" t="n">
        <x:v>4</x:v>
      </x:c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5" t="str">
        <x:v>ORD-01458</x:v>
      </x:c>
      <x:c r="B523" s="43" t="n">
        <x:v>46090</x:v>
      </x:c>
      <x:c r="C523" s="5" t="str">
        <x:v>CUST-0102</x:v>
      </x:c>
      <x:c r="D523" s="5" t="str">
        <x:v>FD005</x:v>
      </x:c>
      <x:c r="E523" s="5" t="str">
        <x:v>Yam Porridge</x:v>
      </x:c>
      <x:c r="F523" s="5" t="str">
        <x:v>Traditional Meals</x:v>
      </x:c>
      <x:c r="G523" s="44" t="n">
        <x:v>3</x:v>
      </x:c>
      <x:c r="H523" s="45" t="n">
        <x:v>2200</x:v>
      </x:c>
      <x:c r="I523" s="46" t="n">
        <x:v>0</x:v>
      </x:c>
      <x:c r="J523" s="47" t="n">
        <x:f>G523*H523*(1-I523)</x:f>
        <x:v>6600</x:v>
      </x:c>
      <x:c r="K523" s="47" t="n">
        <x:v>1050</x:v>
      </x:c>
      <x:c r="L523" s="47" t="n">
        <x:f>G523*K523</x:f>
        <x:v>3150</x:v>
      </x:c>
      <x:c r="M523" s="47" t="n">
        <x:f>J523-L523</x:f>
        <x:v>3450</x:v>
      </x:c>
      <x:c r="N523" s="5" t="str">
        <x:v>Walk-in</x:v>
      </x:c>
      <x:c r="O523" s="5" t="str">
        <x:v>POS</x:v>
      </x:c>
      <x:c r="P523" s="5" t="str">
        <x:v>Dinner</x:v>
      </x:c>
      <x:c r="Q523" s="48" t="n">
        <x:v>18</x:v>
      </x:c>
      <x:c r="R523" s="5" t="n">
        <x:v>4</x:v>
      </x:c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5" t="str">
        <x:v>ORD-01472</x:v>
      </x:c>
      <x:c r="B524" s="43" t="n">
        <x:v>46090</x:v>
      </x:c>
      <x:c r="C524" s="5" t="str">
        <x:v>CUST-0237</x:v>
      </x:c>
      <x:c r="D524" s="5" t="str">
        <x:v>FD002</x:v>
      </x:c>
      <x:c r="E524" s="5" t="str">
        <x:v>Jollof Rice &amp; Chicken</x:v>
      </x:c>
      <x:c r="F524" s="5" t="str">
        <x:v>Rice Meals</x:v>
      </x:c>
      <x:c r="G524" s="44" t="n">
        <x:v>3</x:v>
      </x:c>
      <x:c r="H524" s="45" t="n">
        <x:v>2800</x:v>
      </x:c>
      <x:c r="I524" s="46" t="n">
        <x:v>0</x:v>
      </x:c>
      <x:c r="J524" s="47" t="n">
        <x:f>G524*H524*(1-I524)</x:f>
        <x:v>8400</x:v>
      </x:c>
      <x:c r="K524" s="47" t="n">
        <x:v>1450</x:v>
      </x:c>
      <x:c r="L524" s="47" t="n">
        <x:f>G524*K524</x:f>
        <x:v>4350</x:v>
      </x:c>
      <x:c r="M524" s="47" t="n">
        <x:f>J524-L524</x:f>
        <x:v>4050</x:v>
      </x:c>
      <x:c r="N524" s="5" t="str">
        <x:v>Walk-in</x:v>
      </x:c>
      <x:c r="O524" s="5" t="str">
        <x:v>Transfer</x:v>
      </x:c>
      <x:c r="P524" s="5" t="str">
        <x:v>Lunch</x:v>
      </x:c>
      <x:c r="Q524" s="48" t="n">
        <x:v>13</x:v>
      </x:c>
      <x:c r="R524" s="5" t="n">
        <x:v>4</x:v>
      </x:c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5" t="str">
        <x:v>ORD-01505</x:v>
      </x:c>
      <x:c r="B525" s="43" t="n">
        <x:v>46090</x:v>
      </x:c>
      <x:c r="C525" s="5" t="str">
        <x:v>CUST-0182</x:v>
      </x:c>
      <x:c r="D525" s="5" t="str">
        <x:v>FD001</x:v>
      </x:c>
      <x:c r="E525" s="5" t="str">
        <x:v>White Rice &amp; Stew</x:v>
      </x:c>
      <x:c r="F525" s="5" t="str">
        <x:v>Rice Meals</x:v>
      </x:c>
      <x:c r="G525" s="44" t="n">
        <x:v>4</x:v>
      </x:c>
      <x:c r="H525" s="45" t="n">
        <x:v>1800</x:v>
      </x:c>
      <x:c r="I525" s="46" t="n">
        <x:v>0.05</x:v>
      </x:c>
      <x:c r="J525" s="47" t="n">
        <x:f>G525*H525*(1-I525)</x:f>
        <x:v>6840</x:v>
      </x:c>
      <x:c r="K525" s="47" t="n">
        <x:v>820</x:v>
      </x:c>
      <x:c r="L525" s="47" t="n">
        <x:f>G525*K525</x:f>
        <x:v>3280</x:v>
      </x:c>
      <x:c r="M525" s="47" t="n">
        <x:f>J525-L525</x:f>
        <x:v>3560</x:v>
      </x:c>
      <x:c r="N525" s="5" t="str">
        <x:v>Walk-in</x:v>
      </x:c>
      <x:c r="O525" s="5" t="str">
        <x:v>Cash</x:v>
      </x:c>
      <x:c r="P525" s="5" t="str">
        <x:v>Lunch</x:v>
      </x:c>
      <x:c r="Q525" s="48" t="n">
        <x:v>12</x:v>
      </x:c>
      <x:c r="R525" s="5" t="n">
        <x:v>5</x:v>
      </x:c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5" t="str">
        <x:v>ORD-01525</x:v>
      </x:c>
      <x:c r="B526" s="43" t="n">
        <x:v>46090</x:v>
      </x:c>
      <x:c r="C526" s="5" t="str">
        <x:v>CUST-0433</x:v>
      </x:c>
      <x:c r="D526" s="5" t="str">
        <x:v>FD006</x:v>
      </x:c>
      <x:c r="E526" s="5" t="str">
        <x:v>Eba &amp; Egusi Soup</x:v>
      </x:c>
      <x:c r="F526" s="5" t="str">
        <x:v>Swallow</x:v>
      </x:c>
      <x:c r="G526" s="44" t="n">
        <x:v>1</x:v>
      </x:c>
      <x:c r="H526" s="45" t="n">
        <x:v>2600</x:v>
      </x:c>
      <x:c r="I526" s="46" t="n">
        <x:v>0</x:v>
      </x:c>
      <x:c r="J526" s="47" t="n">
        <x:f>G526*H526*(1-I526)</x:f>
        <x:v>2600</x:v>
      </x:c>
      <x:c r="K526" s="47" t="n">
        <x:v>1320</x:v>
      </x:c>
      <x:c r="L526" s="47" t="n">
        <x:f>G526*K526</x:f>
        <x:v>1320</x:v>
      </x:c>
      <x:c r="M526" s="47" t="n">
        <x:f>J526-L526</x:f>
        <x:v>1280</x:v>
      </x:c>
      <x:c r="N526" s="5" t="str">
        <x:v>Takeaway</x:v>
      </x:c>
      <x:c r="O526" s="5" t="str">
        <x:v>Transfer</x:v>
      </x:c>
      <x:c r="P526" s="5" t="str">
        <x:v>Lunch</x:v>
      </x:c>
      <x:c r="Q526" s="48" t="n">
        <x:v>12</x:v>
      </x:c>
      <x:c r="R526" s="5" t="n">
        <x:v>5</x:v>
      </x:c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5" t="str">
        <x:v>ORD-00086</x:v>
      </x:c>
      <x:c r="B527" s="43" t="n">
        <x:v>46091</x:v>
      </x:c>
      <x:c r="C527" s="5" t="str">
        <x:v>CUST-0529</x:v>
      </x:c>
      <x:c r="D527" s="5" t="str">
        <x:v>FD004</x:v>
      </x:c>
      <x:c r="E527" s="5" t="str">
        <x:v>Beans &amp; Plantain</x:v>
      </x:c>
      <x:c r="F527" s="5" t="str">
        <x:v>Traditional Meals</x:v>
      </x:c>
      <x:c r="G527" s="44" t="n">
        <x:v>1</x:v>
      </x:c>
      <x:c r="H527" s="45" t="n">
        <x:v>2000</x:v>
      </x:c>
      <x:c r="I527" s="46" t="n">
        <x:v>0</x:v>
      </x:c>
      <x:c r="J527" s="47" t="n">
        <x:f>G527*H527*(1-I527)</x:f>
        <x:v>2000</x:v>
      </x:c>
      <x:c r="K527" s="47" t="n">
        <x:v>960</x:v>
      </x:c>
      <x:c r="L527" s="47" t="n">
        <x:f>G527*K527</x:f>
        <x:v>960</x:v>
      </x:c>
      <x:c r="M527" s="47" t="n">
        <x:f>J527-L527</x:f>
        <x:v>1040</x:v>
      </x:c>
      <x:c r="N527" s="5" t="str">
        <x:v>Delivery</x:v>
      </x:c>
      <x:c r="O527" s="5" t="str">
        <x:v>POS</x:v>
      </x:c>
      <x:c r="P527" s="5" t="str">
        <x:v>Dinner</x:v>
      </x:c>
      <x:c r="Q527" s="48" t="n">
        <x:v>17</x:v>
      </x:c>
      <x:c r="R527" s="5" t="n">
        <x:v>4</x:v>
      </x:c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5" t="str">
        <x:v>ORD-00310</x:v>
      </x:c>
      <x:c r="B528" s="43" t="n">
        <x:v>46091</x:v>
      </x:c>
      <x:c r="C528" s="5" t="str">
        <x:v>CUST-0334</x:v>
      </x:c>
      <x:c r="D528" s="5" t="str">
        <x:v>FD002</x:v>
      </x:c>
      <x:c r="E528" s="5" t="str">
        <x:v>Jollof Rice &amp; Chicken</x:v>
      </x:c>
      <x:c r="F528" s="5" t="str">
        <x:v>Rice Meals</x:v>
      </x:c>
      <x:c r="G528" s="44" t="n">
        <x:v>1</x:v>
      </x:c>
      <x:c r="H528" s="45" t="n">
        <x:v>2800</x:v>
      </x:c>
      <x:c r="I528" s="46" t="n">
        <x:v>0</x:v>
      </x:c>
      <x:c r="J528" s="47" t="n">
        <x:f>G528*H528*(1-I528)</x:f>
        <x:v>2800</x:v>
      </x:c>
      <x:c r="K528" s="47" t="n">
        <x:v>1450</x:v>
      </x:c>
      <x:c r="L528" s="47" t="n">
        <x:f>G528*K528</x:f>
        <x:v>1450</x:v>
      </x:c>
      <x:c r="M528" s="47" t="n">
        <x:f>J528-L528</x:f>
        <x:v>1350</x:v>
      </x:c>
      <x:c r="N528" s="5" t="str">
        <x:v>Walk-in</x:v>
      </x:c>
      <x:c r="O528" s="5" t="str">
        <x:v>Cash</x:v>
      </x:c>
      <x:c r="P528" s="5" t="str">
        <x:v>Dinner</x:v>
      </x:c>
      <x:c r="Q528" s="48" t="n">
        <x:v>19</x:v>
      </x:c>
      <x:c r="R528" s="5" t="n">
        <x:v>5</x:v>
      </x:c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5" t="str">
        <x:v>ORD-00451</x:v>
      </x:c>
      <x:c r="B529" s="43" t="n">
        <x:v>46091</x:v>
      </x:c>
      <x:c r="C529" s="5" t="str">
        <x:v>CUST-0306</x:v>
      </x:c>
      <x:c r="D529" s="5" t="str">
        <x:v>FD001</x:v>
      </x:c>
      <x:c r="E529" s="5" t="str">
        <x:v>White Rice &amp; Stew</x:v>
      </x:c>
      <x:c r="F529" s="5" t="str">
        <x:v>Rice Meals</x:v>
      </x:c>
      <x:c r="G529" s="44" t="n">
        <x:v>1</x:v>
      </x:c>
      <x:c r="H529" s="45" t="n">
        <x:v>1800</x:v>
      </x:c>
      <x:c r="I529" s="46" t="n">
        <x:v>0</x:v>
      </x:c>
      <x:c r="J529" s="47" t="n">
        <x:f>G529*H529*(1-I529)</x:f>
        <x:v>1800</x:v>
      </x:c>
      <x:c r="K529" s="47" t="n">
        <x:v>820</x:v>
      </x:c>
      <x:c r="L529" s="47" t="n">
        <x:f>G529*K529</x:f>
        <x:v>820</x:v>
      </x:c>
      <x:c r="M529" s="47" t="n">
        <x:f>J529-L529</x:f>
        <x:v>980</x:v>
      </x:c>
      <x:c r="N529" s="5" t="str">
        <x:v>Walk-in</x:v>
      </x:c>
      <x:c r="O529" s="5" t="str">
        <x:v>Transfer</x:v>
      </x:c>
      <x:c r="P529" s="5" t="str">
        <x:v>Lunch</x:v>
      </x:c>
      <x:c r="Q529" s="48" t="n">
        <x:v>14</x:v>
      </x:c>
      <x:c r="R529" s="5" t="n">
        <x:v>4</x:v>
      </x:c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5" t="str">
        <x:v>ORD-00647</x:v>
      </x:c>
      <x:c r="B530" s="43" t="n">
        <x:v>46091</x:v>
      </x:c>
      <x:c r="C530" s="5" t="str">
        <x:v>CUST-0124</x:v>
      </x:c>
      <x:c r="D530" s="5" t="str">
        <x:v>FD005</x:v>
      </x:c>
      <x:c r="E530" s="5" t="str">
        <x:v>Yam Porridge</x:v>
      </x:c>
      <x:c r="F530" s="5" t="str">
        <x:v>Traditional Meals</x:v>
      </x:c>
      <x:c r="G530" s="44" t="n">
        <x:v>2</x:v>
      </x:c>
      <x:c r="H530" s="45" t="n">
        <x:v>2200</x:v>
      </x:c>
      <x:c r="I530" s="46" t="n">
        <x:v>0</x:v>
      </x:c>
      <x:c r="J530" s="47" t="n">
        <x:f>G530*H530*(1-I530)</x:f>
        <x:v>4400</x:v>
      </x:c>
      <x:c r="K530" s="47" t="n">
        <x:v>1050</x:v>
      </x:c>
      <x:c r="L530" s="47" t="n">
        <x:f>G530*K530</x:f>
        <x:v>2100</x:v>
      </x:c>
      <x:c r="M530" s="47" t="n">
        <x:f>J530-L530</x:f>
        <x:v>2300</x:v>
      </x:c>
      <x:c r="N530" s="5" t="str">
        <x:v>Walk-in</x:v>
      </x:c>
      <x:c r="O530" s="5" t="str">
        <x:v>Transfer</x:v>
      </x:c>
      <x:c r="P530" s="5" t="str">
        <x:v>Dinner</x:v>
      </x:c>
      <x:c r="Q530" s="48" t="n">
        <x:v>18</x:v>
      </x:c>
      <x:c r="R530" s="5" t="n">
        <x:v>4</x:v>
      </x:c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5" t="str">
        <x:v>ORD-00756</x:v>
      </x:c>
      <x:c r="B531" s="43" t="n">
        <x:v>46091</x:v>
      </x:c>
      <x:c r="C531" s="5" t="str">
        <x:v>CUST-0187</x:v>
      </x:c>
      <x:c r="D531" s="5" t="str">
        <x:v>FD005</x:v>
      </x:c>
      <x:c r="E531" s="5" t="str">
        <x:v>Yam Porridge</x:v>
      </x:c>
      <x:c r="F531" s="5" t="str">
        <x:v>Traditional Meals</x:v>
      </x:c>
      <x:c r="G531" s="44" t="n">
        <x:v>4</x:v>
      </x:c>
      <x:c r="H531" s="45" t="n">
        <x:v>2200</x:v>
      </x:c>
      <x:c r="I531" s="46" t="n">
        <x:v>0</x:v>
      </x:c>
      <x:c r="J531" s="47" t="n">
        <x:f>G531*H531*(1-I531)</x:f>
        <x:v>8800</x:v>
      </x:c>
      <x:c r="K531" s="47" t="n">
        <x:v>1050</x:v>
      </x:c>
      <x:c r="L531" s="47" t="n">
        <x:f>G531*K531</x:f>
        <x:v>4200</x:v>
      </x:c>
      <x:c r="M531" s="47" t="n">
        <x:f>J531-L531</x:f>
        <x:v>4600</x:v>
      </x:c>
      <x:c r="N531" s="5" t="str">
        <x:v>Walk-in</x:v>
      </x:c>
      <x:c r="O531" s="5" t="str">
        <x:v>POS</x:v>
      </x:c>
      <x:c r="P531" s="5" t="str">
        <x:v>Dinner</x:v>
      </x:c>
      <x:c r="Q531" s="48" t="n">
        <x:v>18</x:v>
      </x:c>
      <x:c r="R531" s="5" t="n">
        <x:v>4</x:v>
      </x:c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5" t="str">
        <x:v>ORD-01024</x:v>
      </x:c>
      <x:c r="B532" s="43" t="n">
        <x:v>46091</x:v>
      </x:c>
      <x:c r="C532" s="5" t="str">
        <x:v>CUST-0178</x:v>
      </x:c>
      <x:c r="D532" s="5" t="str">
        <x:v>FD004</x:v>
      </x:c>
      <x:c r="E532" s="5" t="str">
        <x:v>Beans &amp; Plantain</x:v>
      </x:c>
      <x:c r="F532" s="5" t="str">
        <x:v>Traditional Meals</x:v>
      </x:c>
      <x:c r="G532" s="44" t="n">
        <x:v>3</x:v>
      </x:c>
      <x:c r="H532" s="45" t="n">
        <x:v>2000</x:v>
      </x:c>
      <x:c r="I532" s="46" t="n">
        <x:v>0</x:v>
      </x:c>
      <x:c r="J532" s="47" t="n">
        <x:f>G532*H532*(1-I532)</x:f>
        <x:v>6000</x:v>
      </x:c>
      <x:c r="K532" s="47" t="n">
        <x:v>960</x:v>
      </x:c>
      <x:c r="L532" s="47" t="n">
        <x:f>G532*K532</x:f>
        <x:v>2880</x:v>
      </x:c>
      <x:c r="M532" s="47" t="n">
        <x:f>J532-L532</x:f>
        <x:v>3120</x:v>
      </x:c>
      <x:c r="N532" s="5" t="str">
        <x:v>Walk-in</x:v>
      </x:c>
      <x:c r="O532" s="5" t="str">
        <x:v>Transfer</x:v>
      </x:c>
      <x:c r="P532" s="5" t="str">
        <x:v>Breakfast</x:v>
      </x:c>
      <x:c r="Q532" s="48" t="n">
        <x:v>8</x:v>
      </x:c>
      <x:c r="R532" s="5" t="n">
        <x:v>4</x:v>
      </x:c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5" t="str">
        <x:v>ORD-01040</x:v>
      </x:c>
      <x:c r="B533" s="43" t="n">
        <x:v>46091</x:v>
      </x:c>
      <x:c r="C533" s="5" t="str">
        <x:v>CUST-0260</x:v>
      </x:c>
      <x:c r="D533" s="5" t="str">
        <x:v>FD001</x:v>
      </x:c>
      <x:c r="E533" s="5" t="str">
        <x:v>White Rice &amp; Stew</x:v>
      </x:c>
      <x:c r="F533" s="5" t="str">
        <x:v>Rice Meals</x:v>
      </x:c>
      <x:c r="G533" s="44" t="n">
        <x:v>2</x:v>
      </x:c>
      <x:c r="H533" s="45" t="n">
        <x:v>1800</x:v>
      </x:c>
      <x:c r="I533" s="46" t="n">
        <x:v>0</x:v>
      </x:c>
      <x:c r="J533" s="47" t="n">
        <x:f>G533*H533*(1-I533)</x:f>
        <x:v>3600</x:v>
      </x:c>
      <x:c r="K533" s="47" t="n">
        <x:v>820</x:v>
      </x:c>
      <x:c r="L533" s="47" t="n">
        <x:f>G533*K533</x:f>
        <x:v>1640</x:v>
      </x:c>
      <x:c r="M533" s="47" t="n">
        <x:f>J533-L533</x:f>
        <x:v>1960</x:v>
      </x:c>
      <x:c r="N533" s="5" t="str">
        <x:v>Delivery</x:v>
      </x:c>
      <x:c r="O533" s="5" t="str">
        <x:v>Transfer</x:v>
      </x:c>
      <x:c r="P533" s="5" t="str">
        <x:v>Dinner</x:v>
      </x:c>
      <x:c r="Q533" s="48" t="n">
        <x:v>19</x:v>
      </x:c>
      <x:c r="R533" s="5" t="n">
        <x:v>4</x:v>
      </x:c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5" t="str">
        <x:v>ORD-01090</x:v>
      </x:c>
      <x:c r="B534" s="43" t="n">
        <x:v>46091</x:v>
      </x:c>
      <x:c r="C534" s="5" t="str">
        <x:v>CUST-0194</x:v>
      </x:c>
      <x:c r="D534" s="5" t="str">
        <x:v>FD008</x:v>
      </x:c>
      <x:c r="E534" s="5" t="str">
        <x:v>Pounded Yam &amp; Vegetable Soup</x:v>
      </x:c>
      <x:c r="F534" s="5" t="str">
        <x:v>Swallow</x:v>
      </x:c>
      <x:c r="G534" s="44" t="n">
        <x:v>2</x:v>
      </x:c>
      <x:c r="H534" s="45" t="n">
        <x:v>3200</x:v>
      </x:c>
      <x:c r="I534" s="46" t="n">
        <x:v>0</x:v>
      </x:c>
      <x:c r="J534" s="47" t="n">
        <x:f>G534*H534*(1-I534)</x:f>
        <x:v>6400</x:v>
      </x:c>
      <x:c r="K534" s="47" t="n">
        <x:v>1710</x:v>
      </x:c>
      <x:c r="L534" s="47" t="n">
        <x:f>G534*K534</x:f>
        <x:v>3420</x:v>
      </x:c>
      <x:c r="M534" s="47" t="n">
        <x:f>J534-L534</x:f>
        <x:v>2980</x:v>
      </x:c>
      <x:c r="N534" s="5" t="str">
        <x:v>Walk-in</x:v>
      </x:c>
      <x:c r="O534" s="5" t="str">
        <x:v>POS</x:v>
      </x:c>
      <x:c r="P534" s="5" t="str">
        <x:v>Breakfast</x:v>
      </x:c>
      <x:c r="Q534" s="48" t="n">
        <x:v>10</x:v>
      </x:c>
      <x:c r="R534" s="5" t="n">
        <x:v>5</x:v>
      </x:c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5" t="str">
        <x:v>ORD-01367</x:v>
      </x:c>
      <x:c r="B535" s="43" t="n">
        <x:v>46091</x:v>
      </x:c>
      <x:c r="C535" s="5" t="str">
        <x:v>CUST-0206</x:v>
      </x:c>
      <x:c r="D535" s="5" t="str">
        <x:v>FD003</x:v>
      </x:c>
      <x:c r="E535" s="5" t="str">
        <x:v>Fried Rice &amp; Chicken</x:v>
      </x:c>
      <x:c r="F535" s="5" t="str">
        <x:v>Rice Meals</x:v>
      </x:c>
      <x:c r="G535" s="44" t="n">
        <x:v>1</x:v>
      </x:c>
      <x:c r="H535" s="45" t="n">
        <x:v>3000</x:v>
      </x:c>
      <x:c r="I535" s="46" t="n">
        <x:v>0</x:v>
      </x:c>
      <x:c r="J535" s="47" t="n">
        <x:f>G535*H535*(1-I535)</x:f>
        <x:v>3000</x:v>
      </x:c>
      <x:c r="K535" s="47" t="n">
        <x:v>1580</x:v>
      </x:c>
      <x:c r="L535" s="47" t="n">
        <x:f>G535*K535</x:f>
        <x:v>1580</x:v>
      </x:c>
      <x:c r="M535" s="47" t="n">
        <x:f>J535-L535</x:f>
        <x:v>1420</x:v>
      </x:c>
      <x:c r="N535" s="5" t="str">
        <x:v>Takeaway</x:v>
      </x:c>
      <x:c r="O535" s="5" t="str">
        <x:v>POS</x:v>
      </x:c>
      <x:c r="P535" s="5" t="str">
        <x:v>Dinner</x:v>
      </x:c>
      <x:c r="Q535" s="48" t="n">
        <x:v>18</x:v>
      </x:c>
      <x:c r="R535" s="5" t="n">
        <x:v>4</x:v>
      </x:c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5" t="str">
        <x:v>ORD-00343</x:v>
      </x:c>
      <x:c r="B536" s="43" t="n">
        <x:v>46092</x:v>
      </x:c>
      <x:c r="C536" s="5" t="str">
        <x:v>CUST-0269</x:v>
      </x:c>
      <x:c r="D536" s="5" t="str">
        <x:v>FD005</x:v>
      </x:c>
      <x:c r="E536" s="5" t="str">
        <x:v>Yam Porridge</x:v>
      </x:c>
      <x:c r="F536" s="5" t="str">
        <x:v>Traditional Meals</x:v>
      </x:c>
      <x:c r="G536" s="44" t="n">
        <x:v>1</x:v>
      </x:c>
      <x:c r="H536" s="45" t="n">
        <x:v>2200</x:v>
      </x:c>
      <x:c r="I536" s="46" t="n">
        <x:v>0</x:v>
      </x:c>
      <x:c r="J536" s="47" t="n">
        <x:f>G536*H536*(1-I536)</x:f>
        <x:v>2200</x:v>
      </x:c>
      <x:c r="K536" s="47" t="n">
        <x:v>1050</x:v>
      </x:c>
      <x:c r="L536" s="47" t="n">
        <x:f>G536*K536</x:f>
        <x:v>1050</x:v>
      </x:c>
      <x:c r="M536" s="47" t="n">
        <x:f>J536-L536</x:f>
        <x:v>1150</x:v>
      </x:c>
      <x:c r="N536" s="5" t="str">
        <x:v>Walk-in</x:v>
      </x:c>
      <x:c r="O536" s="5" t="str">
        <x:v>POS</x:v>
      </x:c>
      <x:c r="P536" s="5" t="str">
        <x:v>Dinner</x:v>
      </x:c>
      <x:c r="Q536" s="48" t="n">
        <x:v>19</x:v>
      </x:c>
      <x:c r="R536" s="5" t="n">
        <x:v>4</x:v>
      </x:c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5" t="str">
        <x:v>ORD-00452</x:v>
      </x:c>
      <x:c r="B537" s="43" t="n">
        <x:v>46092</x:v>
      </x:c>
      <x:c r="C537" s="5" t="str">
        <x:v>CUST-0188</x:v>
      </x:c>
      <x:c r="D537" s="5" t="str">
        <x:v>FD003</x:v>
      </x:c>
      <x:c r="E537" s="5" t="str">
        <x:v>Fried Rice &amp; Chicken</x:v>
      </x:c>
      <x:c r="F537" s="5" t="str">
        <x:v>Rice Meals</x:v>
      </x:c>
      <x:c r="G537" s="44" t="n">
        <x:v>1</x:v>
      </x:c>
      <x:c r="H537" s="45" t="n">
        <x:v>3000</x:v>
      </x:c>
      <x:c r="I537" s="46" t="n">
        <x:v>0</x:v>
      </x:c>
      <x:c r="J537" s="47" t="n">
        <x:f>G537*H537*(1-I537)</x:f>
        <x:v>3000</x:v>
      </x:c>
      <x:c r="K537" s="47" t="n">
        <x:v>1580</x:v>
      </x:c>
      <x:c r="L537" s="47" t="n">
        <x:f>G537*K537</x:f>
        <x:v>1580</x:v>
      </x:c>
      <x:c r="M537" s="47" t="n">
        <x:f>J537-L537</x:f>
        <x:v>1420</x:v>
      </x:c>
      <x:c r="N537" s="5" t="str">
        <x:v>Walk-in</x:v>
      </x:c>
      <x:c r="O537" s="5" t="str">
        <x:v>POS</x:v>
      </x:c>
      <x:c r="P537" s="5" t="str">
        <x:v>Lunch</x:v>
      </x:c>
      <x:c r="Q537" s="48" t="n">
        <x:v>11</x:v>
      </x:c>
      <x:c r="R537" s="5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5" t="str">
        <x:v>ORD-00579</x:v>
      </x:c>
      <x:c r="B538" s="43" t="n">
        <x:v>46092</x:v>
      </x:c>
      <x:c r="C538" s="5" t="str">
        <x:v>CUST-0324</x:v>
      </x:c>
      <x:c r="D538" s="5" t="str">
        <x:v>FD006</x:v>
      </x:c>
      <x:c r="E538" s="5" t="str">
        <x:v>Eba &amp; Egusi Soup</x:v>
      </x:c>
      <x:c r="F538" s="5" t="str">
        <x:v>Swallow</x:v>
      </x:c>
      <x:c r="G538" s="44" t="n">
        <x:v>2</x:v>
      </x:c>
      <x:c r="H538" s="45" t="n">
        <x:v>2600</x:v>
      </x:c>
      <x:c r="I538" s="46" t="n">
        <x:v>0</x:v>
      </x:c>
      <x:c r="J538" s="47" t="n">
        <x:f>G538*H538*(1-I538)</x:f>
        <x:v>5200</x:v>
      </x:c>
      <x:c r="K538" s="47" t="n">
        <x:v>1320</x:v>
      </x:c>
      <x:c r="L538" s="47" t="n">
        <x:f>G538*K538</x:f>
        <x:v>2640</x:v>
      </x:c>
      <x:c r="M538" s="47" t="n">
        <x:f>J538-L538</x:f>
        <x:v>2560</x:v>
      </x:c>
      <x:c r="N538" s="5" t="str">
        <x:v>Walk-in</x:v>
      </x:c>
      <x:c r="O538" s="5" t="str">
        <x:v>Cash</x:v>
      </x:c>
      <x:c r="P538" s="5" t="str">
        <x:v>Breakfast</x:v>
      </x:c>
      <x:c r="Q538" s="48" t="n">
        <x:v>8</x:v>
      </x:c>
      <x:c r="R538" s="5" t="n">
        <x:v>4</x:v>
      </x:c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5" t="str">
        <x:v>ORD-00744</x:v>
      </x:c>
      <x:c r="B539" s="43" t="n">
        <x:v>46092</x:v>
      </x:c>
      <x:c r="C539" s="5" t="str">
        <x:v>CUST-0369</x:v>
      </x:c>
      <x:c r="D539" s="5" t="str">
        <x:v>FD008</x:v>
      </x:c>
      <x:c r="E539" s="5" t="str">
        <x:v>Pounded Yam &amp; Vegetable Soup</x:v>
      </x:c>
      <x:c r="F539" s="5" t="str">
        <x:v>Swallow</x:v>
      </x:c>
      <x:c r="G539" s="44" t="n">
        <x:v>1</x:v>
      </x:c>
      <x:c r="H539" s="45" t="n">
        <x:v>3200</x:v>
      </x:c>
      <x:c r="I539" s="46" t="n">
        <x:v>0</x:v>
      </x:c>
      <x:c r="J539" s="47" t="n">
        <x:f>G539*H539*(1-I539)</x:f>
        <x:v>3200</x:v>
      </x:c>
      <x:c r="K539" s="47" t="n">
        <x:v>1710</x:v>
      </x:c>
      <x:c r="L539" s="47" t="n">
        <x:f>G539*K539</x:f>
        <x:v>1710</x:v>
      </x:c>
      <x:c r="M539" s="47" t="n">
        <x:f>J539-L539</x:f>
        <x:v>1490</x:v>
      </x:c>
      <x:c r="N539" s="5" t="str">
        <x:v>Takeaway</x:v>
      </x:c>
      <x:c r="O539" s="5" t="str">
        <x:v>Cash</x:v>
      </x:c>
      <x:c r="P539" s="5" t="str">
        <x:v>Dinner</x:v>
      </x:c>
      <x:c r="Q539" s="48" t="n">
        <x:v>17</x:v>
      </x:c>
      <x:c r="R539" s="5" t="n">
        <x:v>3</x:v>
      </x:c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5" t="str">
        <x:v>ORD-00822</x:v>
      </x:c>
      <x:c r="B540" s="43" t="n">
        <x:v>46092</x:v>
      </x:c>
      <x:c r="C540" s="5" t="str">
        <x:v>CUST-0406</x:v>
      </x:c>
      <x:c r="D540" s="5" t="str">
        <x:v>FD005</x:v>
      </x:c>
      <x:c r="E540" s="5" t="str">
        <x:v>Yam Porridge</x:v>
      </x:c>
      <x:c r="F540" s="5" t="str">
        <x:v>Traditional Meals</x:v>
      </x:c>
      <x:c r="G540" s="44" t="n">
        <x:v>1</x:v>
      </x:c>
      <x:c r="H540" s="45" t="n">
        <x:v>2200</x:v>
      </x:c>
      <x:c r="I540" s="46" t="n">
        <x:v>0</x:v>
      </x:c>
      <x:c r="J540" s="47" t="n">
        <x:f>G540*H540*(1-I540)</x:f>
        <x:v>2200</x:v>
      </x:c>
      <x:c r="K540" s="47" t="n">
        <x:v>1050</x:v>
      </x:c>
      <x:c r="L540" s="47" t="n">
        <x:f>G540*K540</x:f>
        <x:v>1050</x:v>
      </x:c>
      <x:c r="M540" s="47" t="n">
        <x:f>J540-L540</x:f>
        <x:v>1150</x:v>
      </x:c>
      <x:c r="N540" s="5" t="str">
        <x:v>Delivery</x:v>
      </x:c>
      <x:c r="O540" s="5" t="str">
        <x:v>POS</x:v>
      </x:c>
      <x:c r="P540" s="5" t="str">
        <x:v>Breakfast</x:v>
      </x:c>
      <x:c r="Q540" s="48" t="n">
        <x:v>9</x:v>
      </x:c>
      <x:c r="R540" s="5" t="n">
        <x:v>5</x:v>
      </x:c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5" t="str">
        <x:v>ORD-01205</x:v>
      </x:c>
      <x:c r="B541" s="43" t="n">
        <x:v>46092</x:v>
      </x:c>
      <x:c r="C541" s="5" t="str">
        <x:v>CUST-0147</x:v>
      </x:c>
      <x:c r="D541" s="5" t="str">
        <x:v>FD002</x:v>
      </x:c>
      <x:c r="E541" s="5" t="str">
        <x:v>Jollof Rice &amp; Chicken</x:v>
      </x:c>
      <x:c r="F541" s="5" t="str">
        <x:v>Rice Meals</x:v>
      </x:c>
      <x:c r="G541" s="44" t="n">
        <x:v>4</x:v>
      </x:c>
      <x:c r="H541" s="45" t="n">
        <x:v>2800</x:v>
      </x:c>
      <x:c r="I541" s="46" t="n">
        <x:v>0</x:v>
      </x:c>
      <x:c r="J541" s="47" t="n">
        <x:f>G541*H541*(1-I541)</x:f>
        <x:v>11200</x:v>
      </x:c>
      <x:c r="K541" s="47" t="n">
        <x:v>1450</x:v>
      </x:c>
      <x:c r="L541" s="47" t="n">
        <x:f>G541*K541</x:f>
        <x:v>5800</x:v>
      </x:c>
      <x:c r="M541" s="47" t="n">
        <x:f>J541-L541</x:f>
        <x:v>5400</x:v>
      </x:c>
      <x:c r="N541" s="5" t="str">
        <x:v>Walk-in</x:v>
      </x:c>
      <x:c r="O541" s="5" t="str">
        <x:v>Transfer</x:v>
      </x:c>
      <x:c r="P541" s="5" t="str">
        <x:v>Lunch</x:v>
      </x:c>
      <x:c r="Q541" s="48" t="n">
        <x:v>11</x:v>
      </x:c>
      <x:c r="R541" s="5" t="n">
        <x:v>4</x:v>
      </x:c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5" t="str">
        <x:v>ORD-01312</x:v>
      </x:c>
      <x:c r="B542" s="43" t="n">
        <x:v>46092</x:v>
      </x:c>
      <x:c r="C542" s="5" t="str">
        <x:v>CUST-0292</x:v>
      </x:c>
      <x:c r="D542" s="5" t="str">
        <x:v>FD003</x:v>
      </x:c>
      <x:c r="E542" s="5" t="str">
        <x:v>Fried Rice &amp; Chicken</x:v>
      </x:c>
      <x:c r="F542" s="5" t="str">
        <x:v>Rice Meals</x:v>
      </x:c>
      <x:c r="G542" s="44" t="n">
        <x:v>3</x:v>
      </x:c>
      <x:c r="H542" s="45" t="n">
        <x:v>3000</x:v>
      </x:c>
      <x:c r="I542" s="46" t="n">
        <x:v>0</x:v>
      </x:c>
      <x:c r="J542" s="47" t="n">
        <x:f>G542*H542*(1-I542)</x:f>
        <x:v>9000</x:v>
      </x:c>
      <x:c r="K542" s="47" t="n">
        <x:v>1580</x:v>
      </x:c>
      <x:c r="L542" s="47" t="n">
        <x:f>G542*K542</x:f>
        <x:v>4740</x:v>
      </x:c>
      <x:c r="M542" s="47" t="n">
        <x:f>J542-L542</x:f>
        <x:v>4260</x:v>
      </x:c>
      <x:c r="N542" s="5" t="str">
        <x:v>Walk-in</x:v>
      </x:c>
      <x:c r="O542" s="5" t="str">
        <x:v>Cash</x:v>
      </x:c>
      <x:c r="P542" s="5" t="str">
        <x:v>Lunch</x:v>
      </x:c>
      <x:c r="Q542" s="48" t="n">
        <x:v>11</x:v>
      </x:c>
      <x:c r="R542" s="5" t="n">
        <x:v>3</x:v>
      </x:c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5" t="str">
        <x:v>ORD-00224</x:v>
      </x:c>
      <x:c r="B543" s="43" t="n">
        <x:v>46093</x:v>
      </x:c>
      <x:c r="C543" s="5" t="str">
        <x:v>CUST-0603</x:v>
      </x:c>
      <x:c r="D543" s="5" t="str">
        <x:v>FD002</x:v>
      </x:c>
      <x:c r="E543" s="5" t="str">
        <x:v>Jollof Rice &amp; Chicken</x:v>
      </x:c>
      <x:c r="F543" s="5" t="str">
        <x:v>Rice Meals</x:v>
      </x:c>
      <x:c r="G543" s="44" t="n">
        <x:v>1</x:v>
      </x:c>
      <x:c r="H543" s="45" t="n">
        <x:v>2800</x:v>
      </x:c>
      <x:c r="I543" s="46" t="n">
        <x:v>0</x:v>
      </x:c>
      <x:c r="J543" s="47" t="n">
        <x:f>G543*H543*(1-I543)</x:f>
        <x:v>2800</x:v>
      </x:c>
      <x:c r="K543" s="47" t="n">
        <x:v>1450</x:v>
      </x:c>
      <x:c r="L543" s="47" t="n">
        <x:f>G543*K543</x:f>
        <x:v>1450</x:v>
      </x:c>
      <x:c r="M543" s="47" t="n">
        <x:f>J543-L543</x:f>
        <x:v>1350</x:v>
      </x:c>
      <x:c r="N543" s="5" t="str">
        <x:v>Walk-in</x:v>
      </x:c>
      <x:c r="O543" s="5" t="str">
        <x:v>POS</x:v>
      </x:c>
      <x:c r="P543" s="5" t="str">
        <x:v>Lunch</x:v>
      </x:c>
      <x:c r="Q543" s="48" t="n">
        <x:v>14</x:v>
      </x:c>
      <x:c r="R543" s="5" t="n">
        <x:v>4</x:v>
      </x:c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5" t="str">
        <x:v>ORD-00512</x:v>
      </x:c>
      <x:c r="B544" s="43" t="n">
        <x:v>46093</x:v>
      </x:c>
      <x:c r="C544" s="5" t="str">
        <x:v>CUST-0634</x:v>
      </x:c>
      <x:c r="D544" s="5" t="str">
        <x:v>FD004</x:v>
      </x:c>
      <x:c r="E544" s="5" t="str">
        <x:v>Beans &amp; Plantain</x:v>
      </x:c>
      <x:c r="F544" s="5" t="str">
        <x:v>Traditional Meals</x:v>
      </x:c>
      <x:c r="G544" s="44" t="n">
        <x:v>2</x:v>
      </x:c>
      <x:c r="H544" s="45" t="n">
        <x:v>2000</x:v>
      </x:c>
      <x:c r="I544" s="46" t="n">
        <x:v>0</x:v>
      </x:c>
      <x:c r="J544" s="47" t="n">
        <x:f>G544*H544*(1-I544)</x:f>
        <x:v>4000</x:v>
      </x:c>
      <x:c r="K544" s="47" t="n">
        <x:v>960</x:v>
      </x:c>
      <x:c r="L544" s="47" t="n">
        <x:f>G544*K544</x:f>
        <x:v>1920</x:v>
      </x:c>
      <x:c r="M544" s="47" t="n">
        <x:f>J544-L544</x:f>
        <x:v>2080</x:v>
      </x:c>
      <x:c r="N544" s="5" t="str">
        <x:v>Walk-in</x:v>
      </x:c>
      <x:c r="O544" s="5" t="str">
        <x:v>POS</x:v>
      </x:c>
      <x:c r="P544" s="5" t="str">
        <x:v>Lunch</x:v>
      </x:c>
      <x:c r="Q544" s="48" t="n">
        <x:v>13</x:v>
      </x:c>
      <x:c r="R544" s="5" t="n">
        <x:v>5</x:v>
      </x:c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5" t="str">
        <x:v>ORD-00612</x:v>
      </x:c>
      <x:c r="B545" s="43" t="n">
        <x:v>46093</x:v>
      </x:c>
      <x:c r="C545" s="5" t="str">
        <x:v>CUST-0028</x:v>
      </x:c>
      <x:c r="D545" s="5" t="str">
        <x:v>FD002</x:v>
      </x:c>
      <x:c r="E545" s="5" t="str">
        <x:v>Jollof Rice &amp; Chicken</x:v>
      </x:c>
      <x:c r="F545" s="5" t="str">
        <x:v>Rice Meals</x:v>
      </x:c>
      <x:c r="G545" s="44" t="n">
        <x:v>3</x:v>
      </x:c>
      <x:c r="H545" s="45" t="n">
        <x:v>2800</x:v>
      </x:c>
      <x:c r="I545" s="46" t="n">
        <x:v>0.05</x:v>
      </x:c>
      <x:c r="J545" s="47" t="n">
        <x:f>G545*H545*(1-I545)</x:f>
        <x:v>7980</x:v>
      </x:c>
      <x:c r="K545" s="47" t="n">
        <x:v>1450</x:v>
      </x:c>
      <x:c r="L545" s="47" t="n">
        <x:f>G545*K545</x:f>
        <x:v>4350</x:v>
      </x:c>
      <x:c r="M545" s="47" t="n">
        <x:f>J545-L545</x:f>
        <x:v>3630</x:v>
      </x:c>
      <x:c r="N545" s="5" t="str">
        <x:v>Delivery</x:v>
      </x:c>
      <x:c r="O545" s="5" t="str">
        <x:v>Transfer</x:v>
      </x:c>
      <x:c r="P545" s="5" t="str">
        <x:v>Lunch</x:v>
      </x:c>
      <x:c r="Q545" s="48" t="n">
        <x:v>13</x:v>
      </x:c>
      <x:c r="R545" s="5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5" t="str">
        <x:v>ORD-01255</x:v>
      </x:c>
      <x:c r="B546" s="43" t="n">
        <x:v>46093</x:v>
      </x:c>
      <x:c r="C546" s="5" t="str">
        <x:v>CUST-0017</x:v>
      </x:c>
      <x:c r="D546" s="5" t="str">
        <x:v>FD008</x:v>
      </x:c>
      <x:c r="E546" s="5" t="str">
        <x:v>Pounded Yam &amp; Vegetable Soup</x:v>
      </x:c>
      <x:c r="F546" s="5" t="str">
        <x:v>Swallow</x:v>
      </x:c>
      <x:c r="G546" s="44" t="n">
        <x:v>4</x:v>
      </x:c>
      <x:c r="H546" s="45" t="n">
        <x:v>3200</x:v>
      </x:c>
      <x:c r="I546" s="46" t="n">
        <x:v>0</x:v>
      </x:c>
      <x:c r="J546" s="47" t="n">
        <x:f>G546*H546*(1-I546)</x:f>
        <x:v>12800</x:v>
      </x:c>
      <x:c r="K546" s="47" t="n">
        <x:v>1710</x:v>
      </x:c>
      <x:c r="L546" s="47" t="n">
        <x:f>G546*K546</x:f>
        <x:v>6840</x:v>
      </x:c>
      <x:c r="M546" s="47" t="n">
        <x:f>J546-L546</x:f>
        <x:v>5960</x:v>
      </x:c>
      <x:c r="N546" s="5" t="str">
        <x:v>Walk-in</x:v>
      </x:c>
      <x:c r="O546" s="5" t="str">
        <x:v>Cash</x:v>
      </x:c>
      <x:c r="P546" s="5" t="str">
        <x:v>Lunch</x:v>
      </x:c>
      <x:c r="Q546" s="48" t="n">
        <x:v>14</x:v>
      </x:c>
      <x:c r="R546" s="5" t="n">
        <x:v>5</x:v>
      </x:c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5" t="str">
        <x:v>ORD-01551</x:v>
      </x:c>
      <x:c r="B547" s="43" t="n">
        <x:v>46093</x:v>
      </x:c>
      <x:c r="C547" s="5" t="str">
        <x:v>CUST-0242</x:v>
      </x:c>
      <x:c r="D547" s="5" t="str">
        <x:v>FD011</x:v>
      </x:c>
      <x:c r="E547" s="5" t="str">
        <x:v>Bottled Water</x:v>
      </x:c>
      <x:c r="F547" s="5" t="str">
        <x:v>Beverages</x:v>
      </x:c>
      <x:c r="G547" s="44" t="n">
        <x:v>4</x:v>
      </x:c>
      <x:c r="H547" s="45" t="n">
        <x:v>300</x:v>
      </x:c>
      <x:c r="I547" s="46" t="n">
        <x:v>0</x:v>
      </x:c>
      <x:c r="J547" s="47" t="n">
        <x:f>G547*H547*(1-I547)</x:f>
        <x:v>1200</x:v>
      </x:c>
      <x:c r="K547" s="47" t="n">
        <x:v>120</x:v>
      </x:c>
      <x:c r="L547" s="47" t="n">
        <x:f>G547*K547</x:f>
        <x:v>480</x:v>
      </x:c>
      <x:c r="M547" s="47" t="n">
        <x:f>J547-L547</x:f>
        <x:v>720</x:v>
      </x:c>
      <x:c r="N547" s="5" t="str">
        <x:v>Walk-in</x:v>
      </x:c>
      <x:c r="O547" s="5" t="str">
        <x:v>Cash</x:v>
      </x:c>
      <x:c r="P547" s="5" t="str">
        <x:v>Lunch</x:v>
      </x:c>
      <x:c r="Q547" s="48" t="n">
        <x:v>12</x:v>
      </x:c>
      <x:c r="R547" s="5" t="n">
        <x:v>4</x:v>
      </x:c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5" t="str">
        <x:v>ORD-01560</x:v>
      </x:c>
      <x:c r="B548" s="43" t="n">
        <x:v>46093</x:v>
      </x:c>
      <x:c r="C548" s="5" t="str">
        <x:v>CUST-0648</x:v>
      </x:c>
      <x:c r="D548" s="5" t="str">
        <x:v>FD010</x:v>
      </x:c>
      <x:c r="E548" s="5" t="str">
        <x:v>Soft Drink</x:v>
      </x:c>
      <x:c r="F548" s="5" t="str">
        <x:v>Beverages</x:v>
      </x:c>
      <x:c r="G548" s="44" t="n">
        <x:v>1</x:v>
      </x:c>
      <x:c r="H548" s="45" t="n">
        <x:v>600</x:v>
      </x:c>
      <x:c r="I548" s="46" t="n">
        <x:v>0</x:v>
      </x:c>
      <x:c r="J548" s="47" t="n">
        <x:f>G548*H548*(1-I548)</x:f>
        <x:v>600</x:v>
      </x:c>
      <x:c r="K548" s="47" t="n">
        <x:v>280</x:v>
      </x:c>
      <x:c r="L548" s="47" t="n">
        <x:f>G548*K548</x:f>
        <x:v>280</x:v>
      </x:c>
      <x:c r="M548" s="47" t="n">
        <x:f>J548-L548</x:f>
        <x:v>320</x:v>
      </x:c>
      <x:c r="N548" s="5" t="str">
        <x:v>Takeaway</x:v>
      </x:c>
      <x:c r="O548" s="5" t="str">
        <x:v>Transfer</x:v>
      </x:c>
      <x:c r="P548" s="5" t="str">
        <x:v>Dinner</x:v>
      </x:c>
      <x:c r="Q548" s="48" t="n">
        <x:v>16</x:v>
      </x:c>
      <x:c r="R548" s="5" t="n">
        <x:v>4</x:v>
      </x:c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5" t="str">
        <x:v>ORD-01583</x:v>
      </x:c>
      <x:c r="B549" s="43" t="n">
        <x:v>46093</x:v>
      </x:c>
      <x:c r="C549" s="5" t="str">
        <x:v>CUST-0221</x:v>
      </x:c>
      <x:c r="D549" s="5" t="str">
        <x:v>FD005</x:v>
      </x:c>
      <x:c r="E549" s="5" t="str">
        <x:v>Yam Porridge</x:v>
      </x:c>
      <x:c r="F549" s="5" t="str">
        <x:v>Traditional Meals</x:v>
      </x:c>
      <x:c r="G549" s="44" t="n">
        <x:v>4</x:v>
      </x:c>
      <x:c r="H549" s="45" t="n">
        <x:v>2200</x:v>
      </x:c>
      <x:c r="I549" s="46" t="n">
        <x:v>0</x:v>
      </x:c>
      <x:c r="J549" s="47" t="n">
        <x:f>G549*H549*(1-I549)</x:f>
        <x:v>8800</x:v>
      </x:c>
      <x:c r="K549" s="47" t="n">
        <x:v>1050</x:v>
      </x:c>
      <x:c r="L549" s="47" t="n">
        <x:f>G549*K549</x:f>
        <x:v>4200</x:v>
      </x:c>
      <x:c r="M549" s="47" t="n">
        <x:f>J549-L549</x:f>
        <x:v>4600</x:v>
      </x:c>
      <x:c r="N549" s="5" t="str">
        <x:v>Walk-in</x:v>
      </x:c>
      <x:c r="O549" s="5" t="str">
        <x:v>POS</x:v>
      </x:c>
      <x:c r="P549" s="5" t="str">
        <x:v>Lunch</x:v>
      </x:c>
      <x:c r="Q549" s="48" t="n">
        <x:v>15</x:v>
      </x:c>
      <x:c r="R549" s="5" t="n">
        <x:v>4</x:v>
      </x:c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5" t="str">
        <x:v>ORD-01750</x:v>
      </x:c>
      <x:c r="B550" s="43" t="n">
        <x:v>46093</x:v>
      </x:c>
      <x:c r="C550" s="5" t="str">
        <x:v>CUST-0386</x:v>
      </x:c>
      <x:c r="D550" s="5" t="str">
        <x:v>FD007</x:v>
      </x:c>
      <x:c r="E550" s="5" t="str">
        <x:v>Amala &amp; Ewedu</x:v>
      </x:c>
      <x:c r="F550" s="5" t="str">
        <x:v>Swallow</x:v>
      </x:c>
      <x:c r="G550" s="44" t="n">
        <x:v>2</x:v>
      </x:c>
      <x:c r="H550" s="45" t="n">
        <x:v>2500</x:v>
      </x:c>
      <x:c r="I550" s="46" t="n">
        <x:v>0</x:v>
      </x:c>
      <x:c r="J550" s="47" t="n">
        <x:f>G550*H550*(1-I550)</x:f>
        <x:v>5000</x:v>
      </x:c>
      <x:c r="K550" s="47" t="n">
        <x:v>1250</x:v>
      </x:c>
      <x:c r="L550" s="47" t="n">
        <x:f>G550*K550</x:f>
        <x:v>2500</x:v>
      </x:c>
      <x:c r="M550" s="47" t="n">
        <x:f>J550-L550</x:f>
        <x:v>2500</x:v>
      </x:c>
      <x:c r="N550" s="5" t="str">
        <x:v>Delivery</x:v>
      </x:c>
      <x:c r="O550" s="5" t="str">
        <x:v>POS</x:v>
      </x:c>
      <x:c r="P550" s="5" t="str">
        <x:v>Breakfast</x:v>
      </x:c>
      <x:c r="Q550" s="48" t="n">
        <x:v>9</x:v>
      </x:c>
      <x:c r="R550" s="5" t="n">
        <x:v>4</x:v>
      </x:c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5" t="str">
        <x:v>ORD-00726</x:v>
      </x:c>
      <x:c r="B551" s="43" t="n">
        <x:v>46094</x:v>
      </x:c>
      <x:c r="C551" s="5" t="str">
        <x:v>CUST-0208</x:v>
      </x:c>
      <x:c r="D551" s="5" t="str">
        <x:v>FD003</x:v>
      </x:c>
      <x:c r="E551" s="5" t="str">
        <x:v>Fried Rice &amp; Chicken</x:v>
      </x:c>
      <x:c r="F551" s="5" t="str">
        <x:v>Rice Meals</x:v>
      </x:c>
      <x:c r="G551" s="44" t="n">
        <x:v>4</x:v>
      </x:c>
      <x:c r="H551" s="45" t="n">
        <x:v>3000</x:v>
      </x:c>
      <x:c r="I551" s="46" t="n">
        <x:v>0</x:v>
      </x:c>
      <x:c r="J551" s="47" t="n">
        <x:f>G551*H551*(1-I551)</x:f>
        <x:v>12000</x:v>
      </x:c>
      <x:c r="K551" s="47" t="n">
        <x:v>1580</x:v>
      </x:c>
      <x:c r="L551" s="47" t="n">
        <x:f>G551*K551</x:f>
        <x:v>6320</x:v>
      </x:c>
      <x:c r="M551" s="47" t="n">
        <x:f>J551-L551</x:f>
        <x:v>5680</x:v>
      </x:c>
      <x:c r="N551" s="5" t="str">
        <x:v>Delivery</x:v>
      </x:c>
      <x:c r="O551" s="5" t="str">
        <x:v>Cash</x:v>
      </x:c>
      <x:c r="P551" s="5" t="str">
        <x:v>Lunch</x:v>
      </x:c>
      <x:c r="Q551" s="48" t="n">
        <x:v>13</x:v>
      </x:c>
      <x:c r="R551" s="5" t="n">
        <x:v>4</x:v>
      </x:c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5" t="str">
        <x:v>ORD-00935</x:v>
      </x:c>
      <x:c r="B552" s="43" t="n">
        <x:v>46094</x:v>
      </x:c>
      <x:c r="C552" s="5" t="str">
        <x:v>CUST-0355</x:v>
      </x:c>
      <x:c r="D552" s="5" t="str">
        <x:v>FD008</x:v>
      </x:c>
      <x:c r="E552" s="5" t="str">
        <x:v>Pounded Yam &amp; Vegetable Soup</x:v>
      </x:c>
      <x:c r="F552" s="5" t="str">
        <x:v>Swallow</x:v>
      </x:c>
      <x:c r="G552" s="44" t="n">
        <x:v>3</x:v>
      </x:c>
      <x:c r="H552" s="45" t="n">
        <x:v>3200</x:v>
      </x:c>
      <x:c r="I552" s="46" t="n">
        <x:v>0</x:v>
      </x:c>
      <x:c r="J552" s="47" t="n">
        <x:f>G552*H552*(1-I552)</x:f>
        <x:v>9600</x:v>
      </x:c>
      <x:c r="K552" s="47" t="n">
        <x:v>1710</x:v>
      </x:c>
      <x:c r="L552" s="47" t="n">
        <x:f>G552*K552</x:f>
        <x:v>5130</x:v>
      </x:c>
      <x:c r="M552" s="47" t="n">
        <x:f>J552-L552</x:f>
        <x:v>4470</x:v>
      </x:c>
      <x:c r="N552" s="5" t="str">
        <x:v>Walk-in</x:v>
      </x:c>
      <x:c r="O552" s="5" t="str">
        <x:v>Cash</x:v>
      </x:c>
      <x:c r="P552" s="5" t="str">
        <x:v>Dinner</x:v>
      </x:c>
      <x:c r="Q552" s="48" t="n">
        <x:v>18</x:v>
      </x:c>
      <x:c r="R552" s="5" t="n">
        <x:v>3</x:v>
      </x:c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5" t="str">
        <x:v>ORD-01032</x:v>
      </x:c>
      <x:c r="B553" s="43" t="n">
        <x:v>46094</x:v>
      </x:c>
      <x:c r="C553" s="5" t="str">
        <x:v>CUST-0229</x:v>
      </x:c>
      <x:c r="D553" s="5" t="str">
        <x:v>FD001</x:v>
      </x:c>
      <x:c r="E553" s="5" t="str">
        <x:v>White Rice &amp; Stew</x:v>
      </x:c>
      <x:c r="F553" s="5" t="str">
        <x:v>Rice Meals</x:v>
      </x:c>
      <x:c r="G553" s="44" t="n">
        <x:v>3</x:v>
      </x:c>
      <x:c r="H553" s="45" t="n">
        <x:v>1800</x:v>
      </x:c>
      <x:c r="I553" s="46" t="n">
        <x:v>0</x:v>
      </x:c>
      <x:c r="J553" s="47" t="n">
        <x:f>G553*H553*(1-I553)</x:f>
        <x:v>5400</x:v>
      </x:c>
      <x:c r="K553" s="47" t="n">
        <x:v>820</x:v>
      </x:c>
      <x:c r="L553" s="47" t="n">
        <x:f>G553*K553</x:f>
        <x:v>2460</x:v>
      </x:c>
      <x:c r="M553" s="47" t="n">
        <x:f>J553-L553</x:f>
        <x:v>2940</x:v>
      </x:c>
      <x:c r="N553" s="5" t="str">
        <x:v>Takeaway</x:v>
      </x:c>
      <x:c r="O553" s="5" t="str">
        <x:v>Cash</x:v>
      </x:c>
      <x:c r="P553" s="5" t="str">
        <x:v>Dinner</x:v>
      </x:c>
      <x:c r="Q553" s="48" t="n">
        <x:v>19</x:v>
      </x:c>
      <x:c r="R553" s="5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5" t="str">
        <x:v>ORD-01179</x:v>
      </x:c>
      <x:c r="B554" s="43" t="n">
        <x:v>46094</x:v>
      </x:c>
      <x:c r="C554" s="5" t="str">
        <x:v>CUST-0232</x:v>
      </x:c>
      <x:c r="D554" s="5" t="str">
        <x:v>FD001</x:v>
      </x:c>
      <x:c r="E554" s="5" t="str">
        <x:v>White Rice &amp; Stew</x:v>
      </x:c>
      <x:c r="F554" s="5" t="str">
        <x:v>Rice Meals</x:v>
      </x:c>
      <x:c r="G554" s="44" t="n">
        <x:v>1</x:v>
      </x:c>
      <x:c r="H554" s="45" t="n">
        <x:v>1800</x:v>
      </x:c>
      <x:c r="I554" s="46" t="n">
        <x:v>0</x:v>
      </x:c>
      <x:c r="J554" s="47" t="n">
        <x:f>G554*H554*(1-I554)</x:f>
        <x:v>1800</x:v>
      </x:c>
      <x:c r="K554" s="47" t="n">
        <x:v>820</x:v>
      </x:c>
      <x:c r="L554" s="47" t="n">
        <x:f>G554*K554</x:f>
        <x:v>820</x:v>
      </x:c>
      <x:c r="M554" s="47" t="n">
        <x:f>J554-L554</x:f>
        <x:v>980</x:v>
      </x:c>
      <x:c r="N554" s="5" t="str">
        <x:v>Walk-in</x:v>
      </x:c>
      <x:c r="O554" s="5" t="str">
        <x:v>Cash</x:v>
      </x:c>
      <x:c r="P554" s="5" t="str">
        <x:v>Dinner</x:v>
      </x:c>
      <x:c r="Q554" s="48" t="n">
        <x:v>17</x:v>
      </x:c>
      <x:c r="R554" s="5" t="n">
        <x:v>4</x:v>
      </x:c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5" t="str">
        <x:v>ORD-01366</x:v>
      </x:c>
      <x:c r="B555" s="43" t="n">
        <x:v>46094</x:v>
      </x:c>
      <x:c r="C555" s="5" t="str">
        <x:v>CUST-0400</x:v>
      </x:c>
      <x:c r="D555" s="5" t="str">
        <x:v>FD004</x:v>
      </x:c>
      <x:c r="E555" s="5" t="str">
        <x:v>Beans &amp; Plantain</x:v>
      </x:c>
      <x:c r="F555" s="5" t="str">
        <x:v>Traditional Meals</x:v>
      </x:c>
      <x:c r="G555" s="44" t="n">
        <x:v>4</x:v>
      </x:c>
      <x:c r="H555" s="45" t="n">
        <x:v>2000</x:v>
      </x:c>
      <x:c r="I555" s="46" t="n">
        <x:v>0</x:v>
      </x:c>
      <x:c r="J555" s="47" t="n">
        <x:f>G555*H555*(1-I555)</x:f>
        <x:v>8000</x:v>
      </x:c>
      <x:c r="K555" s="47" t="n">
        <x:v>960</x:v>
      </x:c>
      <x:c r="L555" s="47" t="n">
        <x:f>G555*K555</x:f>
        <x:v>3840</x:v>
      </x:c>
      <x:c r="M555" s="47" t="n">
        <x:f>J555-L555</x:f>
        <x:v>4160</x:v>
      </x:c>
      <x:c r="N555" s="5" t="str">
        <x:v>Walk-in</x:v>
      </x:c>
      <x:c r="O555" s="5" t="str">
        <x:v>Cash</x:v>
      </x:c>
      <x:c r="P555" s="5" t="str">
        <x:v>Lunch</x:v>
      </x:c>
      <x:c r="Q555" s="48" t="n">
        <x:v>15</x:v>
      </x:c>
      <x:c r="R555" s="5" t="n">
        <x:v>4</x:v>
      </x:c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5" t="str">
        <x:v>ORD-01410</x:v>
      </x:c>
      <x:c r="B556" s="43" t="n">
        <x:v>46094</x:v>
      </x:c>
      <x:c r="C556" s="5" t="str">
        <x:v>CUST-0242</x:v>
      </x:c>
      <x:c r="D556" s="5" t="str">
        <x:v>FD008</x:v>
      </x:c>
      <x:c r="E556" s="5" t="str">
        <x:v>Pounded Yam &amp; Vegetable Soup</x:v>
      </x:c>
      <x:c r="F556" s="5" t="str">
        <x:v>Swallow</x:v>
      </x:c>
      <x:c r="G556" s="44" t="n">
        <x:v>2</x:v>
      </x:c>
      <x:c r="H556" s="45" t="n">
        <x:v>3200</x:v>
      </x:c>
      <x:c r="I556" s="46" t="n">
        <x:v>0</x:v>
      </x:c>
      <x:c r="J556" s="47" t="n">
        <x:f>G556*H556*(1-I556)</x:f>
        <x:v>6400</x:v>
      </x:c>
      <x:c r="K556" s="47" t="n">
        <x:v>1710</x:v>
      </x:c>
      <x:c r="L556" s="47" t="n">
        <x:f>G556*K556</x:f>
        <x:v>3420</x:v>
      </x:c>
      <x:c r="M556" s="47" t="n">
        <x:f>J556-L556</x:f>
        <x:v>2980</x:v>
      </x:c>
      <x:c r="N556" s="5" t="str">
        <x:v>Walk-in</x:v>
      </x:c>
      <x:c r="O556" s="5" t="str">
        <x:v>Cash</x:v>
      </x:c>
      <x:c r="P556" s="5" t="str">
        <x:v>Lunch</x:v>
      </x:c>
      <x:c r="Q556" s="48" t="n">
        <x:v>15</x:v>
      </x:c>
      <x:c r="R556" s="5" t="n">
        <x:v>5</x:v>
      </x:c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5" t="str">
        <x:v>ORD-01485</x:v>
      </x:c>
      <x:c r="B557" s="43" t="n">
        <x:v>46094</x:v>
      </x:c>
      <x:c r="C557" s="5" t="str">
        <x:v>CUST-0254</x:v>
      </x:c>
      <x:c r="D557" s="5" t="str">
        <x:v>FD003</x:v>
      </x:c>
      <x:c r="E557" s="5" t="str">
        <x:v>Fried Rice &amp; Chicken</x:v>
      </x:c>
      <x:c r="F557" s="5" t="str">
        <x:v>Rice Meals</x:v>
      </x:c>
      <x:c r="G557" s="44" t="n">
        <x:v>2</x:v>
      </x:c>
      <x:c r="H557" s="45" t="n">
        <x:v>3000</x:v>
      </x:c>
      <x:c r="I557" s="46" t="n">
        <x:v>0</x:v>
      </x:c>
      <x:c r="J557" s="47" t="n">
        <x:f>G557*H557*(1-I557)</x:f>
        <x:v>6000</x:v>
      </x:c>
      <x:c r="K557" s="47" t="n">
        <x:v>1580</x:v>
      </x:c>
      <x:c r="L557" s="47" t="n">
        <x:f>G557*K557</x:f>
        <x:v>3160</x:v>
      </x:c>
      <x:c r="M557" s="47" t="n">
        <x:f>J557-L557</x:f>
        <x:v>2840</x:v>
      </x:c>
      <x:c r="N557" s="5" t="str">
        <x:v>Walk-in</x:v>
      </x:c>
      <x:c r="O557" s="5" t="str">
        <x:v>POS</x:v>
      </x:c>
      <x:c r="P557" s="5" t="str">
        <x:v>Lunch</x:v>
      </x:c>
      <x:c r="Q557" s="48" t="n">
        <x:v>13</x:v>
      </x:c>
      <x:c r="R557" s="5" t="n">
        <x:v>4</x:v>
      </x:c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5" t="str">
        <x:v>ORD-01605</x:v>
      </x:c>
      <x:c r="B558" s="43" t="n">
        <x:v>46094</x:v>
      </x:c>
      <x:c r="C558" s="5" t="str">
        <x:v>CUST-0238</x:v>
      </x:c>
      <x:c r="D558" s="5" t="str">
        <x:v>FD001</x:v>
      </x:c>
      <x:c r="E558" s="5" t="str">
        <x:v>White Rice &amp; Stew</x:v>
      </x:c>
      <x:c r="F558" s="5" t="str">
        <x:v>Rice Meals</x:v>
      </x:c>
      <x:c r="G558" s="44" t="n">
        <x:v>3</x:v>
      </x:c>
      <x:c r="H558" s="45" t="n">
        <x:v>1800</x:v>
      </x:c>
      <x:c r="I558" s="46" t="n">
        <x:v>0</x:v>
      </x:c>
      <x:c r="J558" s="47" t="n">
        <x:f>G558*H558*(1-I558)</x:f>
        <x:v>5400</x:v>
      </x:c>
      <x:c r="K558" s="47" t="n">
        <x:v>820</x:v>
      </x:c>
      <x:c r="L558" s="47" t="n">
        <x:f>G558*K558</x:f>
        <x:v>2460</x:v>
      </x:c>
      <x:c r="M558" s="47" t="n">
        <x:f>J558-L558</x:f>
        <x:v>2940</x:v>
      </x:c>
      <x:c r="N558" s="5" t="str">
        <x:v>Delivery</x:v>
      </x:c>
      <x:c r="O558" s="5" t="str">
        <x:v>Cash</x:v>
      </x:c>
      <x:c r="P558" s="5" t="str">
        <x:v>Dinner</x:v>
      </x:c>
      <x:c r="Q558" s="48" t="n">
        <x:v>20</x:v>
      </x:c>
      <x:c r="R558" s="5" t="n">
        <x:v>5</x:v>
      </x:c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5" t="str">
        <x:v>ORD-01678</x:v>
      </x:c>
      <x:c r="B559" s="43" t="n">
        <x:v>46094</x:v>
      </x:c>
      <x:c r="C559" s="5" t="str">
        <x:v>CUST-0540</x:v>
      </x:c>
      <x:c r="D559" s="5" t="str">
        <x:v>FD003</x:v>
      </x:c>
      <x:c r="E559" s="5" t="str">
        <x:v>Fried Rice &amp; Chicken</x:v>
      </x:c>
      <x:c r="F559" s="5" t="str">
        <x:v>Rice Meals</x:v>
      </x:c>
      <x:c r="G559" s="44" t="n">
        <x:v>1</x:v>
      </x:c>
      <x:c r="H559" s="45" t="n">
        <x:v>3000</x:v>
      </x:c>
      <x:c r="I559" s="46" t="n">
        <x:v>0</x:v>
      </x:c>
      <x:c r="J559" s="47" t="n">
        <x:f>G559*H559*(1-I559)</x:f>
        <x:v>3000</x:v>
      </x:c>
      <x:c r="K559" s="47" t="n">
        <x:v>1580</x:v>
      </x:c>
      <x:c r="L559" s="47" t="n">
        <x:f>G559*K559</x:f>
        <x:v>1580</x:v>
      </x:c>
      <x:c r="M559" s="47" t="n">
        <x:f>J559-L559</x:f>
        <x:v>1420</x:v>
      </x:c>
      <x:c r="N559" s="5" t="str">
        <x:v>Takeaway</x:v>
      </x:c>
      <x:c r="O559" s="5" t="str">
        <x:v>POS</x:v>
      </x:c>
      <x:c r="P559" s="5" t="str">
        <x:v>Lunch</x:v>
      </x:c>
      <x:c r="Q559" s="48" t="n">
        <x:v>11</x:v>
      </x:c>
      <x:c r="R559" s="5" t="n">
        <x:v>4</x:v>
      </x:c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5" t="str">
        <x:v>ORD-00028</x:v>
      </x:c>
      <x:c r="B560" s="43" t="n">
        <x:v>46095</x:v>
      </x:c>
      <x:c r="C560" s="5" t="str">
        <x:v>CUST-0169</x:v>
      </x:c>
      <x:c r="D560" s="5" t="str">
        <x:v>FD009</x:v>
      </x:c>
      <x:c r="E560" s="5" t="str">
        <x:v>Moi Moi</x:v>
      </x:c>
      <x:c r="F560" s="5" t="str">
        <x:v>Sides</x:v>
      </x:c>
      <x:c r="G560" s="44" t="n">
        <x:v>3</x:v>
      </x:c>
      <x:c r="H560" s="45" t="n">
        <x:v>900</x:v>
      </x:c>
      <x:c r="I560" s="46" t="n">
        <x:v>0</x:v>
      </x:c>
      <x:c r="J560" s="47" t="n">
        <x:f>G560*H560*(1-I560)</x:f>
        <x:v>2700</x:v>
      </x:c>
      <x:c r="K560" s="47" t="n">
        <x:v>380</x:v>
      </x:c>
      <x:c r="L560" s="47" t="n">
        <x:f>G560*K560</x:f>
        <x:v>1140</x:v>
      </x:c>
      <x:c r="M560" s="47" t="n">
        <x:f>J560-L560</x:f>
        <x:v>1560</x:v>
      </x:c>
      <x:c r="N560" s="5" t="str">
        <x:v>Takeaway</x:v>
      </x:c>
      <x:c r="O560" s="5" t="str">
        <x:v>POS</x:v>
      </x:c>
      <x:c r="P560" s="5" t="str">
        <x:v>Dinner</x:v>
      </x:c>
      <x:c r="Q560" s="48" t="n">
        <x:v>20</x:v>
      </x:c>
      <x:c r="R560" s="5" t="n">
        <x:v>4</x:v>
      </x:c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5" t="str">
        <x:v>ORD-00102</x:v>
      </x:c>
      <x:c r="B561" s="43" t="n">
        <x:v>46095</x:v>
      </x:c>
      <x:c r="C561" s="5" t="str">
        <x:v>CUST-0444</x:v>
      </x:c>
      <x:c r="D561" s="5" t="str">
        <x:v>FD001</x:v>
      </x:c>
      <x:c r="E561" s="5" t="str">
        <x:v>White Rice &amp; Stew</x:v>
      </x:c>
      <x:c r="F561" s="5" t="str">
        <x:v>Rice Meals</x:v>
      </x:c>
      <x:c r="G561" s="44" t="n">
        <x:v>3</x:v>
      </x:c>
      <x:c r="H561" s="45" t="n">
        <x:v>1800</x:v>
      </x:c>
      <x:c r="I561" s="46" t="n">
        <x:v>0</x:v>
      </x:c>
      <x:c r="J561" s="47" t="n">
        <x:f>G561*H561*(1-I561)</x:f>
        <x:v>5400</x:v>
      </x:c>
      <x:c r="K561" s="47" t="n">
        <x:v>820</x:v>
      </x:c>
      <x:c r="L561" s="47" t="n">
        <x:f>G561*K561</x:f>
        <x:v>2460</x:v>
      </x:c>
      <x:c r="M561" s="47" t="n">
        <x:f>J561-L561</x:f>
        <x:v>2940</x:v>
      </x:c>
      <x:c r="N561" s="5" t="str">
        <x:v>Walk-in</x:v>
      </x:c>
      <x:c r="O561" s="5" t="str">
        <x:v>Transfer</x:v>
      </x:c>
      <x:c r="P561" s="5" t="str">
        <x:v>Lunch</x:v>
      </x:c>
      <x:c r="Q561" s="48" t="n">
        <x:v>15</x:v>
      </x:c>
      <x:c r="R561" s="5" t="n">
        <x:v>5</x:v>
      </x:c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5" t="str">
        <x:v>ORD-00215</x:v>
      </x:c>
      <x:c r="B562" s="43" t="n">
        <x:v>46095</x:v>
      </x:c>
      <x:c r="C562" s="5" t="str">
        <x:v>CUST-0444</x:v>
      </x:c>
      <x:c r="D562" s="5" t="str">
        <x:v>FD003</x:v>
      </x:c>
      <x:c r="E562" s="5" t="str">
        <x:v>Fried Rice &amp; Chicken</x:v>
      </x:c>
      <x:c r="F562" s="5" t="str">
        <x:v>Rice Meals</x:v>
      </x:c>
      <x:c r="G562" s="44" t="n">
        <x:v>1</x:v>
      </x:c>
      <x:c r="H562" s="45" t="n">
        <x:v>3000</x:v>
      </x:c>
      <x:c r="I562" s="46" t="n">
        <x:v>0</x:v>
      </x:c>
      <x:c r="J562" s="47" t="n">
        <x:f>G562*H562*(1-I562)</x:f>
        <x:v>3000</x:v>
      </x:c>
      <x:c r="K562" s="47" t="n">
        <x:v>1580</x:v>
      </x:c>
      <x:c r="L562" s="47" t="n">
        <x:f>G562*K562</x:f>
        <x:v>1580</x:v>
      </x:c>
      <x:c r="M562" s="47" t="n">
        <x:f>J562-L562</x:f>
        <x:v>1420</x:v>
      </x:c>
      <x:c r="N562" s="5" t="str">
        <x:v>Takeaway</x:v>
      </x:c>
      <x:c r="O562" s="5" t="str">
        <x:v>POS</x:v>
      </x:c>
      <x:c r="P562" s="5" t="str">
        <x:v>Lunch</x:v>
      </x:c>
      <x:c r="Q562" s="48" t="n">
        <x:v>13</x:v>
      </x:c>
      <x:c r="R562" s="5" t="n">
        <x:v>4</x:v>
      </x:c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5" t="str">
        <x:v>ORD-00306</x:v>
      </x:c>
      <x:c r="B563" s="43" t="n">
        <x:v>46095</x:v>
      </x:c>
      <x:c r="C563" s="5" t="str">
        <x:v>CUST-0243</x:v>
      </x:c>
      <x:c r="D563" s="5" t="str">
        <x:v>FD005</x:v>
      </x:c>
      <x:c r="E563" s="5" t="str">
        <x:v>Yam Porridge</x:v>
      </x:c>
      <x:c r="F563" s="5" t="str">
        <x:v>Traditional Meals</x:v>
      </x:c>
      <x:c r="G563" s="44" t="n">
        <x:v>4</x:v>
      </x:c>
      <x:c r="H563" s="45" t="n">
        <x:v>2200</x:v>
      </x:c>
      <x:c r="I563" s="46" t="n">
        <x:v>0</x:v>
      </x:c>
      <x:c r="J563" s="47" t="n">
        <x:f>G563*H563*(1-I563)</x:f>
        <x:v>8800</x:v>
      </x:c>
      <x:c r="K563" s="47" t="n">
        <x:v>1050</x:v>
      </x:c>
      <x:c r="L563" s="47" t="n">
        <x:f>G563*K563</x:f>
        <x:v>4200</x:v>
      </x:c>
      <x:c r="M563" s="47" t="n">
        <x:f>J563-L563</x:f>
        <x:v>4600</x:v>
      </x:c>
      <x:c r="N563" s="5" t="str">
        <x:v>Delivery</x:v>
      </x:c>
      <x:c r="O563" s="5" t="str">
        <x:v>POS</x:v>
      </x:c>
      <x:c r="P563" s="5" t="str">
        <x:v>Lunch</x:v>
      </x:c>
      <x:c r="Q563" s="48" t="n">
        <x:v>13</x:v>
      </x:c>
      <x:c r="R563" s="5" t="n">
        <x:v>4</x:v>
      </x:c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5" t="str">
        <x:v>ORD-00491</x:v>
      </x:c>
      <x:c r="B564" s="43" t="n">
        <x:v>46095</x:v>
      </x:c>
      <x:c r="C564" s="5" t="str">
        <x:v>CUST-0585</x:v>
      </x:c>
      <x:c r="D564" s="5" t="str">
        <x:v>FD009</x:v>
      </x:c>
      <x:c r="E564" s="5" t="str">
        <x:v>Moi Moi</x:v>
      </x:c>
      <x:c r="F564" s="5" t="str">
        <x:v>Sides</x:v>
      </x:c>
      <x:c r="G564" s="44" t="n">
        <x:v>2</x:v>
      </x:c>
      <x:c r="H564" s="45" t="n">
        <x:v>900</x:v>
      </x:c>
      <x:c r="I564" s="46" t="n">
        <x:v>0</x:v>
      </x:c>
      <x:c r="J564" s="47" t="n">
        <x:f>G564*H564*(1-I564)</x:f>
        <x:v>1800</x:v>
      </x:c>
      <x:c r="K564" s="47" t="n">
        <x:v>380</x:v>
      </x:c>
      <x:c r="L564" s="47" t="n">
        <x:f>G564*K564</x:f>
        <x:v>760</x:v>
      </x:c>
      <x:c r="M564" s="47" t="n">
        <x:f>J564-L564</x:f>
        <x:v>1040</x:v>
      </x:c>
      <x:c r="N564" s="5" t="str">
        <x:v>Delivery</x:v>
      </x:c>
      <x:c r="O564" s="5" t="str">
        <x:v>Transfer</x:v>
      </x:c>
      <x:c r="P564" s="5" t="str">
        <x:v>Dinner</x:v>
      </x:c>
      <x:c r="Q564" s="48" t="n">
        <x:v>18</x:v>
      </x:c>
      <x:c r="R564" s="5" t="n">
        <x:v>4</x:v>
      </x:c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5" t="str">
        <x:v>ORD-00562</x:v>
      </x:c>
      <x:c r="B565" s="43" t="n">
        <x:v>46095</x:v>
      </x:c>
      <x:c r="C565" s="5" t="str">
        <x:v>CUST-0609</x:v>
      </x:c>
      <x:c r="D565" s="5" t="str">
        <x:v>FD008</x:v>
      </x:c>
      <x:c r="E565" s="5" t="str">
        <x:v>Pounded Yam &amp; Vegetable Soup</x:v>
      </x:c>
      <x:c r="F565" s="5" t="str">
        <x:v>Swallow</x:v>
      </x:c>
      <x:c r="G565" s="44" t="n">
        <x:v>4</x:v>
      </x:c>
      <x:c r="H565" s="45" t="n">
        <x:v>3200</x:v>
      </x:c>
      <x:c r="I565" s="46" t="n">
        <x:v>0</x:v>
      </x:c>
      <x:c r="J565" s="47" t="n">
        <x:f>G565*H565*(1-I565)</x:f>
        <x:v>12800</x:v>
      </x:c>
      <x:c r="K565" s="47" t="n">
        <x:v>1710</x:v>
      </x:c>
      <x:c r="L565" s="47" t="n">
        <x:f>G565*K565</x:f>
        <x:v>6840</x:v>
      </x:c>
      <x:c r="M565" s="47" t="n">
        <x:f>J565-L565</x:f>
        <x:v>5960</x:v>
      </x:c>
      <x:c r="N565" s="5" t="str">
        <x:v>Walk-in</x:v>
      </x:c>
      <x:c r="O565" s="5" t="str">
        <x:v>Cash</x:v>
      </x:c>
      <x:c r="P565" s="5" t="str">
        <x:v>Lunch</x:v>
      </x:c>
      <x:c r="Q565" s="48" t="n">
        <x:v>15</x:v>
      </x:c>
      <x:c r="R565" s="5" t="n">
        <x:v>5</x:v>
      </x:c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5" t="str">
        <x:v>ORD-00683</x:v>
      </x:c>
      <x:c r="B566" s="43" t="n">
        <x:v>46095</x:v>
      </x:c>
      <x:c r="C566" s="5" t="str">
        <x:v>CUST-0494</x:v>
      </x:c>
      <x:c r="D566" s="5" t="str">
        <x:v>FD012</x:v>
      </x:c>
      <x:c r="E566" s="5" t="str">
        <x:v>Fried Plantain</x:v>
      </x:c>
      <x:c r="F566" s="5" t="str">
        <x:v>Sides</x:v>
      </x:c>
      <x:c r="G566" s="44" t="n">
        <x:v>2</x:v>
      </x:c>
      <x:c r="H566" s="45" t="n">
        <x:v>700</x:v>
      </x:c>
      <x:c r="I566" s="46" t="n">
        <x:v>0</x:v>
      </x:c>
      <x:c r="J566" s="47" t="n">
        <x:f>G566*H566*(1-I566)</x:f>
        <x:v>1400</x:v>
      </x:c>
      <x:c r="K566" s="47" t="n">
        <x:v>300</x:v>
      </x:c>
      <x:c r="L566" s="47" t="n">
        <x:f>G566*K566</x:f>
        <x:v>600</x:v>
      </x:c>
      <x:c r="M566" s="47" t="n">
        <x:f>J566-L566</x:f>
        <x:v>800</x:v>
      </x:c>
      <x:c r="N566" s="5" t="str">
        <x:v>Walk-in</x:v>
      </x:c>
      <x:c r="O566" s="5" t="str">
        <x:v>POS</x:v>
      </x:c>
      <x:c r="P566" s="5" t="str">
        <x:v>Dinner</x:v>
      </x:c>
      <x:c r="Q566" s="48" t="n">
        <x:v>16</x:v>
      </x:c>
      <x:c r="R566" s="5" t="n">
        <x:v>4</x:v>
      </x:c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5" t="str">
        <x:v>ORD-00730</x:v>
      </x:c>
      <x:c r="B567" s="43" t="n">
        <x:v>46095</x:v>
      </x:c>
      <x:c r="C567" s="5" t="str">
        <x:v>CUST-0586</x:v>
      </x:c>
      <x:c r="D567" s="5" t="str">
        <x:v>FD002</x:v>
      </x:c>
      <x:c r="E567" s="5" t="str">
        <x:v>Jollof Rice &amp; Chicken</x:v>
      </x:c>
      <x:c r="F567" s="5" t="str">
        <x:v>Rice Meals</x:v>
      </x:c>
      <x:c r="G567" s="44" t="n">
        <x:v>4</x:v>
      </x:c>
      <x:c r="H567" s="45" t="n">
        <x:v>2800</x:v>
      </x:c>
      <x:c r="I567" s="46" t="n">
        <x:v>0</x:v>
      </x:c>
      <x:c r="J567" s="47" t="n">
        <x:f>G567*H567*(1-I567)</x:f>
        <x:v>11200</x:v>
      </x:c>
      <x:c r="K567" s="47" t="n">
        <x:v>1450</x:v>
      </x:c>
      <x:c r="L567" s="47" t="n">
        <x:f>G567*K567</x:f>
        <x:v>5800</x:v>
      </x:c>
      <x:c r="M567" s="47" t="n">
        <x:f>J567-L567</x:f>
        <x:v>5400</x:v>
      </x:c>
      <x:c r="N567" s="5" t="str">
        <x:v>Walk-in</x:v>
      </x:c>
      <x:c r="O567" s="5" t="str">
        <x:v>Cash</x:v>
      </x:c>
      <x:c r="P567" s="5" t="str">
        <x:v>Breakfast</x:v>
      </x:c>
      <x:c r="Q567" s="48" t="n">
        <x:v>9</x:v>
      </x:c>
      <x:c r="R567" s="5" t="n">
        <x:v>5</x:v>
      </x:c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5" t="str">
        <x:v>ORD-00742</x:v>
      </x:c>
      <x:c r="B568" s="43" t="n">
        <x:v>46095</x:v>
      </x:c>
      <x:c r="C568" s="5" t="str">
        <x:v>CUST-0060</x:v>
      </x:c>
      <x:c r="D568" s="5" t="str">
        <x:v>FD005</x:v>
      </x:c>
      <x:c r="E568" s="5" t="str">
        <x:v>Yam Porridge</x:v>
      </x:c>
      <x:c r="F568" s="5" t="str">
        <x:v>Traditional Meals</x:v>
      </x:c>
      <x:c r="G568" s="44" t="n">
        <x:v>2</x:v>
      </x:c>
      <x:c r="H568" s="45" t="n">
        <x:v>2200</x:v>
      </x:c>
      <x:c r="I568" s="46" t="n">
        <x:v>0</x:v>
      </x:c>
      <x:c r="J568" s="47" t="n">
        <x:f>G568*H568*(1-I568)</x:f>
        <x:v>4400</x:v>
      </x:c>
      <x:c r="K568" s="47" t="n">
        <x:v>1050</x:v>
      </x:c>
      <x:c r="L568" s="47" t="n">
        <x:f>G568*K568</x:f>
        <x:v>2100</x:v>
      </x:c>
      <x:c r="M568" s="47" t="n">
        <x:f>J568-L568</x:f>
        <x:v>2300</x:v>
      </x:c>
      <x:c r="N568" s="5" t="str">
        <x:v>Takeaway</x:v>
      </x:c>
      <x:c r="O568" s="5" t="str">
        <x:v>Transfer</x:v>
      </x:c>
      <x:c r="P568" s="5" t="str">
        <x:v>Lunch</x:v>
      </x:c>
      <x:c r="Q568" s="48" t="n">
        <x:v>12</x:v>
      </x:c>
      <x:c r="R568" s="5" t="n">
        <x:v>4</x:v>
      </x:c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5" t="str">
        <x:v>ORD-00991</x:v>
      </x:c>
      <x:c r="B569" s="43" t="n">
        <x:v>46095</x:v>
      </x:c>
      <x:c r="C569" s="5" t="str">
        <x:v>CUST-0138</x:v>
      </x:c>
      <x:c r="D569" s="5" t="str">
        <x:v>FD006</x:v>
      </x:c>
      <x:c r="E569" s="5" t="str">
        <x:v>Eba &amp; Egusi Soup</x:v>
      </x:c>
      <x:c r="F569" s="5" t="str">
        <x:v>Swallow</x:v>
      </x:c>
      <x:c r="G569" s="44" t="n">
        <x:v>3</x:v>
      </x:c>
      <x:c r="H569" s="45" t="n">
        <x:v>2600</x:v>
      </x:c>
      <x:c r="I569" s="46" t="n">
        <x:v>0</x:v>
      </x:c>
      <x:c r="J569" s="47" t="n">
        <x:f>G569*H569*(1-I569)</x:f>
        <x:v>7800</x:v>
      </x:c>
      <x:c r="K569" s="47" t="n">
        <x:v>1320</x:v>
      </x:c>
      <x:c r="L569" s="47" t="n">
        <x:f>G569*K569</x:f>
        <x:v>3960</x:v>
      </x:c>
      <x:c r="M569" s="47" t="n">
        <x:f>J569-L569</x:f>
        <x:v>3840</x:v>
      </x:c>
      <x:c r="N569" s="5" t="str">
        <x:v>Walk-in</x:v>
      </x:c>
      <x:c r="O569" s="5" t="str">
        <x:v>Cash</x:v>
      </x:c>
      <x:c r="P569" s="5" t="str">
        <x:v>Lunch</x:v>
      </x:c>
      <x:c r="Q569" s="48" t="n">
        <x:v>15</x:v>
      </x:c>
      <x:c r="R569" s="5" t="n">
        <x:v>3</x:v>
      </x:c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5" t="str">
        <x:v>ORD-01007</x:v>
      </x:c>
      <x:c r="B570" s="43" t="n">
        <x:v>46095</x:v>
      </x:c>
      <x:c r="C570" s="5" t="str">
        <x:v>CUST-0221</x:v>
      </x:c>
      <x:c r="D570" s="5" t="str">
        <x:v>FD002</x:v>
      </x:c>
      <x:c r="E570" s="5" t="str">
        <x:v>Jollof Rice &amp; Chicken</x:v>
      </x:c>
      <x:c r="F570" s="5" t="str">
        <x:v>Rice Meals</x:v>
      </x:c>
      <x:c r="G570" s="44" t="n">
        <x:v>4</x:v>
      </x:c>
      <x:c r="H570" s="45" t="n">
        <x:v>2800</x:v>
      </x:c>
      <x:c r="I570" s="46" t="n">
        <x:v>0</x:v>
      </x:c>
      <x:c r="J570" s="47" t="n">
        <x:f>G570*H570*(1-I570)</x:f>
        <x:v>11200</x:v>
      </x:c>
      <x:c r="K570" s="47" t="n">
        <x:v>1450</x:v>
      </x:c>
      <x:c r="L570" s="47" t="n">
        <x:f>G570*K570</x:f>
        <x:v>5800</x:v>
      </x:c>
      <x:c r="M570" s="47" t="n">
        <x:f>J570-L570</x:f>
        <x:v>5400</x:v>
      </x:c>
      <x:c r="N570" s="5" t="str">
        <x:v>Walk-in</x:v>
      </x:c>
      <x:c r="O570" s="5" t="str">
        <x:v>Transfer</x:v>
      </x:c>
      <x:c r="P570" s="5" t="str">
        <x:v>Breakfast</x:v>
      </x:c>
      <x:c r="Q570" s="48" t="n">
        <x:v>8</x:v>
      </x:c>
      <x:c r="R570" s="5" t="n">
        <x:v>3</x:v>
      </x:c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5" t="str">
        <x:v>ORD-01169</x:v>
      </x:c>
      <x:c r="B571" s="43" t="n">
        <x:v>46095</x:v>
      </x:c>
      <x:c r="C571" s="5" t="str">
        <x:v>CUST-0150</x:v>
      </x:c>
      <x:c r="D571" s="5" t="str">
        <x:v>FD001</x:v>
      </x:c>
      <x:c r="E571" s="5" t="str">
        <x:v>White Rice &amp; Stew</x:v>
      </x:c>
      <x:c r="F571" s="5" t="str">
        <x:v>Rice Meals</x:v>
      </x:c>
      <x:c r="G571" s="44" t="n">
        <x:v>4</x:v>
      </x:c>
      <x:c r="H571" s="45" t="n">
        <x:v>1800</x:v>
      </x:c>
      <x:c r="I571" s="46" t="n">
        <x:v>0</x:v>
      </x:c>
      <x:c r="J571" s="47" t="n">
        <x:f>G571*H571*(1-I571)</x:f>
        <x:v>7200</x:v>
      </x:c>
      <x:c r="K571" s="47" t="n">
        <x:v>820</x:v>
      </x:c>
      <x:c r="L571" s="47" t="n">
        <x:f>G571*K571</x:f>
        <x:v>3280</x:v>
      </x:c>
      <x:c r="M571" s="47" t="n">
        <x:f>J571-L571</x:f>
        <x:v>3920</x:v>
      </x:c>
      <x:c r="N571" s="5" t="str">
        <x:v>Walk-in</x:v>
      </x:c>
      <x:c r="O571" s="5" t="str">
        <x:v>Transfer</x:v>
      </x:c>
      <x:c r="P571" s="5" t="str">
        <x:v>Dinner</x:v>
      </x:c>
      <x:c r="Q571" s="48" t="n">
        <x:v>19</x:v>
      </x:c>
      <x:c r="R571" s="5" t="n">
        <x:v>3</x:v>
      </x:c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5" t="str">
        <x:v>ORD-00893</x:v>
      </x:c>
      <x:c r="B572" s="43" t="n">
        <x:v>46096</x:v>
      </x:c>
      <x:c r="C572" s="5" t="str">
        <x:v>CUST-0002</x:v>
      </x:c>
      <x:c r="D572" s="5" t="str">
        <x:v>FD005</x:v>
      </x:c>
      <x:c r="E572" s="5" t="str">
        <x:v>Yam Porridge</x:v>
      </x:c>
      <x:c r="F572" s="5" t="str">
        <x:v>Traditional Meals</x:v>
      </x:c>
      <x:c r="G572" s="44" t="n">
        <x:v>2</x:v>
      </x:c>
      <x:c r="H572" s="45" t="n">
        <x:v>2200</x:v>
      </x:c>
      <x:c r="I572" s="46" t="n">
        <x:v>0</x:v>
      </x:c>
      <x:c r="J572" s="47" t="n">
        <x:f>G572*H572*(1-I572)</x:f>
        <x:v>4400</x:v>
      </x:c>
      <x:c r="K572" s="47" t="n">
        <x:v>1050</x:v>
      </x:c>
      <x:c r="L572" s="47" t="n">
        <x:f>G572*K572</x:f>
        <x:v>2100</x:v>
      </x:c>
      <x:c r="M572" s="47" t="n">
        <x:f>J572-L572</x:f>
        <x:v>2300</x:v>
      </x:c>
      <x:c r="N572" s="5" t="str">
        <x:v>Takeaway</x:v>
      </x:c>
      <x:c r="O572" s="5" t="str">
        <x:v>Transfer</x:v>
      </x:c>
      <x:c r="P572" s="5" t="str">
        <x:v>Lunch</x:v>
      </x:c>
      <x:c r="Q572" s="48" t="n">
        <x:v>14</x:v>
      </x:c>
      <x:c r="R572" s="5" t="n">
        <x:v>4</x:v>
      </x:c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5" t="str">
        <x:v>ORD-00972</x:v>
      </x:c>
      <x:c r="B573" s="43" t="n">
        <x:v>46096</x:v>
      </x:c>
      <x:c r="C573" s="5" t="str">
        <x:v>CUST-0607</x:v>
      </x:c>
      <x:c r="D573" s="5" t="str">
        <x:v>FD005</x:v>
      </x:c>
      <x:c r="E573" s="5" t="str">
        <x:v>Yam Porridge</x:v>
      </x:c>
      <x:c r="F573" s="5" t="str">
        <x:v>Traditional Meals</x:v>
      </x:c>
      <x:c r="G573" s="44" t="n">
        <x:v>3</x:v>
      </x:c>
      <x:c r="H573" s="45" t="n">
        <x:v>2200</x:v>
      </x:c>
      <x:c r="I573" s="46" t="n">
        <x:v>0</x:v>
      </x:c>
      <x:c r="J573" s="47" t="n">
        <x:f>G573*H573*(1-I573)</x:f>
        <x:v>6600</x:v>
      </x:c>
      <x:c r="K573" s="47" t="n">
        <x:v>1050</x:v>
      </x:c>
      <x:c r="L573" s="47" t="n">
        <x:f>G573*K573</x:f>
        <x:v>3150</x:v>
      </x:c>
      <x:c r="M573" s="47" t="n">
        <x:f>J573-L573</x:f>
        <x:v>3450</x:v>
      </x:c>
      <x:c r="N573" s="5" t="str">
        <x:v>Takeaway</x:v>
      </x:c>
      <x:c r="O573" s="5" t="str">
        <x:v>Cash</x:v>
      </x:c>
      <x:c r="P573" s="5" t="str">
        <x:v>Lunch</x:v>
      </x:c>
      <x:c r="Q573" s="48" t="n">
        <x:v>15</x:v>
      </x:c>
      <x:c r="R573" s="5" t="n">
        <x:v>4</x:v>
      </x:c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5" t="str">
        <x:v>ORD-01034</x:v>
      </x:c>
      <x:c r="B574" s="43" t="n">
        <x:v>46096</x:v>
      </x:c>
      <x:c r="C574" s="5" t="str">
        <x:v>CUST-0254</x:v>
      </x:c>
      <x:c r="D574" s="5" t="str">
        <x:v>FD001</x:v>
      </x:c>
      <x:c r="E574" s="5" t="str">
        <x:v>White Rice &amp; Stew</x:v>
      </x:c>
      <x:c r="F574" s="5" t="str">
        <x:v>Rice Meals</x:v>
      </x:c>
      <x:c r="G574" s="44" t="n">
        <x:v>4</x:v>
      </x:c>
      <x:c r="H574" s="45" t="n">
        <x:v>1800</x:v>
      </x:c>
      <x:c r="I574" s="46" t="n">
        <x:v>0</x:v>
      </x:c>
      <x:c r="J574" s="47" t="n">
        <x:f>G574*H574*(1-I574)</x:f>
        <x:v>7200</x:v>
      </x:c>
      <x:c r="K574" s="47" t="n">
        <x:v>820</x:v>
      </x:c>
      <x:c r="L574" s="47" t="n">
        <x:f>G574*K574</x:f>
        <x:v>3280</x:v>
      </x:c>
      <x:c r="M574" s="47" t="n">
        <x:f>J574-L574</x:f>
        <x:v>3920</x:v>
      </x:c>
      <x:c r="N574" s="5" t="str">
        <x:v>Walk-in</x:v>
      </x:c>
      <x:c r="O574" s="5" t="str">
        <x:v>Transfer</x:v>
      </x:c>
      <x:c r="P574" s="5" t="str">
        <x:v>Lunch</x:v>
      </x:c>
      <x:c r="Q574" s="48" t="n">
        <x:v>12</x:v>
      </x:c>
      <x:c r="R574" s="5" t="n">
        <x:v>4</x:v>
      </x:c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5" t="str">
        <x:v>ORD-01041</x:v>
      </x:c>
      <x:c r="B575" s="43" t="n">
        <x:v>46096</x:v>
      </x:c>
      <x:c r="C575" s="5" t="str">
        <x:v>CUST-0097</x:v>
      </x:c>
      <x:c r="D575" s="5" t="str">
        <x:v>FD008</x:v>
      </x:c>
      <x:c r="E575" s="5" t="str">
        <x:v>Pounded Yam &amp; Vegetable Soup</x:v>
      </x:c>
      <x:c r="F575" s="5" t="str">
        <x:v>Swallow</x:v>
      </x:c>
      <x:c r="G575" s="44" t="n">
        <x:v>4</x:v>
      </x:c>
      <x:c r="H575" s="45" t="n">
        <x:v>3200</x:v>
      </x:c>
      <x:c r="I575" s="46" t="n">
        <x:v>0</x:v>
      </x:c>
      <x:c r="J575" s="47" t="n">
        <x:f>G575*H575*(1-I575)</x:f>
        <x:v>12800</x:v>
      </x:c>
      <x:c r="K575" s="47" t="n">
        <x:v>1710</x:v>
      </x:c>
      <x:c r="L575" s="47" t="n">
        <x:f>G575*K575</x:f>
        <x:v>6840</x:v>
      </x:c>
      <x:c r="M575" s="47" t="n">
        <x:f>J575-L575</x:f>
        <x:v>5960</x:v>
      </x:c>
      <x:c r="N575" s="5" t="str">
        <x:v>Walk-in</x:v>
      </x:c>
      <x:c r="O575" s="5" t="str">
        <x:v>Transfer</x:v>
      </x:c>
      <x:c r="P575" s="5" t="str">
        <x:v>Dinner</x:v>
      </x:c>
      <x:c r="Q575" s="48" t="n">
        <x:v>19</x:v>
      </x:c>
      <x:c r="R575" s="5" t="n">
        <x:v>4</x:v>
      </x:c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5" t="str">
        <x:v>ORD-01259</x:v>
      </x:c>
      <x:c r="B576" s="43" t="n">
        <x:v>46096</x:v>
      </x:c>
      <x:c r="C576" s="5" t="str">
        <x:v>CUST-0055</x:v>
      </x:c>
      <x:c r="D576" s="5" t="str">
        <x:v>FD008</x:v>
      </x:c>
      <x:c r="E576" s="5" t="str">
        <x:v>Pounded Yam &amp; Vegetable Soup</x:v>
      </x:c>
      <x:c r="F576" s="5" t="str">
        <x:v>Swallow</x:v>
      </x:c>
      <x:c r="G576" s="44" t="n">
        <x:v>4</x:v>
      </x:c>
      <x:c r="H576" s="45" t="n">
        <x:v>3200</x:v>
      </x:c>
      <x:c r="I576" s="46" t="n">
        <x:v>0</x:v>
      </x:c>
      <x:c r="J576" s="47" t="n">
        <x:f>G576*H576*(1-I576)</x:f>
        <x:v>12800</x:v>
      </x:c>
      <x:c r="K576" s="47" t="n">
        <x:v>1710</x:v>
      </x:c>
      <x:c r="L576" s="47" t="n">
        <x:f>G576*K576</x:f>
        <x:v>6840</x:v>
      </x:c>
      <x:c r="M576" s="47" t="n">
        <x:f>J576-L576</x:f>
        <x:v>5960</x:v>
      </x:c>
      <x:c r="N576" s="5" t="str">
        <x:v>Walk-in</x:v>
      </x:c>
      <x:c r="O576" s="5" t="str">
        <x:v>POS</x:v>
      </x:c>
      <x:c r="P576" s="5" t="str">
        <x:v>Lunch</x:v>
      </x:c>
      <x:c r="Q576" s="48" t="n">
        <x:v>14</x:v>
      </x:c>
      <x:c r="R576" s="5" t="n">
        <x:v>4</x:v>
      </x:c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5" t="str">
        <x:v>ORD-01325</x:v>
      </x:c>
      <x:c r="B577" s="43" t="n">
        <x:v>46096</x:v>
      </x:c>
      <x:c r="C577" s="5" t="str">
        <x:v>CUST-0478</x:v>
      </x:c>
      <x:c r="D577" s="5" t="str">
        <x:v>FD002</x:v>
      </x:c>
      <x:c r="E577" s="5" t="str">
        <x:v>Jollof Rice &amp; Chicken</x:v>
      </x:c>
      <x:c r="F577" s="5" t="str">
        <x:v>Rice Meals</x:v>
      </x:c>
      <x:c r="G577" s="44" t="n">
        <x:v>3</x:v>
      </x:c>
      <x:c r="H577" s="45" t="n">
        <x:v>2800</x:v>
      </x:c>
      <x:c r="I577" s="46" t="n">
        <x:v>0</x:v>
      </x:c>
      <x:c r="J577" s="47" t="n">
        <x:f>G577*H577*(1-I577)</x:f>
        <x:v>8400</x:v>
      </x:c>
      <x:c r="K577" s="47" t="n">
        <x:v>1450</x:v>
      </x:c>
      <x:c r="L577" s="47" t="n">
        <x:f>G577*K577</x:f>
        <x:v>4350</x:v>
      </x:c>
      <x:c r="M577" s="47" t="n">
        <x:f>J577-L577</x:f>
        <x:v>4050</x:v>
      </x:c>
      <x:c r="N577" s="5" t="str">
        <x:v>Walk-in</x:v>
      </x:c>
      <x:c r="O577" s="5" t="str">
        <x:v>Cash</x:v>
      </x:c>
      <x:c r="P577" s="5" t="str">
        <x:v>Dinner</x:v>
      </x:c>
      <x:c r="Q577" s="48" t="n">
        <x:v>17</x:v>
      </x:c>
      <x:c r="R577" s="5" t="n">
        <x:v>4</x:v>
      </x:c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5" t="str">
        <x:v>ORD-01646</x:v>
      </x:c>
      <x:c r="B578" s="43" t="n">
        <x:v>46096</x:v>
      </x:c>
      <x:c r="C578" s="5" t="str">
        <x:v>CUST-0366</x:v>
      </x:c>
      <x:c r="D578" s="5" t="str">
        <x:v>FD005</x:v>
      </x:c>
      <x:c r="E578" s="5" t="str">
        <x:v>Yam Porridge</x:v>
      </x:c>
      <x:c r="F578" s="5" t="str">
        <x:v>Traditional Meals</x:v>
      </x:c>
      <x:c r="G578" s="44" t="n">
        <x:v>2</x:v>
      </x:c>
      <x:c r="H578" s="45" t="n">
        <x:v>2200</x:v>
      </x:c>
      <x:c r="I578" s="46" t="n">
        <x:v>0</x:v>
      </x:c>
      <x:c r="J578" s="47" t="n">
        <x:f>G578*H578*(1-I578)</x:f>
        <x:v>4400</x:v>
      </x:c>
      <x:c r="K578" s="47" t="n">
        <x:v>1050</x:v>
      </x:c>
      <x:c r="L578" s="47" t="n">
        <x:f>G578*K578</x:f>
        <x:v>2100</x:v>
      </x:c>
      <x:c r="M578" s="47" t="n">
        <x:f>J578-L578</x:f>
        <x:v>2300</x:v>
      </x:c>
      <x:c r="N578" s="5" t="str">
        <x:v>Walk-in</x:v>
      </x:c>
      <x:c r="O578" s="5" t="str">
        <x:v>Cash</x:v>
      </x:c>
      <x:c r="P578" s="5" t="str">
        <x:v>Dinner</x:v>
      </x:c>
      <x:c r="Q578" s="48" t="n">
        <x:v>17</x:v>
      </x:c>
      <x:c r="R578" s="5" t="n">
        <x:v>5</x:v>
      </x:c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5" t="str">
        <x:v>ORD-00095</x:v>
      </x:c>
      <x:c r="B579" s="43" t="n">
        <x:v>46097</x:v>
      </x:c>
      <x:c r="C579" s="5" t="str">
        <x:v>CUST-0266</x:v>
      </x:c>
      <x:c r="D579" s="5" t="str">
        <x:v>FD003</x:v>
      </x:c>
      <x:c r="E579" s="5" t="str">
        <x:v>Fried Rice &amp; Chicken</x:v>
      </x:c>
      <x:c r="F579" s="5" t="str">
        <x:v>Rice Meals</x:v>
      </x:c>
      <x:c r="G579" s="44" t="n">
        <x:v>3</x:v>
      </x:c>
      <x:c r="H579" s="45" t="n">
        <x:v>3000</x:v>
      </x:c>
      <x:c r="I579" s="46" t="n">
        <x:v>0</x:v>
      </x:c>
      <x:c r="J579" s="47" t="n">
        <x:f>G579*H579*(1-I579)</x:f>
        <x:v>9000</x:v>
      </x:c>
      <x:c r="K579" s="47" t="n">
        <x:v>1580</x:v>
      </x:c>
      <x:c r="L579" s="47" t="n">
        <x:f>G579*K579</x:f>
        <x:v>4740</x:v>
      </x:c>
      <x:c r="M579" s="47" t="n">
        <x:f>J579-L579</x:f>
        <x:v>4260</x:v>
      </x:c>
      <x:c r="N579" s="5" t="str">
        <x:v>Walk-in</x:v>
      </x:c>
      <x:c r="O579" s="5" t="str">
        <x:v>Cash</x:v>
      </x:c>
      <x:c r="P579" s="5" t="str">
        <x:v>Lunch</x:v>
      </x:c>
      <x:c r="Q579" s="48" t="n">
        <x:v>13</x:v>
      </x:c>
      <x:c r="R579" s="5" t="n">
        <x:v>5</x:v>
      </x:c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5" t="str">
        <x:v>ORD-00861</x:v>
      </x:c>
      <x:c r="B580" s="43" t="n">
        <x:v>46097</x:v>
      </x:c>
      <x:c r="C580" s="5" t="str">
        <x:v>CUST-0280</x:v>
      </x:c>
      <x:c r="D580" s="5" t="str">
        <x:v>FD003</x:v>
      </x:c>
      <x:c r="E580" s="5" t="str">
        <x:v>Fried Rice &amp; Chicken</x:v>
      </x:c>
      <x:c r="F580" s="5" t="str">
        <x:v>Rice Meals</x:v>
      </x:c>
      <x:c r="G580" s="44" t="n">
        <x:v>3</x:v>
      </x:c>
      <x:c r="H580" s="45" t="n">
        <x:v>3000</x:v>
      </x:c>
      <x:c r="I580" s="46" t="n">
        <x:v>0</x:v>
      </x:c>
      <x:c r="J580" s="47" t="n">
        <x:f>G580*H580*(1-I580)</x:f>
        <x:v>9000</x:v>
      </x:c>
      <x:c r="K580" s="47" t="n">
        <x:v>1580</x:v>
      </x:c>
      <x:c r="L580" s="47" t="n">
        <x:f>G580*K580</x:f>
        <x:v>4740</x:v>
      </x:c>
      <x:c r="M580" s="47" t="n">
        <x:f>J580-L580</x:f>
        <x:v>4260</x:v>
      </x:c>
      <x:c r="N580" s="5" t="str">
        <x:v>Delivery</x:v>
      </x:c>
      <x:c r="O580" s="5" t="str">
        <x:v>Transfer</x:v>
      </x:c>
      <x:c r="P580" s="5" t="str">
        <x:v>Lunch</x:v>
      </x:c>
      <x:c r="Q580" s="48" t="n">
        <x:v>15</x:v>
      </x:c>
      <x:c r="R580" s="5" t="n">
        <x:v>5</x:v>
      </x:c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5" t="str">
        <x:v>ORD-00877</x:v>
      </x:c>
      <x:c r="B581" s="43" t="n">
        <x:v>46097</x:v>
      </x:c>
      <x:c r="C581" s="5" t="str">
        <x:v>CUST-0042</x:v>
      </x:c>
      <x:c r="D581" s="5" t="str">
        <x:v>FD007</x:v>
      </x:c>
      <x:c r="E581" s="5" t="str">
        <x:v>Amala &amp; Ewedu</x:v>
      </x:c>
      <x:c r="F581" s="5" t="str">
        <x:v>Swallow</x:v>
      </x:c>
      <x:c r="G581" s="44" t="n">
        <x:v>3</x:v>
      </x:c>
      <x:c r="H581" s="45" t="n">
        <x:v>2500</x:v>
      </x:c>
      <x:c r="I581" s="46" t="n">
        <x:v>0</x:v>
      </x:c>
      <x:c r="J581" s="47" t="n">
        <x:f>G581*H581*(1-I581)</x:f>
        <x:v>7500</x:v>
      </x:c>
      <x:c r="K581" s="47" t="n">
        <x:v>1250</x:v>
      </x:c>
      <x:c r="L581" s="47" t="n">
        <x:f>G581*K581</x:f>
        <x:v>3750</x:v>
      </x:c>
      <x:c r="M581" s="47" t="n">
        <x:f>J581-L581</x:f>
        <x:v>3750</x:v>
      </x:c>
      <x:c r="N581" s="5" t="str">
        <x:v>Walk-in</x:v>
      </x:c>
      <x:c r="O581" s="5" t="str">
        <x:v>POS</x:v>
      </x:c>
      <x:c r="P581" s="5" t="str">
        <x:v>Breakfast</x:v>
      </x:c>
      <x:c r="Q581" s="48" t="n">
        <x:v>8</x:v>
      </x:c>
      <x:c r="R581" s="5" t="n">
        <x:v>5</x:v>
      </x:c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5" t="str">
        <x:v>ORD-00909</x:v>
      </x:c>
      <x:c r="B582" s="43" t="n">
        <x:v>46097</x:v>
      </x:c>
      <x:c r="C582" s="5" t="str">
        <x:v>CUST-0057</x:v>
      </x:c>
      <x:c r="D582" s="5" t="str">
        <x:v>FD003</x:v>
      </x:c>
      <x:c r="E582" s="5" t="str">
        <x:v>Fried Rice &amp; Chicken</x:v>
      </x:c>
      <x:c r="F582" s="5" t="str">
        <x:v>Rice Meals</x:v>
      </x:c>
      <x:c r="G582" s="44" t="n">
        <x:v>3</x:v>
      </x:c>
      <x:c r="H582" s="45" t="n">
        <x:v>3000</x:v>
      </x:c>
      <x:c r="I582" s="46" t="n">
        <x:v>0</x:v>
      </x:c>
      <x:c r="J582" s="47" t="n">
        <x:f>G582*H582*(1-I582)</x:f>
        <x:v>9000</x:v>
      </x:c>
      <x:c r="K582" s="47" t="n">
        <x:v>1580</x:v>
      </x:c>
      <x:c r="L582" s="47" t="n">
        <x:f>G582*K582</x:f>
        <x:v>4740</x:v>
      </x:c>
      <x:c r="M582" s="47" t="n">
        <x:f>J582-L582</x:f>
        <x:v>4260</x:v>
      </x:c>
      <x:c r="N582" s="5" t="str">
        <x:v>Takeaway</x:v>
      </x:c>
      <x:c r="O582" s="5" t="str">
        <x:v>Cash</x:v>
      </x:c>
      <x:c r="P582" s="5" t="str">
        <x:v>Breakfast</x:v>
      </x:c>
      <x:c r="Q582" s="48" t="n">
        <x:v>8</x:v>
      </x:c>
      <x:c r="R582" s="5" t="n">
        <x:v>4</x:v>
      </x:c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5" t="str">
        <x:v>ORD-00948</x:v>
      </x:c>
      <x:c r="B583" s="43" t="n">
        <x:v>46097</x:v>
      </x:c>
      <x:c r="C583" s="5" t="str">
        <x:v>CUST-0368</x:v>
      </x:c>
      <x:c r="D583" s="5" t="str">
        <x:v>FD003</x:v>
      </x:c>
      <x:c r="E583" s="5" t="str">
        <x:v>Fried Rice &amp; Chicken</x:v>
      </x:c>
      <x:c r="F583" s="5" t="str">
        <x:v>Rice Meals</x:v>
      </x:c>
      <x:c r="G583" s="44" t="n">
        <x:v>1</x:v>
      </x:c>
      <x:c r="H583" s="45" t="n">
        <x:v>3000</x:v>
      </x:c>
      <x:c r="I583" s="46" t="n">
        <x:v>0</x:v>
      </x:c>
      <x:c r="J583" s="47" t="n">
        <x:f>G583*H583*(1-I583)</x:f>
        <x:v>3000</x:v>
      </x:c>
      <x:c r="K583" s="47" t="n">
        <x:v>1580</x:v>
      </x:c>
      <x:c r="L583" s="47" t="n">
        <x:f>G583*K583</x:f>
        <x:v>1580</x:v>
      </x:c>
      <x:c r="M583" s="47" t="n">
        <x:f>J583-L583</x:f>
        <x:v>1420</x:v>
      </x:c>
      <x:c r="N583" s="5" t="str">
        <x:v>Walk-in</x:v>
      </x:c>
      <x:c r="O583" s="5" t="str">
        <x:v>POS</x:v>
      </x:c>
      <x:c r="P583" s="5" t="str">
        <x:v>Dinner</x:v>
      </x:c>
      <x:c r="Q583" s="48" t="n">
        <x:v>18</x:v>
      </x:c>
      <x:c r="R583" s="5" t="n">
        <x:v>4</x:v>
      </x:c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5" t="str">
        <x:v>ORD-01193</x:v>
      </x:c>
      <x:c r="B584" s="43" t="n">
        <x:v>46097</x:v>
      </x:c>
      <x:c r="C584" s="5" t="str">
        <x:v>CUST-0349</x:v>
      </x:c>
      <x:c r="D584" s="5" t="str">
        <x:v>FD005</x:v>
      </x:c>
      <x:c r="E584" s="5" t="str">
        <x:v>Yam Porridge</x:v>
      </x:c>
      <x:c r="F584" s="5" t="str">
        <x:v>Traditional Meals</x:v>
      </x:c>
      <x:c r="G584" s="44" t="n">
        <x:v>3</x:v>
      </x:c>
      <x:c r="H584" s="45" t="n">
        <x:v>2200</x:v>
      </x:c>
      <x:c r="I584" s="46" t="n">
        <x:v>0</x:v>
      </x:c>
      <x:c r="J584" s="47" t="n">
        <x:f>G584*H584*(1-I584)</x:f>
        <x:v>6600</x:v>
      </x:c>
      <x:c r="K584" s="47" t="n">
        <x:v>1050</x:v>
      </x:c>
      <x:c r="L584" s="47" t="n">
        <x:f>G584*K584</x:f>
        <x:v>3150</x:v>
      </x:c>
      <x:c r="M584" s="47" t="n">
        <x:f>J584-L584</x:f>
        <x:v>3450</x:v>
      </x:c>
      <x:c r="N584" s="5" t="str">
        <x:v>Takeaway</x:v>
      </x:c>
      <x:c r="O584" s="5" t="str">
        <x:v>POS</x:v>
      </x:c>
      <x:c r="P584" s="5" t="str">
        <x:v>Lunch</x:v>
      </x:c>
      <x:c r="Q584" s="48" t="n">
        <x:v>11</x:v>
      </x:c>
      <x:c r="R584" s="5" t="n">
        <x:v>4</x:v>
      </x:c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5" t="str">
        <x:v>ORD-01778</x:v>
      </x:c>
      <x:c r="B585" s="43" t="n">
        <x:v>46097</x:v>
      </x:c>
      <x:c r="C585" s="5" t="str">
        <x:v>CUST-0266</x:v>
      </x:c>
      <x:c r="D585" s="5" t="str">
        <x:v>FD001</x:v>
      </x:c>
      <x:c r="E585" s="5" t="str">
        <x:v>White Rice &amp; Stew</x:v>
      </x:c>
      <x:c r="F585" s="5" t="str">
        <x:v>Rice Meals</x:v>
      </x:c>
      <x:c r="G585" s="44" t="n">
        <x:v>3</x:v>
      </x:c>
      <x:c r="H585" s="45" t="n">
        <x:v>1800</x:v>
      </x:c>
      <x:c r="I585" s="46" t="n">
        <x:v>0</x:v>
      </x:c>
      <x:c r="J585" s="47" t="n">
        <x:f>G585*H585*(1-I585)</x:f>
        <x:v>5400</x:v>
      </x:c>
      <x:c r="K585" s="47" t="n">
        <x:v>820</x:v>
      </x:c>
      <x:c r="L585" s="47" t="n">
        <x:f>G585*K585</x:f>
        <x:v>2460</x:v>
      </x:c>
      <x:c r="M585" s="47" t="n">
        <x:f>J585-L585</x:f>
        <x:v>2940</x:v>
      </x:c>
      <x:c r="N585" s="5" t="str">
        <x:v>Takeaway</x:v>
      </x:c>
      <x:c r="O585" s="5" t="str">
        <x:v>POS</x:v>
      </x:c>
      <x:c r="P585" s="5" t="str">
        <x:v>Dinner</x:v>
      </x:c>
      <x:c r="Q585" s="48" t="n">
        <x:v>18</x:v>
      </x:c>
      <x:c r="R585" s="5" t="n">
        <x:v>4</x:v>
      </x:c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5" t="str">
        <x:v>ORD-00043</x:v>
      </x:c>
      <x:c r="B586" s="43" t="n">
        <x:v>46098</x:v>
      </x:c>
      <x:c r="C586" s="5" t="str">
        <x:v>CUST-0332</x:v>
      </x:c>
      <x:c r="D586" s="5" t="str">
        <x:v>FD001</x:v>
      </x:c>
      <x:c r="E586" s="5" t="str">
        <x:v>White Rice &amp; Stew</x:v>
      </x:c>
      <x:c r="F586" s="5" t="str">
        <x:v>Rice Meals</x:v>
      </x:c>
      <x:c r="G586" s="44" t="n">
        <x:v>3</x:v>
      </x:c>
      <x:c r="H586" s="45" t="n">
        <x:v>1800</x:v>
      </x:c>
      <x:c r="I586" s="46" t="n">
        <x:v>0</x:v>
      </x:c>
      <x:c r="J586" s="47" t="n">
        <x:f>G586*H586*(1-I586)</x:f>
        <x:v>5400</x:v>
      </x:c>
      <x:c r="K586" s="47" t="n">
        <x:v>820</x:v>
      </x:c>
      <x:c r="L586" s="47" t="n">
        <x:f>G586*K586</x:f>
        <x:v>2460</x:v>
      </x:c>
      <x:c r="M586" s="47" t="n">
        <x:f>J586-L586</x:f>
        <x:v>2940</x:v>
      </x:c>
      <x:c r="N586" s="5" t="str">
        <x:v>Takeaway</x:v>
      </x:c>
      <x:c r="O586" s="5" t="str">
        <x:v>Cash</x:v>
      </x:c>
      <x:c r="P586" s="5" t="str">
        <x:v>Lunch</x:v>
      </x:c>
      <x:c r="Q586" s="48" t="n">
        <x:v>15</x:v>
      </x:c>
      <x:c r="R586" s="5" t="n">
        <x:v>5</x:v>
      </x:c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5" t="str">
        <x:v>ORD-00381</x:v>
      </x:c>
      <x:c r="B587" s="43" t="n">
        <x:v>46098</x:v>
      </x:c>
      <x:c r="C587" s="5" t="str">
        <x:v>CUST-0277</x:v>
      </x:c>
      <x:c r="D587" s="5" t="str">
        <x:v>FD001</x:v>
      </x:c>
      <x:c r="E587" s="5" t="str">
        <x:v>White Rice &amp; Stew</x:v>
      </x:c>
      <x:c r="F587" s="5" t="str">
        <x:v>Rice Meals</x:v>
      </x:c>
      <x:c r="G587" s="44" t="n">
        <x:v>3</x:v>
      </x:c>
      <x:c r="H587" s="45" t="n">
        <x:v>1800</x:v>
      </x:c>
      <x:c r="I587" s="46" t="n">
        <x:v>0.05</x:v>
      </x:c>
      <x:c r="J587" s="47" t="n">
        <x:f>G587*H587*(1-I587)</x:f>
        <x:v>5130</x:v>
      </x:c>
      <x:c r="K587" s="47" t="n">
        <x:v>820</x:v>
      </x:c>
      <x:c r="L587" s="47" t="n">
        <x:f>G587*K587</x:f>
        <x:v>2460</x:v>
      </x:c>
      <x:c r="M587" s="47" t="n">
        <x:f>J587-L587</x:f>
        <x:v>2670</x:v>
      </x:c>
      <x:c r="N587" s="5" t="str">
        <x:v>Walk-in</x:v>
      </x:c>
      <x:c r="O587" s="5" t="str">
        <x:v>Transfer</x:v>
      </x:c>
      <x:c r="P587" s="5" t="str">
        <x:v>Lunch</x:v>
      </x:c>
      <x:c r="Q587" s="48" t="n">
        <x:v>15</x:v>
      </x:c>
      <x:c r="R587" s="5" t="n">
        <x:v>5</x:v>
      </x:c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5" t="str">
        <x:v>ORD-00511</x:v>
      </x:c>
      <x:c r="B588" s="43" t="n">
        <x:v>46098</x:v>
      </x:c>
      <x:c r="C588" s="5" t="str">
        <x:v>CUST-0620</x:v>
      </x:c>
      <x:c r="D588" s="5" t="str">
        <x:v>FD001</x:v>
      </x:c>
      <x:c r="E588" s="5" t="str">
        <x:v>White Rice &amp; Stew</x:v>
      </x:c>
      <x:c r="F588" s="5" t="str">
        <x:v>Rice Meals</x:v>
      </x:c>
      <x:c r="G588" s="44" t="n">
        <x:v>1</x:v>
      </x:c>
      <x:c r="H588" s="45" t="n">
        <x:v>1800</x:v>
      </x:c>
      <x:c r="I588" s="46" t="n">
        <x:v>0</x:v>
      </x:c>
      <x:c r="J588" s="47" t="n">
        <x:f>G588*H588*(1-I588)</x:f>
        <x:v>1800</x:v>
      </x:c>
      <x:c r="K588" s="47" t="n">
        <x:v>820</x:v>
      </x:c>
      <x:c r="L588" s="47" t="n">
        <x:f>G588*K588</x:f>
        <x:v>820</x:v>
      </x:c>
      <x:c r="M588" s="47" t="n">
        <x:f>J588-L588</x:f>
        <x:v>980</x:v>
      </x:c>
      <x:c r="N588" s="5" t="str">
        <x:v>Walk-in</x:v>
      </x:c>
      <x:c r="O588" s="5" t="str">
        <x:v>Transfer</x:v>
      </x:c>
      <x:c r="P588" s="5" t="str">
        <x:v>Lunch</x:v>
      </x:c>
      <x:c r="Q588" s="48" t="n">
        <x:v>12</x:v>
      </x:c>
      <x:c r="R588" s="5" t="n">
        <x:v>5</x:v>
      </x:c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5" t="str">
        <x:v>ORD-01598</x:v>
      </x:c>
      <x:c r="B589" s="43" t="n">
        <x:v>46098</x:v>
      </x:c>
      <x:c r="C589" s="5" t="str">
        <x:v>CUST-0429</x:v>
      </x:c>
      <x:c r="D589" s="5" t="str">
        <x:v>FD004</x:v>
      </x:c>
      <x:c r="E589" s="5" t="str">
        <x:v>Beans &amp; Plantain</x:v>
      </x:c>
      <x:c r="F589" s="5" t="str">
        <x:v>Traditional Meals</x:v>
      </x:c>
      <x:c r="G589" s="44" t="n">
        <x:v>4</x:v>
      </x:c>
      <x:c r="H589" s="45" t="n">
        <x:v>2000</x:v>
      </x:c>
      <x:c r="I589" s="46" t="n">
        <x:v>0</x:v>
      </x:c>
      <x:c r="J589" s="47" t="n">
        <x:f>G589*H589*(1-I589)</x:f>
        <x:v>8000</x:v>
      </x:c>
      <x:c r="K589" s="47" t="n">
        <x:v>960</x:v>
      </x:c>
      <x:c r="L589" s="47" t="n">
        <x:f>G589*K589</x:f>
        <x:v>3840</x:v>
      </x:c>
      <x:c r="M589" s="47" t="n">
        <x:f>J589-L589</x:f>
        <x:v>4160</x:v>
      </x:c>
      <x:c r="N589" s="5" t="str">
        <x:v>Walk-in</x:v>
      </x:c>
      <x:c r="O589" s="5" t="str">
        <x:v>POS</x:v>
      </x:c>
      <x:c r="P589" s="5" t="str">
        <x:v>Lunch</x:v>
      </x:c>
      <x:c r="Q589" s="48" t="n">
        <x:v>12</x:v>
      </x:c>
      <x:c r="R589" s="5" t="n">
        <x:v>3</x:v>
      </x:c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5" t="str">
        <x:v>ORD-00161</x:v>
      </x:c>
      <x:c r="B590" s="43" t="n">
        <x:v>46099</x:v>
      </x:c>
      <x:c r="C590" s="5" t="str">
        <x:v>CUST-0578</x:v>
      </x:c>
      <x:c r="D590" s="5" t="str">
        <x:v>FD004</x:v>
      </x:c>
      <x:c r="E590" s="5" t="str">
        <x:v>Beans &amp; Plantain</x:v>
      </x:c>
      <x:c r="F590" s="5" t="str">
        <x:v>Traditional Meals</x:v>
      </x:c>
      <x:c r="G590" s="44" t="n">
        <x:v>1</x:v>
      </x:c>
      <x:c r="H590" s="45" t="n">
        <x:v>2000</x:v>
      </x:c>
      <x:c r="I590" s="46" t="n">
        <x:v>0</x:v>
      </x:c>
      <x:c r="J590" s="47" t="n">
        <x:f>G590*H590*(1-I590)</x:f>
        <x:v>2000</x:v>
      </x:c>
      <x:c r="K590" s="47" t="n">
        <x:v>960</x:v>
      </x:c>
      <x:c r="L590" s="47" t="n">
        <x:f>G590*K590</x:f>
        <x:v>960</x:v>
      </x:c>
      <x:c r="M590" s="47" t="n">
        <x:f>J590-L590</x:f>
        <x:v>1040</x:v>
      </x:c>
      <x:c r="N590" s="5" t="str">
        <x:v>Takeaway</x:v>
      </x:c>
      <x:c r="O590" s="5" t="str">
        <x:v>POS</x:v>
      </x:c>
      <x:c r="P590" s="5" t="str">
        <x:v>Lunch</x:v>
      </x:c>
      <x:c r="Q590" s="48" t="n">
        <x:v>13</x:v>
      </x:c>
      <x:c r="R590" s="5" t="n">
        <x:v>5</x:v>
      </x:c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5" t="str">
        <x:v>ORD-00445</x:v>
      </x:c>
      <x:c r="B591" s="43" t="n">
        <x:v>46099</x:v>
      </x:c>
      <x:c r="C591" s="5" t="str">
        <x:v>CUST-0124</x:v>
      </x:c>
      <x:c r="D591" s="5" t="str">
        <x:v>FD006</x:v>
      </x:c>
      <x:c r="E591" s="5" t="str">
        <x:v>Eba &amp; Egusi Soup</x:v>
      </x:c>
      <x:c r="F591" s="5" t="str">
        <x:v>Swallow</x:v>
      </x:c>
      <x:c r="G591" s="44" t="n">
        <x:v>4</x:v>
      </x:c>
      <x:c r="H591" s="45" t="n">
        <x:v>2600</x:v>
      </x:c>
      <x:c r="I591" s="46" t="n">
        <x:v>0</x:v>
      </x:c>
      <x:c r="J591" s="47" t="n">
        <x:f>G591*H591*(1-I591)</x:f>
        <x:v>10400</x:v>
      </x:c>
      <x:c r="K591" s="47" t="n">
        <x:v>1320</x:v>
      </x:c>
      <x:c r="L591" s="47" t="n">
        <x:f>G591*K591</x:f>
        <x:v>5280</x:v>
      </x:c>
      <x:c r="M591" s="47" t="n">
        <x:f>J591-L591</x:f>
        <x:v>5120</x:v>
      </x:c>
      <x:c r="N591" s="5" t="str">
        <x:v>Walk-in</x:v>
      </x:c>
      <x:c r="O591" s="5" t="str">
        <x:v>POS</x:v>
      </x:c>
      <x:c r="P591" s="5" t="str">
        <x:v>Breakfast</x:v>
      </x:c>
      <x:c r="Q591" s="48" t="n">
        <x:v>8</x:v>
      </x:c>
      <x:c r="R591" s="5" t="n">
        <x:v>4</x:v>
      </x:c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5" t="str">
        <x:v>ORD-00627</x:v>
      </x:c>
      <x:c r="B592" s="43" t="n">
        <x:v>46099</x:v>
      </x:c>
      <x:c r="C592" s="5" t="str">
        <x:v>CUST-0452</x:v>
      </x:c>
      <x:c r="D592" s="5" t="str">
        <x:v>FD001</x:v>
      </x:c>
      <x:c r="E592" s="5" t="str">
        <x:v>White Rice &amp; Stew</x:v>
      </x:c>
      <x:c r="F592" s="5" t="str">
        <x:v>Rice Meals</x:v>
      </x:c>
      <x:c r="G592" s="44" t="n">
        <x:v>1</x:v>
      </x:c>
      <x:c r="H592" s="45" t="n">
        <x:v>1800</x:v>
      </x:c>
      <x:c r="I592" s="46" t="n">
        <x:v>0</x:v>
      </x:c>
      <x:c r="J592" s="47" t="n">
        <x:f>G592*H592*(1-I592)</x:f>
        <x:v>1800</x:v>
      </x:c>
      <x:c r="K592" s="47" t="n">
        <x:v>820</x:v>
      </x:c>
      <x:c r="L592" s="47" t="n">
        <x:f>G592*K592</x:f>
        <x:v>820</x:v>
      </x:c>
      <x:c r="M592" s="47" t="n">
        <x:f>J592-L592</x:f>
        <x:v>980</x:v>
      </x:c>
      <x:c r="N592" s="5" t="str">
        <x:v>Delivery</x:v>
      </x:c>
      <x:c r="O592" s="5" t="str">
        <x:v>Transfer</x:v>
      </x:c>
      <x:c r="P592" s="5" t="str">
        <x:v>Lunch</x:v>
      </x:c>
      <x:c r="Q592" s="48" t="n">
        <x:v>12</x:v>
      </x:c>
      <x:c r="R592" s="5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5" t="str">
        <x:v>ORD-01054</x:v>
      </x:c>
      <x:c r="B593" s="43" t="n">
        <x:v>46099</x:v>
      </x:c>
      <x:c r="C593" s="5" t="str">
        <x:v>CUST-0324</x:v>
      </x:c>
      <x:c r="D593" s="5" t="str">
        <x:v>FD005</x:v>
      </x:c>
      <x:c r="E593" s="5" t="str">
        <x:v>Yam Porridge</x:v>
      </x:c>
      <x:c r="F593" s="5" t="str">
        <x:v>Traditional Meals</x:v>
      </x:c>
      <x:c r="G593" s="44" t="n">
        <x:v>2</x:v>
      </x:c>
      <x:c r="H593" s="45" t="n">
        <x:v>2200</x:v>
      </x:c>
      <x:c r="I593" s="46" t="n">
        <x:v>0</x:v>
      </x:c>
      <x:c r="J593" s="47" t="n">
        <x:f>G593*H593*(1-I593)</x:f>
        <x:v>4400</x:v>
      </x:c>
      <x:c r="K593" s="47" t="n">
        <x:v>1050</x:v>
      </x:c>
      <x:c r="L593" s="47" t="n">
        <x:f>G593*K593</x:f>
        <x:v>2100</x:v>
      </x:c>
      <x:c r="M593" s="47" t="n">
        <x:f>J593-L593</x:f>
        <x:v>2300</x:v>
      </x:c>
      <x:c r="N593" s="5" t="str">
        <x:v>Delivery</x:v>
      </x:c>
      <x:c r="O593" s="5" t="str">
        <x:v>Cash</x:v>
      </x:c>
      <x:c r="P593" s="5" t="str">
        <x:v>Lunch</x:v>
      </x:c>
      <x:c r="Q593" s="48" t="n">
        <x:v>14</x:v>
      </x:c>
      <x:c r="R593" s="5" t="n">
        <x:v>4</x:v>
      </x:c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5" t="str">
        <x:v>ORD-01285</x:v>
      </x:c>
      <x:c r="B594" s="43" t="n">
        <x:v>46099</x:v>
      </x:c>
      <x:c r="C594" s="5" t="str">
        <x:v>CUST-0385</x:v>
      </x:c>
      <x:c r="D594" s="5" t="str">
        <x:v>FD001</x:v>
      </x:c>
      <x:c r="E594" s="5" t="str">
        <x:v>White Rice &amp; Stew</x:v>
      </x:c>
      <x:c r="F594" s="5" t="str">
        <x:v>Rice Meals</x:v>
      </x:c>
      <x:c r="G594" s="44" t="n">
        <x:v>2</x:v>
      </x:c>
      <x:c r="H594" s="45" t="n">
        <x:v>1800</x:v>
      </x:c>
      <x:c r="I594" s="46" t="n">
        <x:v>0</x:v>
      </x:c>
      <x:c r="J594" s="47" t="n">
        <x:f>G594*H594*(1-I594)</x:f>
        <x:v>3600</x:v>
      </x:c>
      <x:c r="K594" s="47" t="n">
        <x:v>820</x:v>
      </x:c>
      <x:c r="L594" s="47" t="n">
        <x:f>G594*K594</x:f>
        <x:v>1640</x:v>
      </x:c>
      <x:c r="M594" s="47" t="n">
        <x:f>J594-L594</x:f>
        <x:v>1960</x:v>
      </x:c>
      <x:c r="N594" s="5" t="str">
        <x:v>Walk-in</x:v>
      </x:c>
      <x:c r="O594" s="5" t="str">
        <x:v>POS</x:v>
      </x:c>
      <x:c r="P594" s="5" t="str">
        <x:v>Lunch</x:v>
      </x:c>
      <x:c r="Q594" s="48" t="n">
        <x:v>15</x:v>
      </x:c>
      <x:c r="R594" s="5" t="n">
        <x:v>4</x:v>
      </x:c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5" t="str">
        <x:v>ORD-01298</x:v>
      </x:c>
      <x:c r="B595" s="43" t="n">
        <x:v>46099</x:v>
      </x:c>
      <x:c r="C595" s="5" t="str">
        <x:v>CUST-0062</x:v>
      </x:c>
      <x:c r="D595" s="5" t="str">
        <x:v>FD001</x:v>
      </x:c>
      <x:c r="E595" s="5" t="str">
        <x:v>White Rice &amp; Stew</x:v>
      </x:c>
      <x:c r="F595" s="5" t="str">
        <x:v>Rice Meals</x:v>
      </x:c>
      <x:c r="G595" s="44" t="n">
        <x:v>4</x:v>
      </x:c>
      <x:c r="H595" s="45" t="n">
        <x:v>1800</x:v>
      </x:c>
      <x:c r="I595" s="46" t="n">
        <x:v>0</x:v>
      </x:c>
      <x:c r="J595" s="47" t="n">
        <x:f>G595*H595*(1-I595)</x:f>
        <x:v>7200</x:v>
      </x:c>
      <x:c r="K595" s="47" t="n">
        <x:v>820</x:v>
      </x:c>
      <x:c r="L595" s="47" t="n">
        <x:f>G595*K595</x:f>
        <x:v>3280</x:v>
      </x:c>
      <x:c r="M595" s="47" t="n">
        <x:f>J595-L595</x:f>
        <x:v>3920</x:v>
      </x:c>
      <x:c r="N595" s="5" t="str">
        <x:v>Takeaway</x:v>
      </x:c>
      <x:c r="O595" s="5" t="str">
        <x:v>Cash</x:v>
      </x:c>
      <x:c r="P595" s="5" t="str">
        <x:v>Dinner</x:v>
      </x:c>
      <x:c r="Q595" s="48" t="n">
        <x:v>16</x:v>
      </x:c>
      <x:c r="R595" s="5" t="n">
        <x:v>4</x:v>
      </x:c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5" t="str">
        <x:v>ORD-00287</x:v>
      </x:c>
      <x:c r="B596" s="43" t="n">
        <x:v>46100</x:v>
      </x:c>
      <x:c r="C596" s="5" t="str">
        <x:v>CUST-0502</x:v>
      </x:c>
      <x:c r="D596" s="5" t="str">
        <x:v>FD001</x:v>
      </x:c>
      <x:c r="E596" s="5" t="str">
        <x:v>White Rice &amp; Stew</x:v>
      </x:c>
      <x:c r="F596" s="5" t="str">
        <x:v>Rice Meals</x:v>
      </x:c>
      <x:c r="G596" s="44" t="n">
        <x:v>2</x:v>
      </x:c>
      <x:c r="H596" s="45" t="n">
        <x:v>1800</x:v>
      </x:c>
      <x:c r="I596" s="46" t="n">
        <x:v>0</x:v>
      </x:c>
      <x:c r="J596" s="47" t="n">
        <x:f>G596*H596*(1-I596)</x:f>
        <x:v>3600</x:v>
      </x:c>
      <x:c r="K596" s="47" t="n">
        <x:v>820</x:v>
      </x:c>
      <x:c r="L596" s="47" t="n">
        <x:f>G596*K596</x:f>
        <x:v>1640</x:v>
      </x:c>
      <x:c r="M596" s="47" t="n">
        <x:f>J596-L596</x:f>
        <x:v>1960</x:v>
      </x:c>
      <x:c r="N596" s="5" t="str">
        <x:v>Walk-in</x:v>
      </x:c>
      <x:c r="O596" s="5" t="str">
        <x:v>Transfer</x:v>
      </x:c>
      <x:c r="P596" s="5" t="str">
        <x:v>Breakfast</x:v>
      </x:c>
      <x:c r="Q596" s="48" t="n">
        <x:v>9</x:v>
      </x:c>
      <x:c r="R596" s="5" t="n">
        <x:v>5</x:v>
      </x:c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5" t="str">
        <x:v>ORD-00971</x:v>
      </x:c>
      <x:c r="B597" s="43" t="n">
        <x:v>46100</x:v>
      </x:c>
      <x:c r="C597" s="5" t="str">
        <x:v>CUST-0558</x:v>
      </x:c>
      <x:c r="D597" s="5" t="str">
        <x:v>FD008</x:v>
      </x:c>
      <x:c r="E597" s="5" t="str">
        <x:v>Pounded Yam &amp; Vegetable Soup</x:v>
      </x:c>
      <x:c r="F597" s="5" t="str">
        <x:v>Swallow</x:v>
      </x:c>
      <x:c r="G597" s="44" t="n">
        <x:v>4</x:v>
      </x:c>
      <x:c r="H597" s="45" t="n">
        <x:v>3200</x:v>
      </x:c>
      <x:c r="I597" s="46" t="n">
        <x:v>0</x:v>
      </x:c>
      <x:c r="J597" s="47" t="n">
        <x:f>G597*H597*(1-I597)</x:f>
        <x:v>12800</x:v>
      </x:c>
      <x:c r="K597" s="47" t="n">
        <x:v>1710</x:v>
      </x:c>
      <x:c r="L597" s="47" t="n">
        <x:f>G597*K597</x:f>
        <x:v>6840</x:v>
      </x:c>
      <x:c r="M597" s="47" t="n">
        <x:f>J597-L597</x:f>
        <x:v>5960</x:v>
      </x:c>
      <x:c r="N597" s="5" t="str">
        <x:v>Takeaway</x:v>
      </x:c>
      <x:c r="O597" s="5" t="str">
        <x:v>Transfer</x:v>
      </x:c>
      <x:c r="P597" s="5" t="str">
        <x:v>Breakfast</x:v>
      </x:c>
      <x:c r="Q597" s="48" t="n">
        <x:v>8</x:v>
      </x:c>
      <x:c r="R597" s="5" t="n">
        <x:v>5</x:v>
      </x:c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5" t="str">
        <x:v>ORD-01444</x:v>
      </x:c>
      <x:c r="B598" s="43" t="n">
        <x:v>46100</x:v>
      </x:c>
      <x:c r="C598" s="5" t="str">
        <x:v>CUST-0565</x:v>
      </x:c>
      <x:c r="D598" s="5" t="str">
        <x:v>FD005</x:v>
      </x:c>
      <x:c r="E598" s="5" t="str">
        <x:v>Yam Porridge</x:v>
      </x:c>
      <x:c r="F598" s="5" t="str">
        <x:v>Traditional Meals</x:v>
      </x:c>
      <x:c r="G598" s="44" t="n">
        <x:v>2</x:v>
      </x:c>
      <x:c r="H598" s="45" t="n">
        <x:v>2200</x:v>
      </x:c>
      <x:c r="I598" s="46" t="n">
        <x:v>0</x:v>
      </x:c>
      <x:c r="J598" s="47" t="n">
        <x:f>G598*H598*(1-I598)</x:f>
        <x:v>4400</x:v>
      </x:c>
      <x:c r="K598" s="47" t="n">
        <x:v>1050</x:v>
      </x:c>
      <x:c r="L598" s="47" t="n">
        <x:f>G598*K598</x:f>
        <x:v>2100</x:v>
      </x:c>
      <x:c r="M598" s="47" t="n">
        <x:f>J598-L598</x:f>
        <x:v>2300</x:v>
      </x:c>
      <x:c r="N598" s="5" t="str">
        <x:v>Walk-in</x:v>
      </x:c>
      <x:c r="O598" s="5" t="str">
        <x:v>POS</x:v>
      </x:c>
      <x:c r="P598" s="5" t="str">
        <x:v>Dinner</x:v>
      </x:c>
      <x:c r="Q598" s="48" t="n">
        <x:v>16</x:v>
      </x:c>
      <x:c r="R598" s="5" t="n">
        <x:v>4</x:v>
      </x:c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5" t="str">
        <x:v>ORD-01476</x:v>
      </x:c>
      <x:c r="B599" s="43" t="n">
        <x:v>46100</x:v>
      </x:c>
      <x:c r="C599" s="5" t="str">
        <x:v>CUST-0527</x:v>
      </x:c>
      <x:c r="D599" s="5" t="str">
        <x:v>FD003</x:v>
      </x:c>
      <x:c r="E599" s="5" t="str">
        <x:v>Fried Rice &amp; Chicken</x:v>
      </x:c>
      <x:c r="F599" s="5" t="str">
        <x:v>Rice Meals</x:v>
      </x:c>
      <x:c r="G599" s="44" t="n">
        <x:v>1</x:v>
      </x:c>
      <x:c r="H599" s="45" t="n">
        <x:v>3000</x:v>
      </x:c>
      <x:c r="I599" s="46" t="n">
        <x:v>0</x:v>
      </x:c>
      <x:c r="J599" s="47" t="n">
        <x:f>G599*H599*(1-I599)</x:f>
        <x:v>3000</x:v>
      </x:c>
      <x:c r="K599" s="47" t="n">
        <x:v>1580</x:v>
      </x:c>
      <x:c r="L599" s="47" t="n">
        <x:f>G599*K599</x:f>
        <x:v>1580</x:v>
      </x:c>
      <x:c r="M599" s="47" t="n">
        <x:f>J599-L599</x:f>
        <x:v>1420</x:v>
      </x:c>
      <x:c r="N599" s="5" t="str">
        <x:v>Takeaway</x:v>
      </x:c>
      <x:c r="O599" s="5" t="str">
        <x:v>Cash</x:v>
      </x:c>
      <x:c r="P599" s="5" t="str">
        <x:v>Dinner</x:v>
      </x:c>
      <x:c r="Q599" s="48" t="n">
        <x:v>16</x:v>
      </x:c>
      <x:c r="R599" s="5" t="n">
        <x:v>4</x:v>
      </x:c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5" t="str">
        <x:v>ORD-01564</x:v>
      </x:c>
      <x:c r="B600" s="43" t="n">
        <x:v>46100</x:v>
      </x:c>
      <x:c r="C600" s="5" t="str">
        <x:v>CUST-0241</x:v>
      </x:c>
      <x:c r="D600" s="5" t="str">
        <x:v>FD003</x:v>
      </x:c>
      <x:c r="E600" s="5" t="str">
        <x:v>Fried Rice &amp; Chicken</x:v>
      </x:c>
      <x:c r="F600" s="5" t="str">
        <x:v>Rice Meals</x:v>
      </x:c>
      <x:c r="G600" s="44" t="n">
        <x:v>3</x:v>
      </x:c>
      <x:c r="H600" s="45" t="n">
        <x:v>3000</x:v>
      </x:c>
      <x:c r="I600" s="46" t="n">
        <x:v>0</x:v>
      </x:c>
      <x:c r="J600" s="47" t="n">
        <x:f>G600*H600*(1-I600)</x:f>
        <x:v>9000</x:v>
      </x:c>
      <x:c r="K600" s="47" t="n">
        <x:v>1580</x:v>
      </x:c>
      <x:c r="L600" s="47" t="n">
        <x:f>G600*K600</x:f>
        <x:v>4740</x:v>
      </x:c>
      <x:c r="M600" s="47" t="n">
        <x:f>J600-L600</x:f>
        <x:v>4260</x:v>
      </x:c>
      <x:c r="N600" s="5" t="str">
        <x:v>Walk-in</x:v>
      </x:c>
      <x:c r="O600" s="5" t="str">
        <x:v>Transfer</x:v>
      </x:c>
      <x:c r="P600" s="5" t="str">
        <x:v>Lunch</x:v>
      </x:c>
      <x:c r="Q600" s="48" t="n">
        <x:v>15</x:v>
      </x:c>
      <x:c r="R600" s="5" t="n">
        <x:v>5</x:v>
      </x:c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5" t="str">
        <x:v>ORD-01695</x:v>
      </x:c>
      <x:c r="B601" s="43" t="n">
        <x:v>46100</x:v>
      </x:c>
      <x:c r="C601" s="5" t="str">
        <x:v>CUST-0603</x:v>
      </x:c>
      <x:c r="D601" s="5" t="str">
        <x:v>FD002</x:v>
      </x:c>
      <x:c r="E601" s="5" t="str">
        <x:v>Jollof Rice &amp; Chicken</x:v>
      </x:c>
      <x:c r="F601" s="5" t="str">
        <x:v>Rice Meals</x:v>
      </x:c>
      <x:c r="G601" s="44" t="n">
        <x:v>3</x:v>
      </x:c>
      <x:c r="H601" s="45" t="n">
        <x:v>2800</x:v>
      </x:c>
      <x:c r="I601" s="46" t="n">
        <x:v>0.05</x:v>
      </x:c>
      <x:c r="J601" s="47" t="n">
        <x:f>G601*H601*(1-I601)</x:f>
        <x:v>7980</x:v>
      </x:c>
      <x:c r="K601" s="47" t="n">
        <x:v>1450</x:v>
      </x:c>
      <x:c r="L601" s="47" t="n">
        <x:f>G601*K601</x:f>
        <x:v>4350</x:v>
      </x:c>
      <x:c r="M601" s="47" t="n">
        <x:f>J601-L601</x:f>
        <x:v>3630</x:v>
      </x:c>
      <x:c r="N601" s="5" t="str">
        <x:v>Walk-in</x:v>
      </x:c>
      <x:c r="O601" s="5" t="str">
        <x:v>Cash</x:v>
      </x:c>
      <x:c r="P601" s="5" t="str">
        <x:v>Breakfast</x:v>
      </x:c>
      <x:c r="Q601" s="48" t="n">
        <x:v>9</x:v>
      </x:c>
      <x:c r="R601" s="5" t="n">
        <x:v>3</x:v>
      </x:c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5" t="str">
        <x:v>ORD-00248</x:v>
      </x:c>
      <x:c r="B602" s="43" t="n">
        <x:v>46101</x:v>
      </x:c>
      <x:c r="C602" s="5" t="str">
        <x:v>CUST-0580</x:v>
      </x:c>
      <x:c r="D602" s="5" t="str">
        <x:v>FD002</x:v>
      </x:c>
      <x:c r="E602" s="5" t="str">
        <x:v>Jollof Rice &amp; Chicken</x:v>
      </x:c>
      <x:c r="F602" s="5" t="str">
        <x:v>Rice Meals</x:v>
      </x:c>
      <x:c r="G602" s="44" t="n">
        <x:v>1</x:v>
      </x:c>
      <x:c r="H602" s="45" t="n">
        <x:v>2800</x:v>
      </x:c>
      <x:c r="I602" s="46" t="n">
        <x:v>0</x:v>
      </x:c>
      <x:c r="J602" s="47" t="n">
        <x:f>G602*H602*(1-I602)</x:f>
        <x:v>2800</x:v>
      </x:c>
      <x:c r="K602" s="47" t="n">
        <x:v>1450</x:v>
      </x:c>
      <x:c r="L602" s="47" t="n">
        <x:f>G602*K602</x:f>
        <x:v>1450</x:v>
      </x:c>
      <x:c r="M602" s="47" t="n">
        <x:f>J602-L602</x:f>
        <x:v>1350</x:v>
      </x:c>
      <x:c r="N602" s="5" t="str">
        <x:v>Walk-in</x:v>
      </x:c>
      <x:c r="O602" s="5" t="str">
        <x:v>POS</x:v>
      </x:c>
      <x:c r="P602" s="5" t="str">
        <x:v>Lunch</x:v>
      </x:c>
      <x:c r="Q602" s="48" t="n">
        <x:v>15</x:v>
      </x:c>
      <x:c r="R602" s="5" t="n">
        <x:v>5</x:v>
      </x:c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5" t="str">
        <x:v>ORD-00302</x:v>
      </x:c>
      <x:c r="B603" s="43" t="n">
        <x:v>46101</x:v>
      </x:c>
      <x:c r="C603" s="5" t="str">
        <x:v>CUST-0018</x:v>
      </x:c>
      <x:c r="D603" s="5" t="str">
        <x:v>FD004</x:v>
      </x:c>
      <x:c r="E603" s="5" t="str">
        <x:v>Beans &amp; Plantain</x:v>
      </x:c>
      <x:c r="F603" s="5" t="str">
        <x:v>Traditional Meals</x:v>
      </x:c>
      <x:c r="G603" s="44" t="n">
        <x:v>3</x:v>
      </x:c>
      <x:c r="H603" s="45" t="n">
        <x:v>2000</x:v>
      </x:c>
      <x:c r="I603" s="46" t="n">
        <x:v>0</x:v>
      </x:c>
      <x:c r="J603" s="47" t="n">
        <x:f>G603*H603*(1-I603)</x:f>
        <x:v>6000</x:v>
      </x:c>
      <x:c r="K603" s="47" t="n">
        <x:v>960</x:v>
      </x:c>
      <x:c r="L603" s="47" t="n">
        <x:f>G603*K603</x:f>
        <x:v>2880</x:v>
      </x:c>
      <x:c r="M603" s="47" t="n">
        <x:f>J603-L603</x:f>
        <x:v>3120</x:v>
      </x:c>
      <x:c r="N603" s="5" t="str">
        <x:v>Delivery</x:v>
      </x:c>
      <x:c r="O603" s="5" t="str">
        <x:v>Transfer</x:v>
      </x:c>
      <x:c r="P603" s="5" t="str">
        <x:v>Breakfast</x:v>
      </x:c>
      <x:c r="Q603" s="48" t="n">
        <x:v>10</x:v>
      </x:c>
      <x:c r="R603" s="5" t="n">
        <x:v>5</x:v>
      </x:c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5" t="str">
        <x:v>ORD-00733</x:v>
      </x:c>
      <x:c r="B604" s="43" t="n">
        <x:v>46101</x:v>
      </x:c>
      <x:c r="C604" s="5" t="str">
        <x:v>CUST-0105</x:v>
      </x:c>
      <x:c r="D604" s="5" t="str">
        <x:v>FD002</x:v>
      </x:c>
      <x:c r="E604" s="5" t="str">
        <x:v>Jollof Rice &amp; Chicken</x:v>
      </x:c>
      <x:c r="F604" s="5" t="str">
        <x:v>Rice Meals</x:v>
      </x:c>
      <x:c r="G604" s="44" t="n">
        <x:v>3</x:v>
      </x:c>
      <x:c r="H604" s="45" t="n">
        <x:v>2800</x:v>
      </x:c>
      <x:c r="I604" s="46" t="n">
        <x:v>0</x:v>
      </x:c>
      <x:c r="J604" s="47" t="n">
        <x:f>G604*H604*(1-I604)</x:f>
        <x:v>8400</x:v>
      </x:c>
      <x:c r="K604" s="47" t="n">
        <x:v>1450</x:v>
      </x:c>
      <x:c r="L604" s="47" t="n">
        <x:f>G604*K604</x:f>
        <x:v>4350</x:v>
      </x:c>
      <x:c r="M604" s="47" t="n">
        <x:f>J604-L604</x:f>
        <x:v>4050</x:v>
      </x:c>
      <x:c r="N604" s="5" t="str">
        <x:v>Takeaway</x:v>
      </x:c>
      <x:c r="O604" s="5" t="str">
        <x:v>Transfer</x:v>
      </x:c>
      <x:c r="P604" s="5" t="str">
        <x:v>Dinner</x:v>
      </x:c>
      <x:c r="Q604" s="48" t="n">
        <x:v>18</x:v>
      </x:c>
      <x:c r="R604" s="5" t="n">
        <x:v>4</x:v>
      </x:c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5" t="str">
        <x:v>ORD-00990</x:v>
      </x:c>
      <x:c r="B605" s="43" t="n">
        <x:v>46101</x:v>
      </x:c>
      <x:c r="C605" s="5" t="str">
        <x:v>CUST-0181</x:v>
      </x:c>
      <x:c r="D605" s="5" t="str">
        <x:v>FD004</x:v>
      </x:c>
      <x:c r="E605" s="5" t="str">
        <x:v>Beans &amp; Plantain</x:v>
      </x:c>
      <x:c r="F605" s="5" t="str">
        <x:v>Traditional Meals</x:v>
      </x:c>
      <x:c r="G605" s="44" t="n">
        <x:v>3</x:v>
      </x:c>
      <x:c r="H605" s="45" t="n">
        <x:v>2000</x:v>
      </x:c>
      <x:c r="I605" s="46" t="n">
        <x:v>0</x:v>
      </x:c>
      <x:c r="J605" s="47" t="n">
        <x:f>G605*H605*(1-I605)</x:f>
        <x:v>6000</x:v>
      </x:c>
      <x:c r="K605" s="47" t="n">
        <x:v>960</x:v>
      </x:c>
      <x:c r="L605" s="47" t="n">
        <x:f>G605*K605</x:f>
        <x:v>2880</x:v>
      </x:c>
      <x:c r="M605" s="47" t="n">
        <x:f>J605-L605</x:f>
        <x:v>3120</x:v>
      </x:c>
      <x:c r="N605" s="5" t="str">
        <x:v>Walk-in</x:v>
      </x:c>
      <x:c r="O605" s="5" t="str">
        <x:v>Transfer</x:v>
      </x:c>
      <x:c r="P605" s="5" t="str">
        <x:v>Dinner</x:v>
      </x:c>
      <x:c r="Q605" s="48" t="n">
        <x:v>19</x:v>
      </x:c>
      <x:c r="R605" s="5" t="n">
        <x:v>4</x:v>
      </x:c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5" t="str">
        <x:v>ORD-01594</x:v>
      </x:c>
      <x:c r="B606" s="43" t="n">
        <x:v>46101</x:v>
      </x:c>
      <x:c r="C606" s="5" t="str">
        <x:v>CUST-0019</x:v>
      </x:c>
      <x:c r="D606" s="5" t="str">
        <x:v>FD008</x:v>
      </x:c>
      <x:c r="E606" s="5" t="str">
        <x:v>Pounded Yam &amp; Vegetable Soup</x:v>
      </x:c>
      <x:c r="F606" s="5" t="str">
        <x:v>Swallow</x:v>
      </x:c>
      <x:c r="G606" s="44" t="n">
        <x:v>1</x:v>
      </x:c>
      <x:c r="H606" s="45" t="n">
        <x:v>3200</x:v>
      </x:c>
      <x:c r="I606" s="46" t="n">
        <x:v>0</x:v>
      </x:c>
      <x:c r="J606" s="47" t="n">
        <x:f>G606*H606*(1-I606)</x:f>
        <x:v>3200</x:v>
      </x:c>
      <x:c r="K606" s="47" t="n">
        <x:v>1710</x:v>
      </x:c>
      <x:c r="L606" s="47" t="n">
        <x:f>G606*K606</x:f>
        <x:v>1710</x:v>
      </x:c>
      <x:c r="M606" s="47" t="n">
        <x:f>J606-L606</x:f>
        <x:v>1490</x:v>
      </x:c>
      <x:c r="N606" s="5" t="str">
        <x:v>Walk-in</x:v>
      </x:c>
      <x:c r="O606" s="5" t="str">
        <x:v>Transfer</x:v>
      </x:c>
      <x:c r="P606" s="5" t="str">
        <x:v>Lunch</x:v>
      </x:c>
      <x:c r="Q606" s="48" t="n">
        <x:v>13</x:v>
      </x:c>
      <x:c r="R606" s="5" t="n">
        <x:v>5</x:v>
      </x:c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5" t="str">
        <x:v>ORD-01706</x:v>
      </x:c>
      <x:c r="B607" s="43" t="n">
        <x:v>46101</x:v>
      </x:c>
      <x:c r="C607" s="5" t="str">
        <x:v>CUST-0004</x:v>
      </x:c>
      <x:c r="D607" s="5" t="str">
        <x:v>FD001</x:v>
      </x:c>
      <x:c r="E607" s="5" t="str">
        <x:v>White Rice &amp; Stew</x:v>
      </x:c>
      <x:c r="F607" s="5" t="str">
        <x:v>Rice Meals</x:v>
      </x:c>
      <x:c r="G607" s="44" t="n">
        <x:v>4</x:v>
      </x:c>
      <x:c r="H607" s="45" t="n">
        <x:v>1800</x:v>
      </x:c>
      <x:c r="I607" s="46" t="n">
        <x:v>0</x:v>
      </x:c>
      <x:c r="J607" s="47" t="n">
        <x:f>G607*H607*(1-I607)</x:f>
        <x:v>7200</x:v>
      </x:c>
      <x:c r="K607" s="47" t="n">
        <x:v>820</x:v>
      </x:c>
      <x:c r="L607" s="47" t="n">
        <x:f>G607*K607</x:f>
        <x:v>3280</x:v>
      </x:c>
      <x:c r="M607" s="47" t="n">
        <x:f>J607-L607</x:f>
        <x:v>3920</x:v>
      </x:c>
      <x:c r="N607" s="5" t="str">
        <x:v>Walk-in</x:v>
      </x:c>
      <x:c r="O607" s="5" t="str">
        <x:v>Cash</x:v>
      </x:c>
      <x:c r="P607" s="5" t="str">
        <x:v>Lunch</x:v>
      </x:c>
      <x:c r="Q607" s="48" t="n">
        <x:v>15</x:v>
      </x:c>
      <x:c r="R607" s="5" t="n">
        <x:v>4</x:v>
      </x:c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5" t="str">
        <x:v>ORD-00156</x:v>
      </x:c>
      <x:c r="B608" s="43" t="n">
        <x:v>46102</x:v>
      </x:c>
      <x:c r="C608" s="5" t="str">
        <x:v>CUST-0463</x:v>
      </x:c>
      <x:c r="D608" s="5" t="str">
        <x:v>FD009</x:v>
      </x:c>
      <x:c r="E608" s="5" t="str">
        <x:v>Moi Moi</x:v>
      </x:c>
      <x:c r="F608" s="5" t="str">
        <x:v>Sides</x:v>
      </x:c>
      <x:c r="G608" s="44" t="n">
        <x:v>2</x:v>
      </x:c>
      <x:c r="H608" s="45" t="n">
        <x:v>900</x:v>
      </x:c>
      <x:c r="I608" s="46" t="n">
        <x:v>0</x:v>
      </x:c>
      <x:c r="J608" s="47" t="n">
        <x:f>G608*H608*(1-I608)</x:f>
        <x:v>1800</x:v>
      </x:c>
      <x:c r="K608" s="47" t="n">
        <x:v>380</x:v>
      </x:c>
      <x:c r="L608" s="47" t="n">
        <x:f>G608*K608</x:f>
        <x:v>760</x:v>
      </x:c>
      <x:c r="M608" s="47" t="n">
        <x:f>J608-L608</x:f>
        <x:v>1040</x:v>
      </x:c>
      <x:c r="N608" s="5" t="str">
        <x:v>Delivery</x:v>
      </x:c>
      <x:c r="O608" s="5" t="str">
        <x:v>Transfer</x:v>
      </x:c>
      <x:c r="P608" s="5" t="str">
        <x:v>Lunch</x:v>
      </x:c>
      <x:c r="Q608" s="48" t="n">
        <x:v>12</x:v>
      </x:c>
      <x:c r="R608" s="5" t="n">
        <x:v>4</x:v>
      </x:c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5" t="str">
        <x:v>ORD-00159</x:v>
      </x:c>
      <x:c r="B609" s="43" t="n">
        <x:v>46102</x:v>
      </x:c>
      <x:c r="C609" s="5" t="str">
        <x:v>CUST-0034</x:v>
      </x:c>
      <x:c r="D609" s="5" t="str">
        <x:v>FD003</x:v>
      </x:c>
      <x:c r="E609" s="5" t="str">
        <x:v>Fried Rice &amp; Chicken</x:v>
      </x:c>
      <x:c r="F609" s="5" t="str">
        <x:v>Rice Meals</x:v>
      </x:c>
      <x:c r="G609" s="44" t="n">
        <x:v>3</x:v>
      </x:c>
      <x:c r="H609" s="45" t="n">
        <x:v>3000</x:v>
      </x:c>
      <x:c r="I609" s="46" t="n">
        <x:v>0</x:v>
      </x:c>
      <x:c r="J609" s="47" t="n">
        <x:f>G609*H609*(1-I609)</x:f>
        <x:v>9000</x:v>
      </x:c>
      <x:c r="K609" s="47" t="n">
        <x:v>1580</x:v>
      </x:c>
      <x:c r="L609" s="47" t="n">
        <x:f>G609*K609</x:f>
        <x:v>4740</x:v>
      </x:c>
      <x:c r="M609" s="47" t="n">
        <x:f>J609-L609</x:f>
        <x:v>4260</x:v>
      </x:c>
      <x:c r="N609" s="5" t="str">
        <x:v>Walk-in</x:v>
      </x:c>
      <x:c r="O609" s="5" t="str">
        <x:v>POS</x:v>
      </x:c>
      <x:c r="P609" s="5" t="str">
        <x:v>Lunch</x:v>
      </x:c>
      <x:c r="Q609" s="48" t="n">
        <x:v>13</x:v>
      </x:c>
      <x:c r="R609" s="5" t="n">
        <x:v>5</x:v>
      </x:c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5" t="str">
        <x:v>ORD-00505</x:v>
      </x:c>
      <x:c r="B610" s="43" t="n">
        <x:v>46102</x:v>
      </x:c>
      <x:c r="C610" s="5" t="str">
        <x:v>CUST-0588</x:v>
      </x:c>
      <x:c r="D610" s="5" t="str">
        <x:v>FD006</x:v>
      </x:c>
      <x:c r="E610" s="5" t="str">
        <x:v>Eba &amp; Egusi Soup</x:v>
      </x:c>
      <x:c r="F610" s="5" t="str">
        <x:v>Swallow</x:v>
      </x:c>
      <x:c r="G610" s="44" t="n">
        <x:v>1</x:v>
      </x:c>
      <x:c r="H610" s="45" t="n">
        <x:v>2600</x:v>
      </x:c>
      <x:c r="I610" s="46" t="n">
        <x:v>0</x:v>
      </x:c>
      <x:c r="J610" s="47" t="n">
        <x:f>G610*H610*(1-I610)</x:f>
        <x:v>2600</x:v>
      </x:c>
      <x:c r="K610" s="47" t="n">
        <x:v>1320</x:v>
      </x:c>
      <x:c r="L610" s="47" t="n">
        <x:f>G610*K610</x:f>
        <x:v>1320</x:v>
      </x:c>
      <x:c r="M610" s="47" t="n">
        <x:f>J610-L610</x:f>
        <x:v>1280</x:v>
      </x:c>
      <x:c r="N610" s="5" t="str">
        <x:v>Walk-in</x:v>
      </x:c>
      <x:c r="O610" s="5" t="str">
        <x:v>Transfer</x:v>
      </x:c>
      <x:c r="P610" s="5" t="str">
        <x:v>Lunch</x:v>
      </x:c>
      <x:c r="Q610" s="48" t="n">
        <x:v>14</x:v>
      </x:c>
      <x:c r="R610" s="5" t="n">
        <x:v>3</x:v>
      </x:c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5" t="str">
        <x:v>ORD-00629</x:v>
      </x:c>
      <x:c r="B611" s="43" t="n">
        <x:v>46102</x:v>
      </x:c>
      <x:c r="C611" s="5" t="str">
        <x:v>CUST-0451</x:v>
      </x:c>
      <x:c r="D611" s="5" t="str">
        <x:v>FD005</x:v>
      </x:c>
      <x:c r="E611" s="5" t="str">
        <x:v>Yam Porridge</x:v>
      </x:c>
      <x:c r="F611" s="5" t="str">
        <x:v>Traditional Meals</x:v>
      </x:c>
      <x:c r="G611" s="44" t="n">
        <x:v>2</x:v>
      </x:c>
      <x:c r="H611" s="45" t="n">
        <x:v>2200</x:v>
      </x:c>
      <x:c r="I611" s="46" t="n">
        <x:v>0.05</x:v>
      </x:c>
      <x:c r="J611" s="47" t="n">
        <x:f>G611*H611*(1-I611)</x:f>
        <x:v>4180</x:v>
      </x:c>
      <x:c r="K611" s="47" t="n">
        <x:v>1050</x:v>
      </x:c>
      <x:c r="L611" s="47" t="n">
        <x:f>G611*K611</x:f>
        <x:v>2100</x:v>
      </x:c>
      <x:c r="M611" s="47" t="n">
        <x:f>J611-L611</x:f>
        <x:v>2080</x:v>
      </x:c>
      <x:c r="N611" s="5" t="str">
        <x:v>Takeaway</x:v>
      </x:c>
      <x:c r="O611" s="5" t="str">
        <x:v>Transfer</x:v>
      </x:c>
      <x:c r="P611" s="5" t="str">
        <x:v>Dinner</x:v>
      </x:c>
      <x:c r="Q611" s="48" t="n">
        <x:v>17</x:v>
      </x:c>
      <x:c r="R611" s="5" t="n">
        <x:v>4</x:v>
      </x:c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5" t="str">
        <x:v>ORD-00874</x:v>
      </x:c>
      <x:c r="B612" s="43" t="n">
        <x:v>46102</x:v>
      </x:c>
      <x:c r="C612" s="5" t="str">
        <x:v>CUST-0118</x:v>
      </x:c>
      <x:c r="D612" s="5" t="str">
        <x:v>FD011</x:v>
      </x:c>
      <x:c r="E612" s="5" t="str">
        <x:v>Bottled Water</x:v>
      </x:c>
      <x:c r="F612" s="5" t="str">
        <x:v>Beverages</x:v>
      </x:c>
      <x:c r="G612" s="44" t="n">
        <x:v>1</x:v>
      </x:c>
      <x:c r="H612" s="45" t="n">
        <x:v>300</x:v>
      </x:c>
      <x:c r="I612" s="46" t="n">
        <x:v>0</x:v>
      </x:c>
      <x:c r="J612" s="47" t="n">
        <x:f>G612*H612*(1-I612)</x:f>
        <x:v>300</x:v>
      </x:c>
      <x:c r="K612" s="47" t="n">
        <x:v>120</x:v>
      </x:c>
      <x:c r="L612" s="47" t="n">
        <x:f>G612*K612</x:f>
        <x:v>120</x:v>
      </x:c>
      <x:c r="M612" s="47" t="n">
        <x:f>J612-L612</x:f>
        <x:v>180</x:v>
      </x:c>
      <x:c r="N612" s="5" t="str">
        <x:v>Walk-in</x:v>
      </x:c>
      <x:c r="O612" s="5" t="str">
        <x:v>Transfer</x:v>
      </x:c>
      <x:c r="P612" s="5" t="str">
        <x:v>Lunch</x:v>
      </x:c>
      <x:c r="Q612" s="48" t="n">
        <x:v>14</x:v>
      </x:c>
      <x:c r="R612" s="5" t="n">
        <x:v>5</x:v>
      </x:c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5" t="str">
        <x:v>ORD-01290</x:v>
      </x:c>
      <x:c r="B613" s="43" t="n">
        <x:v>46102</x:v>
      </x:c>
      <x:c r="C613" s="5" t="str">
        <x:v>CUST-0315</x:v>
      </x:c>
      <x:c r="D613" s="5" t="str">
        <x:v>FD006</x:v>
      </x:c>
      <x:c r="E613" s="5" t="str">
        <x:v>Eba &amp; Egusi Soup</x:v>
      </x:c>
      <x:c r="F613" s="5" t="str">
        <x:v>Swallow</x:v>
      </x:c>
      <x:c r="G613" s="44" t="n">
        <x:v>4</x:v>
      </x:c>
      <x:c r="H613" s="45" t="n">
        <x:v>2600</x:v>
      </x:c>
      <x:c r="I613" s="46" t="n">
        <x:v>0</x:v>
      </x:c>
      <x:c r="J613" s="47" t="n">
        <x:f>G613*H613*(1-I613)</x:f>
        <x:v>10400</x:v>
      </x:c>
      <x:c r="K613" s="47" t="n">
        <x:v>1320</x:v>
      </x:c>
      <x:c r="L613" s="47" t="n">
        <x:f>G613*K613</x:f>
        <x:v>5280</x:v>
      </x:c>
      <x:c r="M613" s="47" t="n">
        <x:f>J613-L613</x:f>
        <x:v>5120</x:v>
      </x:c>
      <x:c r="N613" s="5" t="str">
        <x:v>Walk-in</x:v>
      </x:c>
      <x:c r="O613" s="5" t="str">
        <x:v>Cash</x:v>
      </x:c>
      <x:c r="P613" s="5" t="str">
        <x:v>Lunch</x:v>
      </x:c>
      <x:c r="Q613" s="48" t="n">
        <x:v>15</x:v>
      </x:c>
      <x:c r="R613" s="5" t="n">
        <x:v>4</x:v>
      </x:c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5" t="str">
        <x:v>ORD-00125</x:v>
      </x:c>
      <x:c r="B614" s="43" t="n">
        <x:v>46103</x:v>
      </x:c>
      <x:c r="C614" s="5" t="str">
        <x:v>CUST-0053</x:v>
      </x:c>
      <x:c r="D614" s="5" t="str">
        <x:v>FD002</x:v>
      </x:c>
      <x:c r="E614" s="5" t="str">
        <x:v>Jollof Rice &amp; Chicken</x:v>
      </x:c>
      <x:c r="F614" s="5" t="str">
        <x:v>Rice Meals</x:v>
      </x:c>
      <x:c r="G614" s="44" t="n">
        <x:v>2</x:v>
      </x:c>
      <x:c r="H614" s="45" t="n">
        <x:v>2800</x:v>
      </x:c>
      <x:c r="I614" s="46" t="n">
        <x:v>0</x:v>
      </x:c>
      <x:c r="J614" s="47" t="n">
        <x:f>G614*H614*(1-I614)</x:f>
        <x:v>5600</x:v>
      </x:c>
      <x:c r="K614" s="47" t="n">
        <x:v>1450</x:v>
      </x:c>
      <x:c r="L614" s="47" t="n">
        <x:f>G614*K614</x:f>
        <x:v>2900</x:v>
      </x:c>
      <x:c r="M614" s="47" t="n">
        <x:f>J614-L614</x:f>
        <x:v>2700</x:v>
      </x:c>
      <x:c r="N614" s="5" t="str">
        <x:v>Takeaway</x:v>
      </x:c>
      <x:c r="O614" s="5" t="str">
        <x:v>Transfer</x:v>
      </x:c>
      <x:c r="P614" s="5" t="str">
        <x:v>Lunch</x:v>
      </x:c>
      <x:c r="Q614" s="48" t="n">
        <x:v>14</x:v>
      </x:c>
      <x:c r="R614" s="5" t="n">
        <x:v>4</x:v>
      </x:c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5" t="str">
        <x:v>ORD-00460</x:v>
      </x:c>
      <x:c r="B615" s="43" t="n">
        <x:v>46103</x:v>
      </x:c>
      <x:c r="C615" s="5" t="str">
        <x:v>CUST-0021</x:v>
      </x:c>
      <x:c r="D615" s="5" t="str">
        <x:v>FD001</x:v>
      </x:c>
      <x:c r="E615" s="5" t="str">
        <x:v>White Rice &amp; Stew</x:v>
      </x:c>
      <x:c r="F615" s="5" t="str">
        <x:v>Rice Meals</x:v>
      </x:c>
      <x:c r="G615" s="44" t="n">
        <x:v>4</x:v>
      </x:c>
      <x:c r="H615" s="45" t="n">
        <x:v>1800</x:v>
      </x:c>
      <x:c r="I615" s="46" t="n">
        <x:v>0</x:v>
      </x:c>
      <x:c r="J615" s="47" t="n">
        <x:f>G615*H615*(1-I615)</x:f>
        <x:v>7200</x:v>
      </x:c>
      <x:c r="K615" s="47" t="n">
        <x:v>820</x:v>
      </x:c>
      <x:c r="L615" s="47" t="n">
        <x:f>G615*K615</x:f>
        <x:v>3280</x:v>
      </x:c>
      <x:c r="M615" s="47" t="n">
        <x:f>J615-L615</x:f>
        <x:v>3920</x:v>
      </x:c>
      <x:c r="N615" s="5" t="str">
        <x:v>Walk-in</x:v>
      </x:c>
      <x:c r="O615" s="5" t="str">
        <x:v>POS</x:v>
      </x:c>
      <x:c r="P615" s="5" t="str">
        <x:v>Lunch</x:v>
      </x:c>
      <x:c r="Q615" s="48" t="n">
        <x:v>13</x:v>
      </x:c>
      <x:c r="R615" s="5" t="n">
        <x:v>4</x:v>
      </x:c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5" t="str">
        <x:v>ORD-00576</x:v>
      </x:c>
      <x:c r="B616" s="43" t="n">
        <x:v>46103</x:v>
      </x:c>
      <x:c r="C616" s="5" t="str">
        <x:v>CUST-0336</x:v>
      </x:c>
      <x:c r="D616" s="5" t="str">
        <x:v>FD002</x:v>
      </x:c>
      <x:c r="E616" s="5" t="str">
        <x:v>Jollof Rice &amp; Chicken</x:v>
      </x:c>
      <x:c r="F616" s="5" t="str">
        <x:v>Rice Meals</x:v>
      </x:c>
      <x:c r="G616" s="44" t="n">
        <x:v>1</x:v>
      </x:c>
      <x:c r="H616" s="45" t="n">
        <x:v>2800</x:v>
      </x:c>
      <x:c r="I616" s="46" t="n">
        <x:v>0</x:v>
      </x:c>
      <x:c r="J616" s="47" t="n">
        <x:f>G616*H616*(1-I616)</x:f>
        <x:v>2800</x:v>
      </x:c>
      <x:c r="K616" s="47" t="n">
        <x:v>1450</x:v>
      </x:c>
      <x:c r="L616" s="47" t="n">
        <x:f>G616*K616</x:f>
        <x:v>1450</x:v>
      </x:c>
      <x:c r="M616" s="47" t="n">
        <x:f>J616-L616</x:f>
        <x:v>1350</x:v>
      </x:c>
      <x:c r="N616" s="5" t="str">
        <x:v>Walk-in</x:v>
      </x:c>
      <x:c r="O616" s="5" t="str">
        <x:v>Cash</x:v>
      </x:c>
      <x:c r="P616" s="5" t="str">
        <x:v>Breakfast</x:v>
      </x:c>
      <x:c r="Q616" s="48" t="n">
        <x:v>8</x:v>
      </x:c>
      <x:c r="R616" s="5" t="n">
        <x:v>4</x:v>
      </x:c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5" t="str">
        <x:v>ORD-00812</x:v>
      </x:c>
      <x:c r="B617" s="43" t="n">
        <x:v>46103</x:v>
      </x:c>
      <x:c r="C617" s="5" t="str">
        <x:v>CUST-0347</x:v>
      </x:c>
      <x:c r="D617" s="5" t="str">
        <x:v>FD006</x:v>
      </x:c>
      <x:c r="E617" s="5" t="str">
        <x:v>Eba &amp; Egusi Soup</x:v>
      </x:c>
      <x:c r="F617" s="5" t="str">
        <x:v>Swallow</x:v>
      </x:c>
      <x:c r="G617" s="44" t="n">
        <x:v>2</x:v>
      </x:c>
      <x:c r="H617" s="45" t="n">
        <x:v>2600</x:v>
      </x:c>
      <x:c r="I617" s="46" t="n">
        <x:v>0</x:v>
      </x:c>
      <x:c r="J617" s="47" t="n">
        <x:f>G617*H617*(1-I617)</x:f>
        <x:v>5200</x:v>
      </x:c>
      <x:c r="K617" s="47" t="n">
        <x:v>1320</x:v>
      </x:c>
      <x:c r="L617" s="47" t="n">
        <x:f>G617*K617</x:f>
        <x:v>2640</x:v>
      </x:c>
      <x:c r="M617" s="47" t="n">
        <x:f>J617-L617</x:f>
        <x:v>2560</x:v>
      </x:c>
      <x:c r="N617" s="5" t="str">
        <x:v>Takeaway</x:v>
      </x:c>
      <x:c r="O617" s="5" t="str">
        <x:v>Cash</x:v>
      </x:c>
      <x:c r="P617" s="5" t="str">
        <x:v>Lunch</x:v>
      </x:c>
      <x:c r="Q617" s="48" t="n">
        <x:v>14</x:v>
      </x:c>
      <x:c r="R617" s="5" t="n">
        <x:v>4</x:v>
      </x:c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5" t="str">
        <x:v>ORD-01219</x:v>
      </x:c>
      <x:c r="B618" s="43" t="n">
        <x:v>46103</x:v>
      </x:c>
      <x:c r="C618" s="5" t="str">
        <x:v>CUST-0591</x:v>
      </x:c>
      <x:c r="D618" s="5" t="str">
        <x:v>FD002</x:v>
      </x:c>
      <x:c r="E618" s="5" t="str">
        <x:v>Jollof Rice &amp; Chicken</x:v>
      </x:c>
      <x:c r="F618" s="5" t="str">
        <x:v>Rice Meals</x:v>
      </x:c>
      <x:c r="G618" s="44" t="n">
        <x:v>2</x:v>
      </x:c>
      <x:c r="H618" s="45" t="n">
        <x:v>2800</x:v>
      </x:c>
      <x:c r="I618" s="46" t="n">
        <x:v>0</x:v>
      </x:c>
      <x:c r="J618" s="47" t="n">
        <x:f>G618*H618*(1-I618)</x:f>
        <x:v>5600</x:v>
      </x:c>
      <x:c r="K618" s="47" t="n">
        <x:v>1450</x:v>
      </x:c>
      <x:c r="L618" s="47" t="n">
        <x:f>G618*K618</x:f>
        <x:v>2900</x:v>
      </x:c>
      <x:c r="M618" s="47" t="n">
        <x:f>J618-L618</x:f>
        <x:v>2700</x:v>
      </x:c>
      <x:c r="N618" s="5" t="str">
        <x:v>Walk-in</x:v>
      </x:c>
      <x:c r="O618" s="5" t="str">
        <x:v>POS</x:v>
      </x:c>
      <x:c r="P618" s="5" t="str">
        <x:v>Lunch</x:v>
      </x:c>
      <x:c r="Q618" s="48" t="n">
        <x:v>13</x:v>
      </x:c>
      <x:c r="R618" s="5" t="n">
        <x:v>5</x:v>
      </x:c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5" t="str">
        <x:v>ORD-01376</x:v>
      </x:c>
      <x:c r="B619" s="43" t="n">
        <x:v>46103</x:v>
      </x:c>
      <x:c r="C619" s="5" t="str">
        <x:v>CUST-0061</x:v>
      </x:c>
      <x:c r="D619" s="5" t="str">
        <x:v>FD003</x:v>
      </x:c>
      <x:c r="E619" s="5" t="str">
        <x:v>Fried Rice &amp; Chicken</x:v>
      </x:c>
      <x:c r="F619" s="5" t="str">
        <x:v>Rice Meals</x:v>
      </x:c>
      <x:c r="G619" s="44" t="n">
        <x:v>4</x:v>
      </x:c>
      <x:c r="H619" s="45" t="n">
        <x:v>3000</x:v>
      </x:c>
      <x:c r="I619" s="46" t="n">
        <x:v>0.05</x:v>
      </x:c>
      <x:c r="J619" s="47" t="n">
        <x:f>G619*H619*(1-I619)</x:f>
        <x:v>11400</x:v>
      </x:c>
      <x:c r="K619" s="47" t="n">
        <x:v>1580</x:v>
      </x:c>
      <x:c r="L619" s="47" t="n">
        <x:f>G619*K619</x:f>
        <x:v>6320</x:v>
      </x:c>
      <x:c r="M619" s="47" t="n">
        <x:f>J619-L619</x:f>
        <x:v>5080</x:v>
      </x:c>
      <x:c r="N619" s="5" t="str">
        <x:v>Delivery</x:v>
      </x:c>
      <x:c r="O619" s="5" t="str">
        <x:v>Transfer</x:v>
      </x:c>
      <x:c r="P619" s="5" t="str">
        <x:v>Breakfast</x:v>
      </x:c>
      <x:c r="Q619" s="48" t="n">
        <x:v>9</x:v>
      </x:c>
      <x:c r="R619" s="5" t="n">
        <x:v>4</x:v>
      </x:c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5" t="str">
        <x:v>ORD-01667</x:v>
      </x:c>
      <x:c r="B620" s="43" t="n">
        <x:v>46103</x:v>
      </x:c>
      <x:c r="C620" s="5" t="str">
        <x:v>CUST-0019</x:v>
      </x:c>
      <x:c r="D620" s="5" t="str">
        <x:v>FD001</x:v>
      </x:c>
      <x:c r="E620" s="5" t="str">
        <x:v>White Rice &amp; Stew</x:v>
      </x:c>
      <x:c r="F620" s="5" t="str">
        <x:v>Rice Meals</x:v>
      </x:c>
      <x:c r="G620" s="44" t="n">
        <x:v>2</x:v>
      </x:c>
      <x:c r="H620" s="45" t="n">
        <x:v>1800</x:v>
      </x:c>
      <x:c r="I620" s="46" t="n">
        <x:v>0</x:v>
      </x:c>
      <x:c r="J620" s="47" t="n">
        <x:f>G620*H620*(1-I620)</x:f>
        <x:v>3600</x:v>
      </x:c>
      <x:c r="K620" s="47" t="n">
        <x:v>820</x:v>
      </x:c>
      <x:c r="L620" s="47" t="n">
        <x:f>G620*K620</x:f>
        <x:v>1640</x:v>
      </x:c>
      <x:c r="M620" s="47" t="n">
        <x:f>J620-L620</x:f>
        <x:v>1960</x:v>
      </x:c>
      <x:c r="N620" s="5" t="str">
        <x:v>Delivery</x:v>
      </x:c>
      <x:c r="O620" s="5" t="str">
        <x:v>POS</x:v>
      </x:c>
      <x:c r="P620" s="5" t="str">
        <x:v>Lunch</x:v>
      </x:c>
      <x:c r="Q620" s="48" t="n">
        <x:v>11</x:v>
      </x:c>
      <x:c r="R620" s="5" t="n">
        <x:v>4</x:v>
      </x:c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5" t="str">
        <x:v>ORD-01714</x:v>
      </x:c>
      <x:c r="B621" s="43" t="n">
        <x:v>46103</x:v>
      </x:c>
      <x:c r="C621" s="5" t="str">
        <x:v>CUST-0392</x:v>
      </x:c>
      <x:c r="D621" s="5" t="str">
        <x:v>FD001</x:v>
      </x:c>
      <x:c r="E621" s="5" t="str">
        <x:v>White Rice &amp; Stew</x:v>
      </x:c>
      <x:c r="F621" s="5" t="str">
        <x:v>Rice Meals</x:v>
      </x:c>
      <x:c r="G621" s="44" t="n">
        <x:v>4</x:v>
      </x:c>
      <x:c r="H621" s="45" t="n">
        <x:v>1800</x:v>
      </x:c>
      <x:c r="I621" s="46" t="n">
        <x:v>0.1</x:v>
      </x:c>
      <x:c r="J621" s="47" t="n">
        <x:f>G621*H621*(1-I621)</x:f>
        <x:v>6480</x:v>
      </x:c>
      <x:c r="K621" s="47" t="n">
        <x:v>820</x:v>
      </x:c>
      <x:c r="L621" s="47" t="n">
        <x:f>G621*K621</x:f>
        <x:v>3280</x:v>
      </x:c>
      <x:c r="M621" s="47" t="n">
        <x:f>J621-L621</x:f>
        <x:v>3200</x:v>
      </x:c>
      <x:c r="N621" s="5" t="str">
        <x:v>Delivery</x:v>
      </x:c>
      <x:c r="O621" s="5" t="str">
        <x:v>Transfer</x:v>
      </x:c>
      <x:c r="P621" s="5" t="str">
        <x:v>Dinner</x:v>
      </x:c>
      <x:c r="Q621" s="48" t="n">
        <x:v>18</x:v>
      </x:c>
      <x:c r="R621" s="5" t="n">
        <x:v>5</x:v>
      </x:c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5" t="str">
        <x:v>ORD-01721</x:v>
      </x:c>
      <x:c r="B622" s="43" t="n">
        <x:v>46103</x:v>
      </x:c>
      <x:c r="C622" s="5" t="str">
        <x:v>CUST-0025</x:v>
      </x:c>
      <x:c r="D622" s="5" t="str">
        <x:v>FD002</x:v>
      </x:c>
      <x:c r="E622" s="5" t="str">
        <x:v>Jollof Rice &amp; Chicken</x:v>
      </x:c>
      <x:c r="F622" s="5" t="str">
        <x:v>Rice Meals</x:v>
      </x:c>
      <x:c r="G622" s="44" t="n">
        <x:v>4</x:v>
      </x:c>
      <x:c r="H622" s="45" t="n">
        <x:v>2800</x:v>
      </x:c>
      <x:c r="I622" s="46" t="n">
        <x:v>0</x:v>
      </x:c>
      <x:c r="J622" s="47" t="n">
        <x:f>G622*H622*(1-I622)</x:f>
        <x:v>11200</x:v>
      </x:c>
      <x:c r="K622" s="47" t="n">
        <x:v>1450</x:v>
      </x:c>
      <x:c r="L622" s="47" t="n">
        <x:f>G622*K622</x:f>
        <x:v>5800</x:v>
      </x:c>
      <x:c r="M622" s="47" t="n">
        <x:f>J622-L622</x:f>
        <x:v>5400</x:v>
      </x:c>
      <x:c r="N622" s="5" t="str">
        <x:v>Delivery</x:v>
      </x:c>
      <x:c r="O622" s="5" t="str">
        <x:v>POS</x:v>
      </x:c>
      <x:c r="P622" s="5" t="str">
        <x:v>Lunch</x:v>
      </x:c>
      <x:c r="Q622" s="48" t="n">
        <x:v>15</x:v>
      </x:c>
      <x:c r="R622" s="5" t="n">
        <x:v>4</x:v>
      </x:c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5" t="str">
        <x:v>ORD-01740</x:v>
      </x:c>
      <x:c r="B623" s="43" t="n">
        <x:v>46103</x:v>
      </x:c>
      <x:c r="C623" s="5" t="str">
        <x:v>CUST-0441</x:v>
      </x:c>
      <x:c r="D623" s="5" t="str">
        <x:v>FD011</x:v>
      </x:c>
      <x:c r="E623" s="5" t="str">
        <x:v>Bottled Water</x:v>
      </x:c>
      <x:c r="F623" s="5" t="str">
        <x:v>Beverages</x:v>
      </x:c>
      <x:c r="G623" s="44" t="n">
        <x:v>1</x:v>
      </x:c>
      <x:c r="H623" s="45" t="n">
        <x:v>300</x:v>
      </x:c>
      <x:c r="I623" s="46" t="n">
        <x:v>0</x:v>
      </x:c>
      <x:c r="J623" s="47" t="n">
        <x:f>G623*H623*(1-I623)</x:f>
        <x:v>300</x:v>
      </x:c>
      <x:c r="K623" s="47" t="n">
        <x:v>120</x:v>
      </x:c>
      <x:c r="L623" s="47" t="n">
        <x:f>G623*K623</x:f>
        <x:v>120</x:v>
      </x:c>
      <x:c r="M623" s="47" t="n">
        <x:f>J623-L623</x:f>
        <x:v>180</x:v>
      </x:c>
      <x:c r="N623" s="5" t="str">
        <x:v>Walk-in</x:v>
      </x:c>
      <x:c r="O623" s="5" t="str">
        <x:v>Cash</x:v>
      </x:c>
      <x:c r="P623" s="5" t="str">
        <x:v>Lunch</x:v>
      </x:c>
      <x:c r="Q623" s="48" t="n">
        <x:v>12</x:v>
      </x:c>
      <x:c r="R623" s="5" t="n">
        <x:v>4</x:v>
      </x:c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5" t="str">
        <x:v>ORD-00029</x:v>
      </x:c>
      <x:c r="B624" s="43" t="n">
        <x:v>46104</x:v>
      </x:c>
      <x:c r="C624" s="5" t="str">
        <x:v>CUST-0196</x:v>
      </x:c>
      <x:c r="D624" s="5" t="str">
        <x:v>FD001</x:v>
      </x:c>
      <x:c r="E624" s="5" t="str">
        <x:v>White Rice &amp; Stew</x:v>
      </x:c>
      <x:c r="F624" s="5" t="str">
        <x:v>Rice Meals</x:v>
      </x:c>
      <x:c r="G624" s="44" t="n">
        <x:v>1</x:v>
      </x:c>
      <x:c r="H624" s="45" t="n">
        <x:v>1800</x:v>
      </x:c>
      <x:c r="I624" s="46" t="n">
        <x:v>0</x:v>
      </x:c>
      <x:c r="J624" s="47" t="n">
        <x:f>G624*H624*(1-I624)</x:f>
        <x:v>1800</x:v>
      </x:c>
      <x:c r="K624" s="47" t="n">
        <x:v>820</x:v>
      </x:c>
      <x:c r="L624" s="47" t="n">
        <x:f>G624*K624</x:f>
        <x:v>820</x:v>
      </x:c>
      <x:c r="M624" s="47" t="n">
        <x:f>J624-L624</x:f>
        <x:v>980</x:v>
      </x:c>
      <x:c r="N624" s="5" t="str">
        <x:v>Walk-in</x:v>
      </x:c>
      <x:c r="O624" s="5" t="str">
        <x:v>Cash</x:v>
      </x:c>
      <x:c r="P624" s="5" t="str">
        <x:v>Breakfast</x:v>
      </x:c>
      <x:c r="Q624" s="48" t="n">
        <x:v>10</x:v>
      </x:c>
      <x:c r="R624" s="5" t="n">
        <x:v>4</x:v>
      </x:c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5" t="str">
        <x:v>ORD-00214</x:v>
      </x:c>
      <x:c r="B625" s="43" t="n">
        <x:v>46104</x:v>
      </x:c>
      <x:c r="C625" s="5" t="str">
        <x:v>CUST-0302</x:v>
      </x:c>
      <x:c r="D625" s="5" t="str">
        <x:v>FD002</x:v>
      </x:c>
      <x:c r="E625" s="5" t="str">
        <x:v>Jollof Rice &amp; Chicken</x:v>
      </x:c>
      <x:c r="F625" s="5" t="str">
        <x:v>Rice Meals</x:v>
      </x:c>
      <x:c r="G625" s="44" t="n">
        <x:v>2</x:v>
      </x:c>
      <x:c r="H625" s="45" t="n">
        <x:v>2800</x:v>
      </x:c>
      <x:c r="I625" s="46" t="n">
        <x:v>0</x:v>
      </x:c>
      <x:c r="J625" s="47" t="n">
        <x:f>G625*H625*(1-I625)</x:f>
        <x:v>5600</x:v>
      </x:c>
      <x:c r="K625" s="47" t="n">
        <x:v>1450</x:v>
      </x:c>
      <x:c r="L625" s="47" t="n">
        <x:f>G625*K625</x:f>
        <x:v>2900</x:v>
      </x:c>
      <x:c r="M625" s="47" t="n">
        <x:f>J625-L625</x:f>
        <x:v>2700</x:v>
      </x:c>
      <x:c r="N625" s="5" t="str">
        <x:v>Delivery</x:v>
      </x:c>
      <x:c r="O625" s="5" t="str">
        <x:v>Transfer</x:v>
      </x:c>
      <x:c r="P625" s="5" t="str">
        <x:v>Dinner</x:v>
      </x:c>
      <x:c r="Q625" s="48" t="n">
        <x:v>18</x:v>
      </x:c>
      <x:c r="R625" s="5" t="n">
        <x:v>5</x:v>
      </x:c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5" t="str">
        <x:v>ORD-00229</x:v>
      </x:c>
      <x:c r="B626" s="43" t="n">
        <x:v>46104</x:v>
      </x:c>
      <x:c r="C626" s="5" t="str">
        <x:v>CUST-0336</x:v>
      </x:c>
      <x:c r="D626" s="5" t="str">
        <x:v>FD006</x:v>
      </x:c>
      <x:c r="E626" s="5" t="str">
        <x:v>Eba &amp; Egusi Soup</x:v>
      </x:c>
      <x:c r="F626" s="5" t="str">
        <x:v>Swallow</x:v>
      </x:c>
      <x:c r="G626" s="44" t="n">
        <x:v>1</x:v>
      </x:c>
      <x:c r="H626" s="45" t="n">
        <x:v>2600</x:v>
      </x:c>
      <x:c r="I626" s="46" t="n">
        <x:v>0</x:v>
      </x:c>
      <x:c r="J626" s="47" t="n">
        <x:f>G626*H626*(1-I626)</x:f>
        <x:v>2600</x:v>
      </x:c>
      <x:c r="K626" s="47" t="n">
        <x:v>1320</x:v>
      </x:c>
      <x:c r="L626" s="47" t="n">
        <x:f>G626*K626</x:f>
        <x:v>1320</x:v>
      </x:c>
      <x:c r="M626" s="47" t="n">
        <x:f>J626-L626</x:f>
        <x:v>1280</x:v>
      </x:c>
      <x:c r="N626" s="5" t="str">
        <x:v>Takeaway</x:v>
      </x:c>
      <x:c r="O626" s="5" t="str">
        <x:v>Cash</x:v>
      </x:c>
      <x:c r="P626" s="5" t="str">
        <x:v>Lunch</x:v>
      </x:c>
      <x:c r="Q626" s="48" t="n">
        <x:v>15</x:v>
      </x:c>
      <x:c r="R626" s="5" t="n">
        <x:v>5</x:v>
      </x:c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5" t="str">
        <x:v>ORD-00266</x:v>
      </x:c>
      <x:c r="B627" s="43" t="n">
        <x:v>46104</x:v>
      </x:c>
      <x:c r="C627" s="5" t="str">
        <x:v>CUST-0383</x:v>
      </x:c>
      <x:c r="D627" s="5" t="str">
        <x:v>FD008</x:v>
      </x:c>
      <x:c r="E627" s="5" t="str">
        <x:v>Pounded Yam &amp; Vegetable Soup</x:v>
      </x:c>
      <x:c r="F627" s="5" t="str">
        <x:v>Swallow</x:v>
      </x:c>
      <x:c r="G627" s="44" t="n">
        <x:v>3</x:v>
      </x:c>
      <x:c r="H627" s="45" t="n">
        <x:v>3200</x:v>
      </x:c>
      <x:c r="I627" s="46" t="n">
        <x:v>0</x:v>
      </x:c>
      <x:c r="J627" s="47" t="n">
        <x:f>G627*H627*(1-I627)</x:f>
        <x:v>9600</x:v>
      </x:c>
      <x:c r="K627" s="47" t="n">
        <x:v>1710</x:v>
      </x:c>
      <x:c r="L627" s="47" t="n">
        <x:f>G627*K627</x:f>
        <x:v>5130</x:v>
      </x:c>
      <x:c r="M627" s="47" t="n">
        <x:f>J627-L627</x:f>
        <x:v>4470</x:v>
      </x:c>
      <x:c r="N627" s="5" t="str">
        <x:v>Walk-in</x:v>
      </x:c>
      <x:c r="O627" s="5" t="str">
        <x:v>Transfer</x:v>
      </x:c>
      <x:c r="P627" s="5" t="str">
        <x:v>Lunch</x:v>
      </x:c>
      <x:c r="Q627" s="48" t="n">
        <x:v>12</x:v>
      </x:c>
      <x:c r="R627" s="5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5" t="str">
        <x:v>ORD-00401</x:v>
      </x:c>
      <x:c r="B628" s="43" t="n">
        <x:v>46104</x:v>
      </x:c>
      <x:c r="C628" s="5" t="str">
        <x:v>CUST-0418</x:v>
      </x:c>
      <x:c r="D628" s="5" t="str">
        <x:v>FD002</x:v>
      </x:c>
      <x:c r="E628" s="5" t="str">
        <x:v>Jollof Rice &amp; Chicken</x:v>
      </x:c>
      <x:c r="F628" s="5" t="str">
        <x:v>Rice Meals</x:v>
      </x:c>
      <x:c r="G628" s="44" t="n">
        <x:v>3</x:v>
      </x:c>
      <x:c r="H628" s="45" t="n">
        <x:v>2800</x:v>
      </x:c>
      <x:c r="I628" s="46" t="n">
        <x:v>0</x:v>
      </x:c>
      <x:c r="J628" s="47" t="n">
        <x:f>G628*H628*(1-I628)</x:f>
        <x:v>8400</x:v>
      </x:c>
      <x:c r="K628" s="47" t="n">
        <x:v>1450</x:v>
      </x:c>
      <x:c r="L628" s="47" t="n">
        <x:f>G628*K628</x:f>
        <x:v>4350</x:v>
      </x:c>
      <x:c r="M628" s="47" t="n">
        <x:f>J628-L628</x:f>
        <x:v>4050</x:v>
      </x:c>
      <x:c r="N628" s="5" t="str">
        <x:v>Takeaway</x:v>
      </x:c>
      <x:c r="O628" s="5" t="str">
        <x:v>Cash</x:v>
      </x:c>
      <x:c r="P628" s="5" t="str">
        <x:v>Lunch</x:v>
      </x:c>
      <x:c r="Q628" s="48" t="n">
        <x:v>14</x:v>
      </x:c>
      <x:c r="R628" s="5" t="n">
        <x:v>4</x:v>
      </x:c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5" t="str">
        <x:v>ORD-00413</x:v>
      </x:c>
      <x:c r="B629" s="43" t="n">
        <x:v>46104</x:v>
      </x:c>
      <x:c r="C629" s="5" t="str">
        <x:v>CUST-0150</x:v>
      </x:c>
      <x:c r="D629" s="5" t="str">
        <x:v>FD010</x:v>
      </x:c>
      <x:c r="E629" s="5" t="str">
        <x:v>Soft Drink</x:v>
      </x:c>
      <x:c r="F629" s="5" t="str">
        <x:v>Beverages</x:v>
      </x:c>
      <x:c r="G629" s="44" t="n">
        <x:v>2</x:v>
      </x:c>
      <x:c r="H629" s="45" t="n">
        <x:v>600</x:v>
      </x:c>
      <x:c r="I629" s="46" t="n">
        <x:v>0</x:v>
      </x:c>
      <x:c r="J629" s="47" t="n">
        <x:f>G629*H629*(1-I629)</x:f>
        <x:v>1200</x:v>
      </x:c>
      <x:c r="K629" s="47" t="n">
        <x:v>280</x:v>
      </x:c>
      <x:c r="L629" s="47" t="n">
        <x:f>G629*K629</x:f>
        <x:v>560</x:v>
      </x:c>
      <x:c r="M629" s="47" t="n">
        <x:f>J629-L629</x:f>
        <x:v>640</x:v>
      </x:c>
      <x:c r="N629" s="5" t="str">
        <x:v>Takeaway</x:v>
      </x:c>
      <x:c r="O629" s="5" t="str">
        <x:v>Transfer</x:v>
      </x:c>
      <x:c r="P629" s="5" t="str">
        <x:v>Lunch</x:v>
      </x:c>
      <x:c r="Q629" s="48" t="n">
        <x:v>12</x:v>
      </x:c>
      <x:c r="R629" s="5" t="n">
        <x:v>5</x:v>
      </x:c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5" t="str">
        <x:v>ORD-00608</x:v>
      </x:c>
      <x:c r="B630" s="43" t="n">
        <x:v>46104</x:v>
      </x:c>
      <x:c r="C630" s="5" t="str">
        <x:v>CUST-0028</x:v>
      </x:c>
      <x:c r="D630" s="5" t="str">
        <x:v>FD006</x:v>
      </x:c>
      <x:c r="E630" s="5" t="str">
        <x:v>Eba &amp; Egusi Soup</x:v>
      </x:c>
      <x:c r="F630" s="5" t="str">
        <x:v>Swallow</x:v>
      </x:c>
      <x:c r="G630" s="44" t="n">
        <x:v>2</x:v>
      </x:c>
      <x:c r="H630" s="45" t="n">
        <x:v>2600</x:v>
      </x:c>
      <x:c r="I630" s="46" t="n">
        <x:v>0</x:v>
      </x:c>
      <x:c r="J630" s="47" t="n">
        <x:f>G630*H630*(1-I630)</x:f>
        <x:v>5200</x:v>
      </x:c>
      <x:c r="K630" s="47" t="n">
        <x:v>1320</x:v>
      </x:c>
      <x:c r="L630" s="47" t="n">
        <x:f>G630*K630</x:f>
        <x:v>2640</x:v>
      </x:c>
      <x:c r="M630" s="47" t="n">
        <x:f>J630-L630</x:f>
        <x:v>2560</x:v>
      </x:c>
      <x:c r="N630" s="5" t="str">
        <x:v>Walk-in</x:v>
      </x:c>
      <x:c r="O630" s="5" t="str">
        <x:v>Cash</x:v>
      </x:c>
      <x:c r="P630" s="5" t="str">
        <x:v>Breakfast</x:v>
      </x:c>
      <x:c r="Q630" s="48" t="n">
        <x:v>10</x:v>
      </x:c>
      <x:c r="R630" s="5" t="n">
        <x:v>3</x:v>
      </x:c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5" t="str">
        <x:v>ORD-00939</x:v>
      </x:c>
      <x:c r="B631" s="43" t="n">
        <x:v>46104</x:v>
      </x:c>
      <x:c r="C631" s="5" t="str">
        <x:v>CUST-0499</x:v>
      </x:c>
      <x:c r="D631" s="5" t="str">
        <x:v>FD002</x:v>
      </x:c>
      <x:c r="E631" s="5" t="str">
        <x:v>Jollof Rice &amp; Chicken</x:v>
      </x:c>
      <x:c r="F631" s="5" t="str">
        <x:v>Rice Meals</x:v>
      </x:c>
      <x:c r="G631" s="44" t="n">
        <x:v>3</x:v>
      </x:c>
      <x:c r="H631" s="45" t="n">
        <x:v>2800</x:v>
      </x:c>
      <x:c r="I631" s="46" t="n">
        <x:v>0.05</x:v>
      </x:c>
      <x:c r="J631" s="47" t="n">
        <x:f>G631*H631*(1-I631)</x:f>
        <x:v>7980</x:v>
      </x:c>
      <x:c r="K631" s="47" t="n">
        <x:v>1450</x:v>
      </x:c>
      <x:c r="L631" s="47" t="n">
        <x:f>G631*K631</x:f>
        <x:v>4350</x:v>
      </x:c>
      <x:c r="M631" s="47" t="n">
        <x:f>J631-L631</x:f>
        <x:v>3630</x:v>
      </x:c>
      <x:c r="N631" s="5" t="str">
        <x:v>Walk-in</x:v>
      </x:c>
      <x:c r="O631" s="5" t="str">
        <x:v>Transfer</x:v>
      </x:c>
      <x:c r="P631" s="5" t="str">
        <x:v>Lunch</x:v>
      </x:c>
      <x:c r="Q631" s="48" t="n">
        <x:v>14</x:v>
      </x:c>
      <x:c r="R631" s="5" t="n">
        <x:v>5</x:v>
      </x:c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5" t="str">
        <x:v>ORD-01421</x:v>
      </x:c>
      <x:c r="B632" s="43" t="n">
        <x:v>46104</x:v>
      </x:c>
      <x:c r="C632" s="5" t="str">
        <x:v>CUST-0415</x:v>
      </x:c>
      <x:c r="D632" s="5" t="str">
        <x:v>FD002</x:v>
      </x:c>
      <x:c r="E632" s="5" t="str">
        <x:v>Jollof Rice &amp; Chicken</x:v>
      </x:c>
      <x:c r="F632" s="5" t="str">
        <x:v>Rice Meals</x:v>
      </x:c>
      <x:c r="G632" s="44" t="n">
        <x:v>2</x:v>
      </x:c>
      <x:c r="H632" s="45" t="n">
        <x:v>2800</x:v>
      </x:c>
      <x:c r="I632" s="46" t="n">
        <x:v>0.05</x:v>
      </x:c>
      <x:c r="J632" s="47" t="n">
        <x:f>G632*H632*(1-I632)</x:f>
        <x:v>5320</x:v>
      </x:c>
      <x:c r="K632" s="47" t="n">
        <x:v>1450</x:v>
      </x:c>
      <x:c r="L632" s="47" t="n">
        <x:f>G632*K632</x:f>
        <x:v>2900</x:v>
      </x:c>
      <x:c r="M632" s="47" t="n">
        <x:f>J632-L632</x:f>
        <x:v>2420</x:v>
      </x:c>
      <x:c r="N632" s="5" t="str">
        <x:v>Walk-in</x:v>
      </x:c>
      <x:c r="O632" s="5" t="str">
        <x:v>Cash</x:v>
      </x:c>
      <x:c r="P632" s="5" t="str">
        <x:v>Dinner</x:v>
      </x:c>
      <x:c r="Q632" s="48" t="n">
        <x:v>18</x:v>
      </x:c>
      <x:c r="R632" s="5" t="n">
        <x:v>4</x:v>
      </x:c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5" t="str">
        <x:v>ORD-01725</x:v>
      </x:c>
      <x:c r="B633" s="43" t="n">
        <x:v>46104</x:v>
      </x:c>
      <x:c r="C633" s="5" t="str">
        <x:v>CUST-0415</x:v>
      </x:c>
      <x:c r="D633" s="5" t="str">
        <x:v>FD001</x:v>
      </x:c>
      <x:c r="E633" s="5" t="str">
        <x:v>White Rice &amp; Stew</x:v>
      </x:c>
      <x:c r="F633" s="5" t="str">
        <x:v>Rice Meals</x:v>
      </x:c>
      <x:c r="G633" s="44" t="n">
        <x:v>1</x:v>
      </x:c>
      <x:c r="H633" s="45" t="n">
        <x:v>1800</x:v>
      </x:c>
      <x:c r="I633" s="46" t="n">
        <x:v>0</x:v>
      </x:c>
      <x:c r="J633" s="47" t="n">
        <x:f>G633*H633*(1-I633)</x:f>
        <x:v>1800</x:v>
      </x:c>
      <x:c r="K633" s="47" t="n">
        <x:v>820</x:v>
      </x:c>
      <x:c r="L633" s="47" t="n">
        <x:f>G633*K633</x:f>
        <x:v>820</x:v>
      </x:c>
      <x:c r="M633" s="47" t="n">
        <x:f>J633-L633</x:f>
        <x:v>980</x:v>
      </x:c>
      <x:c r="N633" s="5" t="str">
        <x:v>Walk-in</x:v>
      </x:c>
      <x:c r="O633" s="5" t="str">
        <x:v>Transfer</x:v>
      </x:c>
      <x:c r="P633" s="5" t="str">
        <x:v>Breakfast</x:v>
      </x:c>
      <x:c r="Q633" s="48" t="n">
        <x:v>9</x:v>
      </x:c>
      <x:c r="R633" s="5" t="n">
        <x:v>5</x:v>
      </x:c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5" t="str">
        <x:v>ORD-00227</x:v>
      </x:c>
      <x:c r="B634" s="43" t="n">
        <x:v>46105</x:v>
      </x:c>
      <x:c r="C634" s="5" t="str">
        <x:v>CUST-0142</x:v>
      </x:c>
      <x:c r="D634" s="5" t="str">
        <x:v>FD003</x:v>
      </x:c>
      <x:c r="E634" s="5" t="str">
        <x:v>Fried Rice &amp; Chicken</x:v>
      </x:c>
      <x:c r="F634" s="5" t="str">
        <x:v>Rice Meals</x:v>
      </x:c>
      <x:c r="G634" s="44" t="n">
        <x:v>2</x:v>
      </x:c>
      <x:c r="H634" s="45" t="n">
        <x:v>3000</x:v>
      </x:c>
      <x:c r="I634" s="46" t="n">
        <x:v>0</x:v>
      </x:c>
      <x:c r="J634" s="47" t="n">
        <x:f>G634*H634*(1-I634)</x:f>
        <x:v>6000</x:v>
      </x:c>
      <x:c r="K634" s="47" t="n">
        <x:v>1580</x:v>
      </x:c>
      <x:c r="L634" s="47" t="n">
        <x:f>G634*K634</x:f>
        <x:v>3160</x:v>
      </x:c>
      <x:c r="M634" s="47" t="n">
        <x:f>J634-L634</x:f>
        <x:v>2840</x:v>
      </x:c>
      <x:c r="N634" s="5" t="str">
        <x:v>Walk-in</x:v>
      </x:c>
      <x:c r="O634" s="5" t="str">
        <x:v>Cash</x:v>
      </x:c>
      <x:c r="P634" s="5" t="str">
        <x:v>Breakfast</x:v>
      </x:c>
      <x:c r="Q634" s="48" t="n">
        <x:v>8</x:v>
      </x:c>
      <x:c r="R634" s="5" t="n">
        <x:v>4</x:v>
      </x:c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5" t="str">
        <x:v>ORD-00492</x:v>
      </x:c>
      <x:c r="B635" s="43" t="n">
        <x:v>46105</x:v>
      </x:c>
      <x:c r="C635" s="5" t="str">
        <x:v>CUST-0305</x:v>
      </x:c>
      <x:c r="D635" s="5" t="str">
        <x:v>FD006</x:v>
      </x:c>
      <x:c r="E635" s="5" t="str">
        <x:v>Eba &amp; Egusi Soup</x:v>
      </x:c>
      <x:c r="F635" s="5" t="str">
        <x:v>Swallow</x:v>
      </x:c>
      <x:c r="G635" s="44" t="n">
        <x:v>2</x:v>
      </x:c>
      <x:c r="H635" s="45" t="n">
        <x:v>2600</x:v>
      </x:c>
      <x:c r="I635" s="46" t="n">
        <x:v>0.05</x:v>
      </x:c>
      <x:c r="J635" s="47" t="n">
        <x:f>G635*H635*(1-I635)</x:f>
        <x:v>4940</x:v>
      </x:c>
      <x:c r="K635" s="47" t="n">
        <x:v>1320</x:v>
      </x:c>
      <x:c r="L635" s="47" t="n">
        <x:f>G635*K635</x:f>
        <x:v>2640</x:v>
      </x:c>
      <x:c r="M635" s="47" t="n">
        <x:f>J635-L635</x:f>
        <x:v>2300</x:v>
      </x:c>
      <x:c r="N635" s="5" t="str">
        <x:v>Walk-in</x:v>
      </x:c>
      <x:c r="O635" s="5" t="str">
        <x:v>POS</x:v>
      </x:c>
      <x:c r="P635" s="5" t="str">
        <x:v>Breakfast</x:v>
      </x:c>
      <x:c r="Q635" s="48" t="n">
        <x:v>8</x:v>
      </x:c>
      <x:c r="R635" s="5" t="n">
        <x:v>5</x:v>
      </x:c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5" t="str">
        <x:v>ORD-00982</x:v>
      </x:c>
      <x:c r="B636" s="43" t="n">
        <x:v>46105</x:v>
      </x:c>
      <x:c r="C636" s="5" t="str">
        <x:v>CUST-0177</x:v>
      </x:c>
      <x:c r="D636" s="5" t="str">
        <x:v>FD003</x:v>
      </x:c>
      <x:c r="E636" s="5" t="str">
        <x:v>Fried Rice &amp; Chicken</x:v>
      </x:c>
      <x:c r="F636" s="5" t="str">
        <x:v>Rice Meals</x:v>
      </x:c>
      <x:c r="G636" s="44" t="n">
        <x:v>3</x:v>
      </x:c>
      <x:c r="H636" s="45" t="n">
        <x:v>3000</x:v>
      </x:c>
      <x:c r="I636" s="46" t="n">
        <x:v>0</x:v>
      </x:c>
      <x:c r="J636" s="47" t="n">
        <x:f>G636*H636*(1-I636)</x:f>
        <x:v>9000</x:v>
      </x:c>
      <x:c r="K636" s="47" t="n">
        <x:v>1580</x:v>
      </x:c>
      <x:c r="L636" s="47" t="n">
        <x:f>G636*K636</x:f>
        <x:v>4740</x:v>
      </x:c>
      <x:c r="M636" s="47" t="n">
        <x:f>J636-L636</x:f>
        <x:v>4260</x:v>
      </x:c>
      <x:c r="N636" s="5" t="str">
        <x:v>Delivery</x:v>
      </x:c>
      <x:c r="O636" s="5" t="str">
        <x:v>Cash</x:v>
      </x:c>
      <x:c r="P636" s="5" t="str">
        <x:v>Dinner</x:v>
      </x:c>
      <x:c r="Q636" s="48" t="n">
        <x:v>18</x:v>
      </x:c>
      <x:c r="R636" s="5" t="n">
        <x:v>5</x:v>
      </x:c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5" t="str">
        <x:v>ORD-01258</x:v>
      </x:c>
      <x:c r="B637" s="43" t="n">
        <x:v>46105</x:v>
      </x:c>
      <x:c r="C637" s="5" t="str">
        <x:v>CUST-0184</x:v>
      </x:c>
      <x:c r="D637" s="5" t="str">
        <x:v>FD007</x:v>
      </x:c>
      <x:c r="E637" s="5" t="str">
        <x:v>Amala &amp; Ewedu</x:v>
      </x:c>
      <x:c r="F637" s="5" t="str">
        <x:v>Swallow</x:v>
      </x:c>
      <x:c r="G637" s="44" t="n">
        <x:v>2</x:v>
      </x:c>
      <x:c r="H637" s="45" t="n">
        <x:v>2500</x:v>
      </x:c>
      <x:c r="I637" s="46" t="n">
        <x:v>0</x:v>
      </x:c>
      <x:c r="J637" s="47" t="n">
        <x:f>G637*H637*(1-I637)</x:f>
        <x:v>5000</x:v>
      </x:c>
      <x:c r="K637" s="47" t="n">
        <x:v>1250</x:v>
      </x:c>
      <x:c r="L637" s="47" t="n">
        <x:f>G637*K637</x:f>
        <x:v>2500</x:v>
      </x:c>
      <x:c r="M637" s="47" t="n">
        <x:f>J637-L637</x:f>
        <x:v>2500</x:v>
      </x:c>
      <x:c r="N637" s="5" t="str">
        <x:v>Walk-in</x:v>
      </x:c>
      <x:c r="O637" s="5" t="str">
        <x:v>POS</x:v>
      </x:c>
      <x:c r="P637" s="5" t="str">
        <x:v>Lunch</x:v>
      </x:c>
      <x:c r="Q637" s="48" t="n">
        <x:v>11</x:v>
      </x:c>
      <x:c r="R637" s="5" t="n">
        <x:v>4</x:v>
      </x:c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5" t="str">
        <x:v>ORD-01704</x:v>
      </x:c>
      <x:c r="B638" s="43" t="n">
        <x:v>46105</x:v>
      </x:c>
      <x:c r="C638" s="5" t="str">
        <x:v>CUST-0091</x:v>
      </x:c>
      <x:c r="D638" s="5" t="str">
        <x:v>FD001</x:v>
      </x:c>
      <x:c r="E638" s="5" t="str">
        <x:v>White Rice &amp; Stew</x:v>
      </x:c>
      <x:c r="F638" s="5" t="str">
        <x:v>Rice Meals</x:v>
      </x:c>
      <x:c r="G638" s="44" t="n">
        <x:v>2</x:v>
      </x:c>
      <x:c r="H638" s="45" t="n">
        <x:v>1800</x:v>
      </x:c>
      <x:c r="I638" s="46" t="n">
        <x:v>0</x:v>
      </x:c>
      <x:c r="J638" s="47" t="n">
        <x:f>G638*H638*(1-I638)</x:f>
        <x:v>3600</x:v>
      </x:c>
      <x:c r="K638" s="47" t="n">
        <x:v>820</x:v>
      </x:c>
      <x:c r="L638" s="47" t="n">
        <x:f>G638*K638</x:f>
        <x:v>1640</x:v>
      </x:c>
      <x:c r="M638" s="47" t="n">
        <x:f>J638-L638</x:f>
        <x:v>1960</x:v>
      </x:c>
      <x:c r="N638" s="5" t="str">
        <x:v>Delivery</x:v>
      </x:c>
      <x:c r="O638" s="5" t="str">
        <x:v>Transfer</x:v>
      </x:c>
      <x:c r="P638" s="5" t="str">
        <x:v>Lunch</x:v>
      </x:c>
      <x:c r="Q638" s="48" t="n">
        <x:v>11</x:v>
      </x:c>
      <x:c r="R638" s="5" t="n">
        <x:v>5</x:v>
      </x:c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5" t="str">
        <x:v>ORD-01776</x:v>
      </x:c>
      <x:c r="B639" s="43" t="n">
        <x:v>46105</x:v>
      </x:c>
      <x:c r="C639" s="5" t="str">
        <x:v>CUST-0120</x:v>
      </x:c>
      <x:c r="D639" s="5" t="str">
        <x:v>FD002</x:v>
      </x:c>
      <x:c r="E639" s="5" t="str">
        <x:v>Jollof Rice &amp; Chicken</x:v>
      </x:c>
      <x:c r="F639" s="5" t="str">
        <x:v>Rice Meals</x:v>
      </x:c>
      <x:c r="G639" s="44" t="n">
        <x:v>3</x:v>
      </x:c>
      <x:c r="H639" s="45" t="n">
        <x:v>2800</x:v>
      </x:c>
      <x:c r="I639" s="46" t="n">
        <x:v>0</x:v>
      </x:c>
      <x:c r="J639" s="47" t="n">
        <x:f>G639*H639*(1-I639)</x:f>
        <x:v>8400</x:v>
      </x:c>
      <x:c r="K639" s="47" t="n">
        <x:v>1450</x:v>
      </x:c>
      <x:c r="L639" s="47" t="n">
        <x:f>G639*K639</x:f>
        <x:v>4350</x:v>
      </x:c>
      <x:c r="M639" s="47" t="n">
        <x:f>J639-L639</x:f>
        <x:v>4050</x:v>
      </x:c>
      <x:c r="N639" s="5" t="str">
        <x:v>Takeaway</x:v>
      </x:c>
      <x:c r="O639" s="5" t="str">
        <x:v>Cash</x:v>
      </x:c>
      <x:c r="P639" s="5" t="str">
        <x:v>Lunch</x:v>
      </x:c>
      <x:c r="Q639" s="48" t="n">
        <x:v>12</x:v>
      </x:c>
      <x:c r="R639" s="5" t="n">
        <x:v>5</x:v>
      </x:c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5" t="str">
        <x:v>ORD-00473</x:v>
      </x:c>
      <x:c r="B640" s="43" t="n">
        <x:v>46106</x:v>
      </x:c>
      <x:c r="C640" s="5" t="str">
        <x:v>CUST-0102</x:v>
      </x:c>
      <x:c r="D640" s="5" t="str">
        <x:v>FD009</x:v>
      </x:c>
      <x:c r="E640" s="5" t="str">
        <x:v>Moi Moi</x:v>
      </x:c>
      <x:c r="F640" s="5" t="str">
        <x:v>Sides</x:v>
      </x:c>
      <x:c r="G640" s="44" t="n">
        <x:v>2</x:v>
      </x:c>
      <x:c r="H640" s="45" t="n">
        <x:v>900</x:v>
      </x:c>
      <x:c r="I640" s="46" t="n">
        <x:v>0</x:v>
      </x:c>
      <x:c r="J640" s="47" t="n">
        <x:f>G640*H640*(1-I640)</x:f>
        <x:v>1800</x:v>
      </x:c>
      <x:c r="K640" s="47" t="n">
        <x:v>380</x:v>
      </x:c>
      <x:c r="L640" s="47" t="n">
        <x:f>G640*K640</x:f>
        <x:v>760</x:v>
      </x:c>
      <x:c r="M640" s="47" t="n">
        <x:f>J640-L640</x:f>
        <x:v>1040</x:v>
      </x:c>
      <x:c r="N640" s="5" t="str">
        <x:v>Takeaway</x:v>
      </x:c>
      <x:c r="O640" s="5" t="str">
        <x:v>POS</x:v>
      </x:c>
      <x:c r="P640" s="5" t="str">
        <x:v>Lunch</x:v>
      </x:c>
      <x:c r="Q640" s="48" t="n">
        <x:v>12</x:v>
      </x:c>
      <x:c r="R640" s="5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5" t="str">
        <x:v>ORD-00549</x:v>
      </x:c>
      <x:c r="B641" s="43" t="n">
        <x:v>46106</x:v>
      </x:c>
      <x:c r="C641" s="5" t="str">
        <x:v>CUST-0150</x:v>
      </x:c>
      <x:c r="D641" s="5" t="str">
        <x:v>FD002</x:v>
      </x:c>
      <x:c r="E641" s="5" t="str">
        <x:v>Jollof Rice &amp; Chicken</x:v>
      </x:c>
      <x:c r="F641" s="5" t="str">
        <x:v>Rice Meals</x:v>
      </x:c>
      <x:c r="G641" s="44" t="n">
        <x:v>4</x:v>
      </x:c>
      <x:c r="H641" s="45" t="n">
        <x:v>2800</x:v>
      </x:c>
      <x:c r="I641" s="46" t="n">
        <x:v>0</x:v>
      </x:c>
      <x:c r="J641" s="47" t="n">
        <x:f>G641*H641*(1-I641)</x:f>
        <x:v>11200</x:v>
      </x:c>
      <x:c r="K641" s="47" t="n">
        <x:v>1450</x:v>
      </x:c>
      <x:c r="L641" s="47" t="n">
        <x:f>G641*K641</x:f>
        <x:v>5800</x:v>
      </x:c>
      <x:c r="M641" s="47" t="n">
        <x:f>J641-L641</x:f>
        <x:v>5400</x:v>
      </x:c>
      <x:c r="N641" s="5" t="str">
        <x:v>Takeaway</x:v>
      </x:c>
      <x:c r="O641" s="5" t="str">
        <x:v>Transfer</x:v>
      </x:c>
      <x:c r="P641" s="5" t="str">
        <x:v>Lunch</x:v>
      </x:c>
      <x:c r="Q641" s="48" t="n">
        <x:v>12</x:v>
      </x:c>
      <x:c r="R641" s="5" t="n">
        <x:v>4</x:v>
      </x:c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5" t="str">
        <x:v>ORD-00743</x:v>
      </x:c>
      <x:c r="B642" s="43" t="n">
        <x:v>46106</x:v>
      </x:c>
      <x:c r="C642" s="5" t="str">
        <x:v>CUST-0328</x:v>
      </x:c>
      <x:c r="D642" s="5" t="str">
        <x:v>FD003</x:v>
      </x:c>
      <x:c r="E642" s="5" t="str">
        <x:v>Fried Rice &amp; Chicken</x:v>
      </x:c>
      <x:c r="F642" s="5" t="str">
        <x:v>Rice Meals</x:v>
      </x:c>
      <x:c r="G642" s="44" t="n">
        <x:v>3</x:v>
      </x:c>
      <x:c r="H642" s="45" t="n">
        <x:v>3000</x:v>
      </x:c>
      <x:c r="I642" s="46" t="n">
        <x:v>0</x:v>
      </x:c>
      <x:c r="J642" s="47" t="n">
        <x:f>G642*H642*(1-I642)</x:f>
        <x:v>9000</x:v>
      </x:c>
      <x:c r="K642" s="47" t="n">
        <x:v>1580</x:v>
      </x:c>
      <x:c r="L642" s="47" t="n">
        <x:f>G642*K642</x:f>
        <x:v>4740</x:v>
      </x:c>
      <x:c r="M642" s="47" t="n">
        <x:f>J642-L642</x:f>
        <x:v>4260</x:v>
      </x:c>
      <x:c r="N642" s="5" t="str">
        <x:v>Walk-in</x:v>
      </x:c>
      <x:c r="O642" s="5" t="str">
        <x:v>Cash</x:v>
      </x:c>
      <x:c r="P642" s="5" t="str">
        <x:v>Lunch</x:v>
      </x:c>
      <x:c r="Q642" s="48" t="n">
        <x:v>15</x:v>
      </x:c>
      <x:c r="R642" s="5" t="n">
        <x:v>4</x:v>
      </x:c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5" t="str">
        <x:v>ORD-01086</x:v>
      </x:c>
      <x:c r="B643" s="43" t="n">
        <x:v>46106</x:v>
      </x:c>
      <x:c r="C643" s="5" t="str">
        <x:v>CUST-0071</x:v>
      </x:c>
      <x:c r="D643" s="5" t="str">
        <x:v>FD001</x:v>
      </x:c>
      <x:c r="E643" s="5" t="str">
        <x:v>White Rice &amp; Stew</x:v>
      </x:c>
      <x:c r="F643" s="5" t="str">
        <x:v>Rice Meals</x:v>
      </x:c>
      <x:c r="G643" s="44" t="n">
        <x:v>2</x:v>
      </x:c>
      <x:c r="H643" s="45" t="n">
        <x:v>1800</x:v>
      </x:c>
      <x:c r="I643" s="46" t="n">
        <x:v>0.05</x:v>
      </x:c>
      <x:c r="J643" s="47" t="n">
        <x:f>G643*H643*(1-I643)</x:f>
        <x:v>3420</x:v>
      </x:c>
      <x:c r="K643" s="47" t="n">
        <x:v>820</x:v>
      </x:c>
      <x:c r="L643" s="47" t="n">
        <x:f>G643*K643</x:f>
        <x:v>1640</x:v>
      </x:c>
      <x:c r="M643" s="47" t="n">
        <x:f>J643-L643</x:f>
        <x:v>1780</x:v>
      </x:c>
      <x:c r="N643" s="5" t="str">
        <x:v>Walk-in</x:v>
      </x:c>
      <x:c r="O643" s="5" t="str">
        <x:v>POS</x:v>
      </x:c>
      <x:c r="P643" s="5" t="str">
        <x:v>Lunch</x:v>
      </x:c>
      <x:c r="Q643" s="48" t="n">
        <x:v>12</x:v>
      </x:c>
      <x:c r="R643" s="5" t="n">
        <x:v>3</x:v>
      </x:c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5" t="str">
        <x:v>ORD-01200</x:v>
      </x:c>
      <x:c r="B644" s="43" t="n">
        <x:v>46106</x:v>
      </x:c>
      <x:c r="C644" s="5" t="str">
        <x:v>CUST-0323</x:v>
      </x:c>
      <x:c r="D644" s="5" t="str">
        <x:v>FD008</x:v>
      </x:c>
      <x:c r="E644" s="5" t="str">
        <x:v>Pounded Yam &amp; Vegetable Soup</x:v>
      </x:c>
      <x:c r="F644" s="5" t="str">
        <x:v>Swallow</x:v>
      </x:c>
      <x:c r="G644" s="44" t="n">
        <x:v>2</x:v>
      </x:c>
      <x:c r="H644" s="45" t="n">
        <x:v>3200</x:v>
      </x:c>
      <x:c r="I644" s="46" t="n">
        <x:v>0</x:v>
      </x:c>
      <x:c r="J644" s="47" t="n">
        <x:f>G644*H644*(1-I644)</x:f>
        <x:v>6400</x:v>
      </x:c>
      <x:c r="K644" s="47" t="n">
        <x:v>1710</x:v>
      </x:c>
      <x:c r="L644" s="47" t="n">
        <x:f>G644*K644</x:f>
        <x:v>3420</x:v>
      </x:c>
      <x:c r="M644" s="47" t="n">
        <x:f>J644-L644</x:f>
        <x:v>2980</x:v>
      </x:c>
      <x:c r="N644" s="5" t="str">
        <x:v>Walk-in</x:v>
      </x:c>
      <x:c r="O644" s="5" t="str">
        <x:v>Transfer</x:v>
      </x:c>
      <x:c r="P644" s="5" t="str">
        <x:v>Dinner</x:v>
      </x:c>
      <x:c r="Q644" s="48" t="n">
        <x:v>17</x:v>
      </x:c>
      <x:c r="R644" s="5" t="n">
        <x:v>5</x:v>
      </x:c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5" t="str">
        <x:v>ORD-01299</x:v>
      </x:c>
      <x:c r="B645" s="43" t="n">
        <x:v>46106</x:v>
      </x:c>
      <x:c r="C645" s="5" t="str">
        <x:v>CUST-0320</x:v>
      </x:c>
      <x:c r="D645" s="5" t="str">
        <x:v>FD002</x:v>
      </x:c>
      <x:c r="E645" s="5" t="str">
        <x:v>Jollof Rice &amp; Chicken</x:v>
      </x:c>
      <x:c r="F645" s="5" t="str">
        <x:v>Rice Meals</x:v>
      </x:c>
      <x:c r="G645" s="44" t="n">
        <x:v>2</x:v>
      </x:c>
      <x:c r="H645" s="45" t="n">
        <x:v>2800</x:v>
      </x:c>
      <x:c r="I645" s="46" t="n">
        <x:v>0</x:v>
      </x:c>
      <x:c r="J645" s="47" t="n">
        <x:f>G645*H645*(1-I645)</x:f>
        <x:v>5600</x:v>
      </x:c>
      <x:c r="K645" s="47" t="n">
        <x:v>1450</x:v>
      </x:c>
      <x:c r="L645" s="47" t="n">
        <x:f>G645*K645</x:f>
        <x:v>2900</x:v>
      </x:c>
      <x:c r="M645" s="47" t="n">
        <x:f>J645-L645</x:f>
        <x:v>2700</x:v>
      </x:c>
      <x:c r="N645" s="5" t="str">
        <x:v>Walk-in</x:v>
      </x:c>
      <x:c r="O645" s="5" t="str">
        <x:v>Transfer</x:v>
      </x:c>
      <x:c r="P645" s="5" t="str">
        <x:v>Lunch</x:v>
      </x:c>
      <x:c r="Q645" s="48" t="n">
        <x:v>13</x:v>
      </x:c>
      <x:c r="R645" s="5" t="n">
        <x:v>4</x:v>
      </x:c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5" t="str">
        <x:v>ORD-01759</x:v>
      </x:c>
      <x:c r="B646" s="43" t="n">
        <x:v>46106</x:v>
      </x:c>
      <x:c r="C646" s="5" t="str">
        <x:v>CUST-0562</x:v>
      </x:c>
      <x:c r="D646" s="5" t="str">
        <x:v>FD003</x:v>
      </x:c>
      <x:c r="E646" s="5" t="str">
        <x:v>Fried Rice &amp; Chicken</x:v>
      </x:c>
      <x:c r="F646" s="5" t="str">
        <x:v>Rice Meals</x:v>
      </x:c>
      <x:c r="G646" s="44" t="n">
        <x:v>1</x:v>
      </x:c>
      <x:c r="H646" s="45" t="n">
        <x:v>3000</x:v>
      </x:c>
      <x:c r="I646" s="46" t="n">
        <x:v>0</x:v>
      </x:c>
      <x:c r="J646" s="47" t="n">
        <x:f>G646*H646*(1-I646)</x:f>
        <x:v>3000</x:v>
      </x:c>
      <x:c r="K646" s="47" t="n">
        <x:v>1580</x:v>
      </x:c>
      <x:c r="L646" s="47" t="n">
        <x:f>G646*K646</x:f>
        <x:v>1580</x:v>
      </x:c>
      <x:c r="M646" s="47" t="n">
        <x:f>J646-L646</x:f>
        <x:v>1420</x:v>
      </x:c>
      <x:c r="N646" s="5" t="str">
        <x:v>Takeaway</x:v>
      </x:c>
      <x:c r="O646" s="5" t="str">
        <x:v>Cash</x:v>
      </x:c>
      <x:c r="P646" s="5" t="str">
        <x:v>Lunch</x:v>
      </x:c>
      <x:c r="Q646" s="48" t="n">
        <x:v>12</x:v>
      </x:c>
      <x:c r="R646" s="5" t="n">
        <x:v>4</x:v>
      </x:c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5" t="str">
        <x:v>ORD-00087</x:v>
      </x:c>
      <x:c r="B647" s="43" t="n">
        <x:v>46107</x:v>
      </x:c>
      <x:c r="C647" s="5" t="str">
        <x:v>CUST-0099</x:v>
      </x:c>
      <x:c r="D647" s="5" t="str">
        <x:v>FD002</x:v>
      </x:c>
      <x:c r="E647" s="5" t="str">
        <x:v>Jollof Rice &amp; Chicken</x:v>
      </x:c>
      <x:c r="F647" s="5" t="str">
        <x:v>Rice Meals</x:v>
      </x:c>
      <x:c r="G647" s="44" t="n">
        <x:v>4</x:v>
      </x:c>
      <x:c r="H647" s="45" t="n">
        <x:v>2800</x:v>
      </x:c>
      <x:c r="I647" s="46" t="n">
        <x:v>0</x:v>
      </x:c>
      <x:c r="J647" s="47" t="n">
        <x:f>G647*H647*(1-I647)</x:f>
        <x:v>11200</x:v>
      </x:c>
      <x:c r="K647" s="47" t="n">
        <x:v>1450</x:v>
      </x:c>
      <x:c r="L647" s="47" t="n">
        <x:f>G647*K647</x:f>
        <x:v>5800</x:v>
      </x:c>
      <x:c r="M647" s="47" t="n">
        <x:f>J647-L647</x:f>
        <x:v>5400</x:v>
      </x:c>
      <x:c r="N647" s="5" t="str">
        <x:v>Takeaway</x:v>
      </x:c>
      <x:c r="O647" s="5" t="str">
        <x:v>POS</x:v>
      </x:c>
      <x:c r="P647" s="5" t="str">
        <x:v>Lunch</x:v>
      </x:c>
      <x:c r="Q647" s="48" t="n">
        <x:v>15</x:v>
      </x:c>
      <x:c r="R647" s="5" t="n">
        <x:v>4</x:v>
      </x:c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5" t="str">
        <x:v>ORD-00367</x:v>
      </x:c>
      <x:c r="B648" s="43" t="n">
        <x:v>46107</x:v>
      </x:c>
      <x:c r="C648" s="5" t="str">
        <x:v>CUST-0491</x:v>
      </x:c>
      <x:c r="D648" s="5" t="str">
        <x:v>FD011</x:v>
      </x:c>
      <x:c r="E648" s="5" t="str">
        <x:v>Bottled Water</x:v>
      </x:c>
      <x:c r="F648" s="5" t="str">
        <x:v>Beverages</x:v>
      </x:c>
      <x:c r="G648" s="44" t="n">
        <x:v>2</x:v>
      </x:c>
      <x:c r="H648" s="45" t="n">
        <x:v>300</x:v>
      </x:c>
      <x:c r="I648" s="46" t="n">
        <x:v>0</x:v>
      </x:c>
      <x:c r="J648" s="47" t="n">
        <x:f>G648*H648*(1-I648)</x:f>
        <x:v>600</x:v>
      </x:c>
      <x:c r="K648" s="47" t="n">
        <x:v>120</x:v>
      </x:c>
      <x:c r="L648" s="47" t="n">
        <x:f>G648*K648</x:f>
        <x:v>240</x:v>
      </x:c>
      <x:c r="M648" s="47" t="n">
        <x:f>J648-L648</x:f>
        <x:v>360</x:v>
      </x:c>
      <x:c r="N648" s="5" t="str">
        <x:v>Takeaway</x:v>
      </x:c>
      <x:c r="O648" s="5" t="str">
        <x:v>Cash</x:v>
      </x:c>
      <x:c r="P648" s="5" t="str">
        <x:v>Breakfast</x:v>
      </x:c>
      <x:c r="Q648" s="48" t="n">
        <x:v>8</x:v>
      </x:c>
      <x:c r="R648" s="5" t="n">
        <x:v>4</x:v>
      </x:c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5" t="str">
        <x:v>ORD-00603</x:v>
      </x:c>
      <x:c r="B649" s="43" t="n">
        <x:v>46107</x:v>
      </x:c>
      <x:c r="C649" s="5" t="str">
        <x:v>CUST-0469</x:v>
      </x:c>
      <x:c r="D649" s="5" t="str">
        <x:v>FD003</x:v>
      </x:c>
      <x:c r="E649" s="5" t="str">
        <x:v>Fried Rice &amp; Chicken</x:v>
      </x:c>
      <x:c r="F649" s="5" t="str">
        <x:v>Rice Meals</x:v>
      </x:c>
      <x:c r="G649" s="44" t="n">
        <x:v>2</x:v>
      </x:c>
      <x:c r="H649" s="45" t="n">
        <x:v>3000</x:v>
      </x:c>
      <x:c r="I649" s="46" t="n">
        <x:v>0.05</x:v>
      </x:c>
      <x:c r="J649" s="47" t="n">
        <x:f>G649*H649*(1-I649)</x:f>
        <x:v>5700</x:v>
      </x:c>
      <x:c r="K649" s="47" t="n">
        <x:v>1580</x:v>
      </x:c>
      <x:c r="L649" s="47" t="n">
        <x:f>G649*K649</x:f>
        <x:v>3160</x:v>
      </x:c>
      <x:c r="M649" s="47" t="n">
        <x:f>J649-L649</x:f>
        <x:v>2540</x:v>
      </x:c>
      <x:c r="N649" s="5" t="str">
        <x:v>Takeaway</x:v>
      </x:c>
      <x:c r="O649" s="5" t="str">
        <x:v>POS</x:v>
      </x:c>
      <x:c r="P649" s="5" t="str">
        <x:v>Dinner</x:v>
      </x:c>
      <x:c r="Q649" s="48" t="n">
        <x:v>16</x:v>
      </x:c>
      <x:c r="R649" s="5" t="n">
        <x:v>4</x:v>
      </x:c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5" t="str">
        <x:v>ORD-00645</x:v>
      </x:c>
      <x:c r="B650" s="43" t="n">
        <x:v>46107</x:v>
      </x:c>
      <x:c r="C650" s="5" t="str">
        <x:v>CUST-0222</x:v>
      </x:c>
      <x:c r="D650" s="5" t="str">
        <x:v>FD003</x:v>
      </x:c>
      <x:c r="E650" s="5" t="str">
        <x:v>Fried Rice &amp; Chicken</x:v>
      </x:c>
      <x:c r="F650" s="5" t="str">
        <x:v>Rice Meals</x:v>
      </x:c>
      <x:c r="G650" s="44" t="n">
        <x:v>4</x:v>
      </x:c>
      <x:c r="H650" s="45" t="n">
        <x:v>3000</x:v>
      </x:c>
      <x:c r="I650" s="46" t="n">
        <x:v>0</x:v>
      </x:c>
      <x:c r="J650" s="47" t="n">
        <x:f>G650*H650*(1-I650)</x:f>
        <x:v>12000</x:v>
      </x:c>
      <x:c r="K650" s="47" t="n">
        <x:v>1580</x:v>
      </x:c>
      <x:c r="L650" s="47" t="n">
        <x:f>G650*K650</x:f>
        <x:v>6320</x:v>
      </x:c>
      <x:c r="M650" s="47" t="n">
        <x:f>J650-L650</x:f>
        <x:v>5680</x:v>
      </x:c>
      <x:c r="N650" s="5" t="str">
        <x:v>Walk-in</x:v>
      </x:c>
      <x:c r="O650" s="5" t="str">
        <x:v>POS</x:v>
      </x:c>
      <x:c r="P650" s="5" t="str">
        <x:v>Lunch</x:v>
      </x:c>
      <x:c r="Q650" s="48" t="n">
        <x:v>14</x:v>
      </x:c>
      <x:c r="R650" s="5" t="n">
        <x:v>4</x:v>
      </x:c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5" t="str">
        <x:v>ORD-00764</x:v>
      </x:c>
      <x:c r="B651" s="43" t="n">
        <x:v>46107</x:v>
      </x:c>
      <x:c r="C651" s="5" t="str">
        <x:v>CUST-0508</x:v>
      </x:c>
      <x:c r="D651" s="5" t="str">
        <x:v>FD010</x:v>
      </x:c>
      <x:c r="E651" s="5" t="str">
        <x:v>Soft Drink</x:v>
      </x:c>
      <x:c r="F651" s="5" t="str">
        <x:v>Beverages</x:v>
      </x:c>
      <x:c r="G651" s="44" t="n">
        <x:v>4</x:v>
      </x:c>
      <x:c r="H651" s="45" t="n">
        <x:v>600</x:v>
      </x:c>
      <x:c r="I651" s="46" t="n">
        <x:v>0</x:v>
      </x:c>
      <x:c r="J651" s="47" t="n">
        <x:f>G651*H651*(1-I651)</x:f>
        <x:v>2400</x:v>
      </x:c>
      <x:c r="K651" s="47" t="n">
        <x:v>280</x:v>
      </x:c>
      <x:c r="L651" s="47" t="n">
        <x:f>G651*K651</x:f>
        <x:v>1120</x:v>
      </x:c>
      <x:c r="M651" s="47" t="n">
        <x:f>J651-L651</x:f>
        <x:v>1280</x:v>
      </x:c>
      <x:c r="N651" s="5" t="str">
        <x:v>Delivery</x:v>
      </x:c>
      <x:c r="O651" s="5" t="str">
        <x:v>POS</x:v>
      </x:c>
      <x:c r="P651" s="5" t="str">
        <x:v>Dinner</x:v>
      </x:c>
      <x:c r="Q651" s="48" t="n">
        <x:v>19</x:v>
      </x:c>
      <x:c r="R651" s="5" t="n">
        <x:v>4</x:v>
      </x:c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5" t="str">
        <x:v>ORD-00765</x:v>
      </x:c>
      <x:c r="B652" s="43" t="n">
        <x:v>46107</x:v>
      </x:c>
      <x:c r="C652" s="5" t="str">
        <x:v>CUST-0084</x:v>
      </x:c>
      <x:c r="D652" s="5" t="str">
        <x:v>FD003</x:v>
      </x:c>
      <x:c r="E652" s="5" t="str">
        <x:v>Fried Rice &amp; Chicken</x:v>
      </x:c>
      <x:c r="F652" s="5" t="str">
        <x:v>Rice Meals</x:v>
      </x:c>
      <x:c r="G652" s="44" t="n">
        <x:v>1</x:v>
      </x:c>
      <x:c r="H652" s="45" t="n">
        <x:v>3000</x:v>
      </x:c>
      <x:c r="I652" s="46" t="n">
        <x:v>0</x:v>
      </x:c>
      <x:c r="J652" s="47" t="n">
        <x:f>G652*H652*(1-I652)</x:f>
        <x:v>3000</x:v>
      </x:c>
      <x:c r="K652" s="47" t="n">
        <x:v>1580</x:v>
      </x:c>
      <x:c r="L652" s="47" t="n">
        <x:f>G652*K652</x:f>
        <x:v>1580</x:v>
      </x:c>
      <x:c r="M652" s="47" t="n">
        <x:f>J652-L652</x:f>
        <x:v>1420</x:v>
      </x:c>
      <x:c r="N652" s="5" t="str">
        <x:v>Takeaway</x:v>
      </x:c>
      <x:c r="O652" s="5" t="str">
        <x:v>Transfer</x:v>
      </x:c>
      <x:c r="P652" s="5" t="str">
        <x:v>Dinner</x:v>
      </x:c>
      <x:c r="Q652" s="48" t="n">
        <x:v>17</x:v>
      </x:c>
      <x:c r="R652" s="5" t="n">
        <x:v>5</x:v>
      </x:c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5" t="str">
        <x:v>ORD-01389</x:v>
      </x:c>
      <x:c r="B653" s="43" t="n">
        <x:v>46107</x:v>
      </x:c>
      <x:c r="C653" s="5" t="str">
        <x:v>CUST-0523</x:v>
      </x:c>
      <x:c r="D653" s="5" t="str">
        <x:v>FD008</x:v>
      </x:c>
      <x:c r="E653" s="5" t="str">
        <x:v>Pounded Yam &amp; Vegetable Soup</x:v>
      </x:c>
      <x:c r="F653" s="5" t="str">
        <x:v>Swallow</x:v>
      </x:c>
      <x:c r="G653" s="44" t="n">
        <x:v>1</x:v>
      </x:c>
      <x:c r="H653" s="45" t="n">
        <x:v>3200</x:v>
      </x:c>
      <x:c r="I653" s="46" t="n">
        <x:v>0</x:v>
      </x:c>
      <x:c r="J653" s="47" t="n">
        <x:f>G653*H653*(1-I653)</x:f>
        <x:v>3200</x:v>
      </x:c>
      <x:c r="K653" s="47" t="n">
        <x:v>1710</x:v>
      </x:c>
      <x:c r="L653" s="47" t="n">
        <x:f>G653*K653</x:f>
        <x:v>1710</x:v>
      </x:c>
      <x:c r="M653" s="47" t="n">
        <x:f>J653-L653</x:f>
        <x:v>1490</x:v>
      </x:c>
      <x:c r="N653" s="5" t="str">
        <x:v>Takeaway</x:v>
      </x:c>
      <x:c r="O653" s="5" t="str">
        <x:v>Transfer</x:v>
      </x:c>
      <x:c r="P653" s="5" t="str">
        <x:v>Lunch</x:v>
      </x:c>
      <x:c r="Q653" s="48" t="n">
        <x:v>13</x:v>
      </x:c>
      <x:c r="R653" s="5" t="n">
        <x:v>5</x:v>
      </x:c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5" t="str">
        <x:v>ORD-01637</x:v>
      </x:c>
      <x:c r="B654" s="43" t="n">
        <x:v>46107</x:v>
      </x:c>
      <x:c r="C654" s="5" t="str">
        <x:v>CUST-0081</x:v>
      </x:c>
      <x:c r="D654" s="5" t="str">
        <x:v>FD007</x:v>
      </x:c>
      <x:c r="E654" s="5" t="str">
        <x:v>Amala &amp; Ewedu</x:v>
      </x:c>
      <x:c r="F654" s="5" t="str">
        <x:v>Swallow</x:v>
      </x:c>
      <x:c r="G654" s="44" t="n">
        <x:v>4</x:v>
      </x:c>
      <x:c r="H654" s="45" t="n">
        <x:v>2500</x:v>
      </x:c>
      <x:c r="I654" s="46" t="n">
        <x:v>0</x:v>
      </x:c>
      <x:c r="J654" s="47" t="n">
        <x:f>G654*H654*(1-I654)</x:f>
        <x:v>10000</x:v>
      </x:c>
      <x:c r="K654" s="47" t="n">
        <x:v>1250</x:v>
      </x:c>
      <x:c r="L654" s="47" t="n">
        <x:f>G654*K654</x:f>
        <x:v>5000</x:v>
      </x:c>
      <x:c r="M654" s="47" t="n">
        <x:f>J654-L654</x:f>
        <x:v>5000</x:v>
      </x:c>
      <x:c r="N654" s="5" t="str">
        <x:v>Delivery</x:v>
      </x:c>
      <x:c r="O654" s="5" t="str">
        <x:v>Cash</x:v>
      </x:c>
      <x:c r="P654" s="5" t="str">
        <x:v>Lunch</x:v>
      </x:c>
      <x:c r="Q654" s="48" t="n">
        <x:v>12</x:v>
      </x:c>
      <x:c r="R654" s="5" t="n">
        <x:v>4</x:v>
      </x:c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5" t="str">
        <x:v>ORD-00145</x:v>
      </x:c>
      <x:c r="B655" s="43" t="n">
        <x:v>46108</x:v>
      </x:c>
      <x:c r="C655" s="5" t="str">
        <x:v>CUST-0508</x:v>
      </x:c>
      <x:c r="D655" s="5" t="str">
        <x:v>FD009</x:v>
      </x:c>
      <x:c r="E655" s="5" t="str">
        <x:v>Moi Moi</x:v>
      </x:c>
      <x:c r="F655" s="5" t="str">
        <x:v>Sides</x:v>
      </x:c>
      <x:c r="G655" s="44" t="n">
        <x:v>4</x:v>
      </x:c>
      <x:c r="H655" s="45" t="n">
        <x:v>900</x:v>
      </x:c>
      <x:c r="I655" s="46" t="n">
        <x:v>0.05</x:v>
      </x:c>
      <x:c r="J655" s="47" t="n">
        <x:f>G655*H655*(1-I655)</x:f>
        <x:v>3420</x:v>
      </x:c>
      <x:c r="K655" s="47" t="n">
        <x:v>380</x:v>
      </x:c>
      <x:c r="L655" s="47" t="n">
        <x:f>G655*K655</x:f>
        <x:v>1520</x:v>
      </x:c>
      <x:c r="M655" s="47" t="n">
        <x:f>J655-L655</x:f>
        <x:v>1900</x:v>
      </x:c>
      <x:c r="N655" s="5" t="str">
        <x:v>Walk-in</x:v>
      </x:c>
      <x:c r="O655" s="5" t="str">
        <x:v>Cash</x:v>
      </x:c>
      <x:c r="P655" s="5" t="str">
        <x:v>Breakfast</x:v>
      </x:c>
      <x:c r="Q655" s="48" t="n">
        <x:v>8</x:v>
      </x:c>
      <x:c r="R655" s="5" t="n">
        <x:v>3</x:v>
      </x:c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5" t="str">
        <x:v>ORD-00286</x:v>
      </x:c>
      <x:c r="B656" s="43" t="n">
        <x:v>46108</x:v>
      </x:c>
      <x:c r="C656" s="5" t="str">
        <x:v>CUST-0215</x:v>
      </x:c>
      <x:c r="D656" s="5" t="str">
        <x:v>FD003</x:v>
      </x:c>
      <x:c r="E656" s="5" t="str">
        <x:v>Fried Rice &amp; Chicken</x:v>
      </x:c>
      <x:c r="F656" s="5" t="str">
        <x:v>Rice Meals</x:v>
      </x:c>
      <x:c r="G656" s="44" t="n">
        <x:v>4</x:v>
      </x:c>
      <x:c r="H656" s="45" t="n">
        <x:v>3000</x:v>
      </x:c>
      <x:c r="I656" s="46" t="n">
        <x:v>0.05</x:v>
      </x:c>
      <x:c r="J656" s="47" t="n">
        <x:f>G656*H656*(1-I656)</x:f>
        <x:v>11400</x:v>
      </x:c>
      <x:c r="K656" s="47" t="n">
        <x:v>1580</x:v>
      </x:c>
      <x:c r="L656" s="47" t="n">
        <x:f>G656*K656</x:f>
        <x:v>6320</x:v>
      </x:c>
      <x:c r="M656" s="47" t="n">
        <x:f>J656-L656</x:f>
        <x:v>5080</x:v>
      </x:c>
      <x:c r="N656" s="5" t="str">
        <x:v>Walk-in</x:v>
      </x:c>
      <x:c r="O656" s="5" t="str">
        <x:v>Transfer</x:v>
      </x:c>
      <x:c r="P656" s="5" t="str">
        <x:v>Lunch</x:v>
      </x:c>
      <x:c r="Q656" s="48" t="n">
        <x:v>13</x:v>
      </x:c>
      <x:c r="R656" s="5" t="n">
        <x:v>4</x:v>
      </x:c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5" t="str">
        <x:v>ORD-00593</x:v>
      </x:c>
      <x:c r="B657" s="43" t="n">
        <x:v>46108</x:v>
      </x:c>
      <x:c r="C657" s="5" t="str">
        <x:v>CUST-0460</x:v>
      </x:c>
      <x:c r="D657" s="5" t="str">
        <x:v>FD002</x:v>
      </x:c>
      <x:c r="E657" s="5" t="str">
        <x:v>Jollof Rice &amp; Chicken</x:v>
      </x:c>
      <x:c r="F657" s="5" t="str">
        <x:v>Rice Meals</x:v>
      </x:c>
      <x:c r="G657" s="44" t="n">
        <x:v>2</x:v>
      </x:c>
      <x:c r="H657" s="45" t="n">
        <x:v>2800</x:v>
      </x:c>
      <x:c r="I657" s="46" t="n">
        <x:v>0</x:v>
      </x:c>
      <x:c r="J657" s="47" t="n">
        <x:f>G657*H657*(1-I657)</x:f>
        <x:v>5600</x:v>
      </x:c>
      <x:c r="K657" s="47" t="n">
        <x:v>1450</x:v>
      </x:c>
      <x:c r="L657" s="47" t="n">
        <x:f>G657*K657</x:f>
        <x:v>2900</x:v>
      </x:c>
      <x:c r="M657" s="47" t="n">
        <x:f>J657-L657</x:f>
        <x:v>2700</x:v>
      </x:c>
      <x:c r="N657" s="5" t="str">
        <x:v>Delivery</x:v>
      </x:c>
      <x:c r="O657" s="5" t="str">
        <x:v>POS</x:v>
      </x:c>
      <x:c r="P657" s="5" t="str">
        <x:v>Breakfast</x:v>
      </x:c>
      <x:c r="Q657" s="48" t="n">
        <x:v>8</x:v>
      </x:c>
      <x:c r="R657" s="5" t="n">
        <x:v>5</x:v>
      </x:c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5" t="str">
        <x:v>ORD-00620</x:v>
      </x:c>
      <x:c r="B658" s="43" t="n">
        <x:v>46108</x:v>
      </x:c>
      <x:c r="C658" s="5" t="str">
        <x:v>CUST-0537</x:v>
      </x:c>
      <x:c r="D658" s="5" t="str">
        <x:v>FD001</x:v>
      </x:c>
      <x:c r="E658" s="5" t="str">
        <x:v>White Rice &amp; Stew</x:v>
      </x:c>
      <x:c r="F658" s="5" t="str">
        <x:v>Rice Meals</x:v>
      </x:c>
      <x:c r="G658" s="44" t="n">
        <x:v>3</x:v>
      </x:c>
      <x:c r="H658" s="45" t="n">
        <x:v>1800</x:v>
      </x:c>
      <x:c r="I658" s="46" t="n">
        <x:v>0</x:v>
      </x:c>
      <x:c r="J658" s="47" t="n">
        <x:f>G658*H658*(1-I658)</x:f>
        <x:v>5400</x:v>
      </x:c>
      <x:c r="K658" s="47" t="n">
        <x:v>820</x:v>
      </x:c>
      <x:c r="L658" s="47" t="n">
        <x:f>G658*K658</x:f>
        <x:v>2460</x:v>
      </x:c>
      <x:c r="M658" s="47" t="n">
        <x:f>J658-L658</x:f>
        <x:v>2940</x:v>
      </x:c>
      <x:c r="N658" s="5" t="str">
        <x:v>Walk-in</x:v>
      </x:c>
      <x:c r="O658" s="5" t="str">
        <x:v>POS</x:v>
      </x:c>
      <x:c r="P658" s="5" t="str">
        <x:v>Dinner</x:v>
      </x:c>
      <x:c r="Q658" s="48" t="n">
        <x:v>20</x:v>
      </x:c>
      <x:c r="R658" s="5" t="n">
        <x:v>4</x:v>
      </x:c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5" t="str">
        <x:v>ORD-00767</x:v>
      </x:c>
      <x:c r="B659" s="43" t="n">
        <x:v>46108</x:v>
      </x:c>
      <x:c r="C659" s="5" t="str">
        <x:v>CUST-0470</x:v>
      </x:c>
      <x:c r="D659" s="5" t="str">
        <x:v>FD005</x:v>
      </x:c>
      <x:c r="E659" s="5" t="str">
        <x:v>Yam Porridge</x:v>
      </x:c>
      <x:c r="F659" s="5" t="str">
        <x:v>Traditional Meals</x:v>
      </x:c>
      <x:c r="G659" s="44" t="n">
        <x:v>2</x:v>
      </x:c>
      <x:c r="H659" s="45" t="n">
        <x:v>2200</x:v>
      </x:c>
      <x:c r="I659" s="46" t="n">
        <x:v>0</x:v>
      </x:c>
      <x:c r="J659" s="47" t="n">
        <x:f>G659*H659*(1-I659)</x:f>
        <x:v>4400</x:v>
      </x:c>
      <x:c r="K659" s="47" t="n">
        <x:v>1050</x:v>
      </x:c>
      <x:c r="L659" s="47" t="n">
        <x:f>G659*K659</x:f>
        <x:v>2100</x:v>
      </x:c>
      <x:c r="M659" s="47" t="n">
        <x:f>J659-L659</x:f>
        <x:v>2300</x:v>
      </x:c>
      <x:c r="N659" s="5" t="str">
        <x:v>Delivery</x:v>
      </x:c>
      <x:c r="O659" s="5" t="str">
        <x:v>POS</x:v>
      </x:c>
      <x:c r="P659" s="5" t="str">
        <x:v>Lunch</x:v>
      </x:c>
      <x:c r="Q659" s="48" t="n">
        <x:v>13</x:v>
      </x:c>
      <x:c r="R659" s="5" t="n">
        <x:v>4</x:v>
      </x:c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5" t="str">
        <x:v>ORD-00800</x:v>
      </x:c>
      <x:c r="B660" s="43" t="n">
        <x:v>46108</x:v>
      </x:c>
      <x:c r="C660" s="5" t="str">
        <x:v>CUST-0637</x:v>
      </x:c>
      <x:c r="D660" s="5" t="str">
        <x:v>FD002</x:v>
      </x:c>
      <x:c r="E660" s="5" t="str">
        <x:v>Jollof Rice &amp; Chicken</x:v>
      </x:c>
      <x:c r="F660" s="5" t="str">
        <x:v>Rice Meals</x:v>
      </x:c>
      <x:c r="G660" s="44" t="n">
        <x:v>2</x:v>
      </x:c>
      <x:c r="H660" s="45" t="n">
        <x:v>2800</x:v>
      </x:c>
      <x:c r="I660" s="46" t="n">
        <x:v>0</x:v>
      </x:c>
      <x:c r="J660" s="47" t="n">
        <x:f>G660*H660*(1-I660)</x:f>
        <x:v>5600</x:v>
      </x:c>
      <x:c r="K660" s="47" t="n">
        <x:v>1450</x:v>
      </x:c>
      <x:c r="L660" s="47" t="n">
        <x:f>G660*K660</x:f>
        <x:v>2900</x:v>
      </x:c>
      <x:c r="M660" s="47" t="n">
        <x:f>J660-L660</x:f>
        <x:v>2700</x:v>
      </x:c>
      <x:c r="N660" s="5" t="str">
        <x:v>Takeaway</x:v>
      </x:c>
      <x:c r="O660" s="5" t="str">
        <x:v>POS</x:v>
      </x:c>
      <x:c r="P660" s="5" t="str">
        <x:v>Dinner</x:v>
      </x:c>
      <x:c r="Q660" s="48" t="n">
        <x:v>20</x:v>
      </x:c>
      <x:c r="R660" s="5" t="n">
        <x:v>5</x:v>
      </x:c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5" t="str">
        <x:v>ORD-00885</x:v>
      </x:c>
      <x:c r="B661" s="43" t="n">
        <x:v>46108</x:v>
      </x:c>
      <x:c r="C661" s="5" t="str">
        <x:v>CUST-0429</x:v>
      </x:c>
      <x:c r="D661" s="5" t="str">
        <x:v>FD004</x:v>
      </x:c>
      <x:c r="E661" s="5" t="str">
        <x:v>Beans &amp; Plantain</x:v>
      </x:c>
      <x:c r="F661" s="5" t="str">
        <x:v>Traditional Meals</x:v>
      </x:c>
      <x:c r="G661" s="44" t="n">
        <x:v>3</x:v>
      </x:c>
      <x:c r="H661" s="45" t="n">
        <x:v>2000</x:v>
      </x:c>
      <x:c r="I661" s="46" t="n">
        <x:v>0</x:v>
      </x:c>
      <x:c r="J661" s="47" t="n">
        <x:f>G661*H661*(1-I661)</x:f>
        <x:v>6000</x:v>
      </x:c>
      <x:c r="K661" s="47" t="n">
        <x:v>960</x:v>
      </x:c>
      <x:c r="L661" s="47" t="n">
        <x:f>G661*K661</x:f>
        <x:v>2880</x:v>
      </x:c>
      <x:c r="M661" s="47" t="n">
        <x:f>J661-L661</x:f>
        <x:v>3120</x:v>
      </x:c>
      <x:c r="N661" s="5" t="str">
        <x:v>Walk-in</x:v>
      </x:c>
      <x:c r="O661" s="5" t="str">
        <x:v>Transfer</x:v>
      </x:c>
      <x:c r="P661" s="5" t="str">
        <x:v>Lunch</x:v>
      </x:c>
      <x:c r="Q661" s="48" t="n">
        <x:v>13</x:v>
      </x:c>
      <x:c r="R661" s="5" t="n">
        <x:v>4</x:v>
      </x:c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5" t="str">
        <x:v>ORD-01072</x:v>
      </x:c>
      <x:c r="B662" s="43" t="n">
        <x:v>46108</x:v>
      </x:c>
      <x:c r="C662" s="5" t="str">
        <x:v>CUST-0217</x:v>
      </x:c>
      <x:c r="D662" s="5" t="str">
        <x:v>FD005</x:v>
      </x:c>
      <x:c r="E662" s="5" t="str">
        <x:v>Yam Porridge</x:v>
      </x:c>
      <x:c r="F662" s="5" t="str">
        <x:v>Traditional Meals</x:v>
      </x:c>
      <x:c r="G662" s="44" t="n">
        <x:v>3</x:v>
      </x:c>
      <x:c r="H662" s="45" t="n">
        <x:v>2200</x:v>
      </x:c>
      <x:c r="I662" s="46" t="n">
        <x:v>0</x:v>
      </x:c>
      <x:c r="J662" s="47" t="n">
        <x:f>G662*H662*(1-I662)</x:f>
        <x:v>6600</x:v>
      </x:c>
      <x:c r="K662" s="47" t="n">
        <x:v>1050</x:v>
      </x:c>
      <x:c r="L662" s="47" t="n">
        <x:f>G662*K662</x:f>
        <x:v>3150</x:v>
      </x:c>
      <x:c r="M662" s="47" t="n">
        <x:f>J662-L662</x:f>
        <x:v>3450</x:v>
      </x:c>
      <x:c r="N662" s="5" t="str">
        <x:v>Delivery</x:v>
      </x:c>
      <x:c r="O662" s="5" t="str">
        <x:v>Transfer</x:v>
      </x:c>
      <x:c r="P662" s="5" t="str">
        <x:v>Dinner</x:v>
      </x:c>
      <x:c r="Q662" s="48" t="n">
        <x:v>16</x:v>
      </x:c>
      <x:c r="R662" s="5" t="n">
        <x:v>4</x:v>
      </x:c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5" t="str">
        <x:v>ORD-01084</x:v>
      </x:c>
      <x:c r="B663" s="43" t="n">
        <x:v>46108</x:v>
      </x:c>
      <x:c r="C663" s="5" t="str">
        <x:v>CUST-0376</x:v>
      </x:c>
      <x:c r="D663" s="5" t="str">
        <x:v>FD007</x:v>
      </x:c>
      <x:c r="E663" s="5" t="str">
        <x:v>Amala &amp; Ewedu</x:v>
      </x:c>
      <x:c r="F663" s="5" t="str">
        <x:v>Swallow</x:v>
      </x:c>
      <x:c r="G663" s="44" t="n">
        <x:v>3</x:v>
      </x:c>
      <x:c r="H663" s="45" t="n">
        <x:v>2500</x:v>
      </x:c>
      <x:c r="I663" s="46" t="n">
        <x:v>0</x:v>
      </x:c>
      <x:c r="J663" s="47" t="n">
        <x:f>G663*H663*(1-I663)</x:f>
        <x:v>7500</x:v>
      </x:c>
      <x:c r="K663" s="47" t="n">
        <x:v>1250</x:v>
      </x:c>
      <x:c r="L663" s="47" t="n">
        <x:f>G663*K663</x:f>
        <x:v>3750</x:v>
      </x:c>
      <x:c r="M663" s="47" t="n">
        <x:f>J663-L663</x:f>
        <x:v>3750</x:v>
      </x:c>
      <x:c r="N663" s="5" t="str">
        <x:v>Takeaway</x:v>
      </x:c>
      <x:c r="O663" s="5" t="str">
        <x:v>Cash</x:v>
      </x:c>
      <x:c r="P663" s="5" t="str">
        <x:v>Breakfast</x:v>
      </x:c>
      <x:c r="Q663" s="48" t="n">
        <x:v>9</x:v>
      </x:c>
      <x:c r="R663" s="5" t="n">
        <x:v>3</x:v>
      </x:c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5" t="str">
        <x:v>ORD-01122</x:v>
      </x:c>
      <x:c r="B664" s="43" t="n">
        <x:v>46108</x:v>
      </x:c>
      <x:c r="C664" s="5" t="str">
        <x:v>CUST-0032</x:v>
      </x:c>
      <x:c r="D664" s="5" t="str">
        <x:v>FD006</x:v>
      </x:c>
      <x:c r="E664" s="5" t="str">
        <x:v>Eba &amp; Egusi Soup</x:v>
      </x:c>
      <x:c r="F664" s="5" t="str">
        <x:v>Swallow</x:v>
      </x:c>
      <x:c r="G664" s="44" t="n">
        <x:v>1</x:v>
      </x:c>
      <x:c r="H664" s="45" t="n">
        <x:v>2600</x:v>
      </x:c>
      <x:c r="I664" s="46" t="n">
        <x:v>0</x:v>
      </x:c>
      <x:c r="J664" s="47" t="n">
        <x:f>G664*H664*(1-I664)</x:f>
        <x:v>2600</x:v>
      </x:c>
      <x:c r="K664" s="47" t="n">
        <x:v>1320</x:v>
      </x:c>
      <x:c r="L664" s="47" t="n">
        <x:f>G664*K664</x:f>
        <x:v>1320</x:v>
      </x:c>
      <x:c r="M664" s="47" t="n">
        <x:f>J664-L664</x:f>
        <x:v>1280</x:v>
      </x:c>
      <x:c r="N664" s="5" t="str">
        <x:v>Walk-in</x:v>
      </x:c>
      <x:c r="O664" s="5" t="str">
        <x:v>POS</x:v>
      </x:c>
      <x:c r="P664" s="5" t="str">
        <x:v>Lunch</x:v>
      </x:c>
      <x:c r="Q664" s="48" t="n">
        <x:v>11</x:v>
      </x:c>
      <x:c r="R664" s="5" t="n">
        <x:v>5</x:v>
      </x:c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5" t="str">
        <x:v>ORD-01399</x:v>
      </x:c>
      <x:c r="B665" s="43" t="n">
        <x:v>46108</x:v>
      </x:c>
      <x:c r="C665" s="5" t="str">
        <x:v>CUST-0240</x:v>
      </x:c>
      <x:c r="D665" s="5" t="str">
        <x:v>FD002</x:v>
      </x:c>
      <x:c r="E665" s="5" t="str">
        <x:v>Jollof Rice &amp; Chicken</x:v>
      </x:c>
      <x:c r="F665" s="5" t="str">
        <x:v>Rice Meals</x:v>
      </x:c>
      <x:c r="G665" s="44" t="n">
        <x:v>1</x:v>
      </x:c>
      <x:c r="H665" s="45" t="n">
        <x:v>2800</x:v>
      </x:c>
      <x:c r="I665" s="46" t="n">
        <x:v>0</x:v>
      </x:c>
      <x:c r="J665" s="47" t="n">
        <x:f>G665*H665*(1-I665)</x:f>
        <x:v>2800</x:v>
      </x:c>
      <x:c r="K665" s="47" t="n">
        <x:v>1450</x:v>
      </x:c>
      <x:c r="L665" s="47" t="n">
        <x:f>G665*K665</x:f>
        <x:v>1450</x:v>
      </x:c>
      <x:c r="M665" s="47" t="n">
        <x:f>J665-L665</x:f>
        <x:v>1350</x:v>
      </x:c>
      <x:c r="N665" s="5" t="str">
        <x:v>Walk-in</x:v>
      </x:c>
      <x:c r="O665" s="5" t="str">
        <x:v>Transfer</x:v>
      </x:c>
      <x:c r="P665" s="5" t="str">
        <x:v>Lunch</x:v>
      </x:c>
      <x:c r="Q665" s="48" t="n">
        <x:v>14</x:v>
      </x:c>
      <x:c r="R665" s="5" t="n">
        <x:v>4</x:v>
      </x:c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5" t="str">
        <x:v>ORD-01571</x:v>
      </x:c>
      <x:c r="B666" s="43" t="n">
        <x:v>46108</x:v>
      </x:c>
      <x:c r="C666" s="5" t="str">
        <x:v>CUST-0151</x:v>
      </x:c>
      <x:c r="D666" s="5" t="str">
        <x:v>FD002</x:v>
      </x:c>
      <x:c r="E666" s="5" t="str">
        <x:v>Jollof Rice &amp; Chicken</x:v>
      </x:c>
      <x:c r="F666" s="5" t="str">
        <x:v>Rice Meals</x:v>
      </x:c>
      <x:c r="G666" s="44" t="n">
        <x:v>1</x:v>
      </x:c>
      <x:c r="H666" s="45" t="n">
        <x:v>2800</x:v>
      </x:c>
      <x:c r="I666" s="46" t="n">
        <x:v>0</x:v>
      </x:c>
      <x:c r="J666" s="47" t="n">
        <x:f>G666*H666*(1-I666)</x:f>
        <x:v>2800</x:v>
      </x:c>
      <x:c r="K666" s="47" t="n">
        <x:v>1450</x:v>
      </x:c>
      <x:c r="L666" s="47" t="n">
        <x:f>G666*K666</x:f>
        <x:v>1450</x:v>
      </x:c>
      <x:c r="M666" s="47" t="n">
        <x:f>J666-L666</x:f>
        <x:v>1350</x:v>
      </x:c>
      <x:c r="N666" s="5" t="str">
        <x:v>Takeaway</x:v>
      </x:c>
      <x:c r="O666" s="5" t="str">
        <x:v>Cash</x:v>
      </x:c>
      <x:c r="P666" s="5" t="str">
        <x:v>Dinner</x:v>
      </x:c>
      <x:c r="Q666" s="48" t="n">
        <x:v>17</x:v>
      </x:c>
      <x:c r="R666" s="5" t="n">
        <x:v>4</x:v>
      </x:c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5" t="str">
        <x:v>ORD-01720</x:v>
      </x:c>
      <x:c r="B667" s="43" t="n">
        <x:v>46108</x:v>
      </x:c>
      <x:c r="C667" s="5" t="str">
        <x:v>CUST-0281</x:v>
      </x:c>
      <x:c r="D667" s="5" t="str">
        <x:v>FD006</x:v>
      </x:c>
      <x:c r="E667" s="5" t="str">
        <x:v>Eba &amp; Egusi Soup</x:v>
      </x:c>
      <x:c r="F667" s="5" t="str">
        <x:v>Swallow</x:v>
      </x:c>
      <x:c r="G667" s="44" t="n">
        <x:v>4</x:v>
      </x:c>
      <x:c r="H667" s="45" t="n">
        <x:v>2600</x:v>
      </x:c>
      <x:c r="I667" s="46" t="n">
        <x:v>0</x:v>
      </x:c>
      <x:c r="J667" s="47" t="n">
        <x:f>G667*H667*(1-I667)</x:f>
        <x:v>10400</x:v>
      </x:c>
      <x:c r="K667" s="47" t="n">
        <x:v>1320</x:v>
      </x:c>
      <x:c r="L667" s="47" t="n">
        <x:f>G667*K667</x:f>
        <x:v>5280</x:v>
      </x:c>
      <x:c r="M667" s="47" t="n">
        <x:f>J667-L667</x:f>
        <x:v>5120</x:v>
      </x:c>
      <x:c r="N667" s="5" t="str">
        <x:v>Walk-in</x:v>
      </x:c>
      <x:c r="O667" s="5" t="str">
        <x:v>POS</x:v>
      </x:c>
      <x:c r="P667" s="5" t="str">
        <x:v>Lunch</x:v>
      </x:c>
      <x:c r="Q667" s="48" t="n">
        <x:v>12</x:v>
      </x:c>
      <x:c r="R667" s="5" t="n">
        <x:v>5</x:v>
      </x:c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5" t="str">
        <x:v>ORD-00442</x:v>
      </x:c>
      <x:c r="B668" s="43" t="n">
        <x:v>46109</x:v>
      </x:c>
      <x:c r="C668" s="5" t="str">
        <x:v>CUST-0369</x:v>
      </x:c>
      <x:c r="D668" s="5" t="str">
        <x:v>FD001</x:v>
      </x:c>
      <x:c r="E668" s="5" t="str">
        <x:v>White Rice &amp; Stew</x:v>
      </x:c>
      <x:c r="F668" s="5" t="str">
        <x:v>Rice Meals</x:v>
      </x:c>
      <x:c r="G668" s="44" t="n">
        <x:v>4</x:v>
      </x:c>
      <x:c r="H668" s="45" t="n">
        <x:v>1800</x:v>
      </x:c>
      <x:c r="I668" s="46" t="n">
        <x:v>0</x:v>
      </x:c>
      <x:c r="J668" s="47" t="n">
        <x:f>G668*H668*(1-I668)</x:f>
        <x:v>7200</x:v>
      </x:c>
      <x:c r="K668" s="47" t="n">
        <x:v>820</x:v>
      </x:c>
      <x:c r="L668" s="47" t="n">
        <x:f>G668*K668</x:f>
        <x:v>3280</x:v>
      </x:c>
      <x:c r="M668" s="47" t="n">
        <x:f>J668-L668</x:f>
        <x:v>3920</x:v>
      </x:c>
      <x:c r="N668" s="5" t="str">
        <x:v>Delivery</x:v>
      </x:c>
      <x:c r="O668" s="5" t="str">
        <x:v>Cash</x:v>
      </x:c>
      <x:c r="P668" s="5" t="str">
        <x:v>Lunch</x:v>
      </x:c>
      <x:c r="Q668" s="48" t="n">
        <x:v>15</x:v>
      </x:c>
      <x:c r="R668" s="5" t="n">
        <x:v>4</x:v>
      </x:c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5" t="str">
        <x:v>ORD-00485</x:v>
      </x:c>
      <x:c r="B669" s="43" t="n">
        <x:v>46109</x:v>
      </x:c>
      <x:c r="C669" s="5" t="str">
        <x:v>CUST-0541</x:v>
      </x:c>
      <x:c r="D669" s="5" t="str">
        <x:v>FD001</x:v>
      </x:c>
      <x:c r="E669" s="5" t="str">
        <x:v>White Rice &amp; Stew</x:v>
      </x:c>
      <x:c r="F669" s="5" t="str">
        <x:v>Rice Meals</x:v>
      </x:c>
      <x:c r="G669" s="44" t="n">
        <x:v>4</x:v>
      </x:c>
      <x:c r="H669" s="45" t="n">
        <x:v>1800</x:v>
      </x:c>
      <x:c r="I669" s="46" t="n">
        <x:v>0</x:v>
      </x:c>
      <x:c r="J669" s="47" t="n">
        <x:f>G669*H669*(1-I669)</x:f>
        <x:v>7200</x:v>
      </x:c>
      <x:c r="K669" s="47" t="n">
        <x:v>820</x:v>
      </x:c>
      <x:c r="L669" s="47" t="n">
        <x:f>G669*K669</x:f>
        <x:v>3280</x:v>
      </x:c>
      <x:c r="M669" s="47" t="n">
        <x:f>J669-L669</x:f>
        <x:v>3920</x:v>
      </x:c>
      <x:c r="N669" s="5" t="str">
        <x:v>Delivery</x:v>
      </x:c>
      <x:c r="O669" s="5" t="str">
        <x:v>POS</x:v>
      </x:c>
      <x:c r="P669" s="5" t="str">
        <x:v>Dinner</x:v>
      </x:c>
      <x:c r="Q669" s="48" t="n">
        <x:v>20</x:v>
      </x:c>
      <x:c r="R669" s="5" t="n">
        <x:v>3</x:v>
      </x:c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5" t="str">
        <x:v>ORD-00496</x:v>
      </x:c>
      <x:c r="B670" s="43" t="n">
        <x:v>46109</x:v>
      </x:c>
      <x:c r="C670" s="5" t="str">
        <x:v>CUST-0241</x:v>
      </x:c>
      <x:c r="D670" s="5" t="str">
        <x:v>FD004</x:v>
      </x:c>
      <x:c r="E670" s="5" t="str">
        <x:v>Beans &amp; Plantain</x:v>
      </x:c>
      <x:c r="F670" s="5" t="str">
        <x:v>Traditional Meals</x:v>
      </x:c>
      <x:c r="G670" s="44" t="n">
        <x:v>4</x:v>
      </x:c>
      <x:c r="H670" s="45" t="n">
        <x:v>2000</x:v>
      </x:c>
      <x:c r="I670" s="46" t="n">
        <x:v>0</x:v>
      </x:c>
      <x:c r="J670" s="47" t="n">
        <x:f>G670*H670*(1-I670)</x:f>
        <x:v>8000</x:v>
      </x:c>
      <x:c r="K670" s="47" t="n">
        <x:v>960</x:v>
      </x:c>
      <x:c r="L670" s="47" t="n">
        <x:f>G670*K670</x:f>
        <x:v>3840</x:v>
      </x:c>
      <x:c r="M670" s="47" t="n">
        <x:f>J670-L670</x:f>
        <x:v>4160</x:v>
      </x:c>
      <x:c r="N670" s="5" t="str">
        <x:v>Walk-in</x:v>
      </x:c>
      <x:c r="O670" s="5" t="str">
        <x:v>Transfer</x:v>
      </x:c>
      <x:c r="P670" s="5" t="str">
        <x:v>Dinner</x:v>
      </x:c>
      <x:c r="Q670" s="48" t="n">
        <x:v>18</x:v>
      </x:c>
      <x:c r="R670" s="5" t="n">
        <x:v>5</x:v>
      </x:c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5" t="str">
        <x:v>ORD-01081</x:v>
      </x:c>
      <x:c r="B671" s="43" t="n">
        <x:v>46109</x:v>
      </x:c>
      <x:c r="C671" s="5" t="str">
        <x:v>CUST-0268</x:v>
      </x:c>
      <x:c r="D671" s="5" t="str">
        <x:v>FD001</x:v>
      </x:c>
      <x:c r="E671" s="5" t="str">
        <x:v>White Rice &amp; Stew</x:v>
      </x:c>
      <x:c r="F671" s="5" t="str">
        <x:v>Rice Meals</x:v>
      </x:c>
      <x:c r="G671" s="44" t="n">
        <x:v>2</x:v>
      </x:c>
      <x:c r="H671" s="45" t="n">
        <x:v>1800</x:v>
      </x:c>
      <x:c r="I671" s="46" t="n">
        <x:v>0</x:v>
      </x:c>
      <x:c r="J671" s="47" t="n">
        <x:f>G671*H671*(1-I671)</x:f>
        <x:v>3600</x:v>
      </x:c>
      <x:c r="K671" s="47" t="n">
        <x:v>820</x:v>
      </x:c>
      <x:c r="L671" s="47" t="n">
        <x:f>G671*K671</x:f>
        <x:v>1640</x:v>
      </x:c>
      <x:c r="M671" s="47" t="n">
        <x:f>J671-L671</x:f>
        <x:v>1960</x:v>
      </x:c>
      <x:c r="N671" s="5" t="str">
        <x:v>Walk-in</x:v>
      </x:c>
      <x:c r="O671" s="5" t="str">
        <x:v>Transfer</x:v>
      </x:c>
      <x:c r="P671" s="5" t="str">
        <x:v>Lunch</x:v>
      </x:c>
      <x:c r="Q671" s="48" t="n">
        <x:v>15</x:v>
      </x:c>
      <x:c r="R671" s="5" t="n">
        <x:v>5</x:v>
      </x:c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5" t="str">
        <x:v>ORD-01112</x:v>
      </x:c>
      <x:c r="B672" s="43" t="n">
        <x:v>46109</x:v>
      </x:c>
      <x:c r="C672" s="5" t="str">
        <x:v>CUST-0307</x:v>
      </x:c>
      <x:c r="D672" s="5" t="str">
        <x:v>FD003</x:v>
      </x:c>
      <x:c r="E672" s="5" t="str">
        <x:v>Fried Rice &amp; Chicken</x:v>
      </x:c>
      <x:c r="F672" s="5" t="str">
        <x:v>Rice Meals</x:v>
      </x:c>
      <x:c r="G672" s="44" t="n">
        <x:v>2</x:v>
      </x:c>
      <x:c r="H672" s="45" t="n">
        <x:v>3000</x:v>
      </x:c>
      <x:c r="I672" s="46" t="n">
        <x:v>0</x:v>
      </x:c>
      <x:c r="J672" s="47" t="n">
        <x:f>G672*H672*(1-I672)</x:f>
        <x:v>6000</x:v>
      </x:c>
      <x:c r="K672" s="47" t="n">
        <x:v>1580</x:v>
      </x:c>
      <x:c r="L672" s="47" t="n">
        <x:f>G672*K672</x:f>
        <x:v>3160</x:v>
      </x:c>
      <x:c r="M672" s="47" t="n">
        <x:f>J672-L672</x:f>
        <x:v>2840</x:v>
      </x:c>
      <x:c r="N672" s="5" t="str">
        <x:v>Takeaway</x:v>
      </x:c>
      <x:c r="O672" s="5" t="str">
        <x:v>Transfer</x:v>
      </x:c>
      <x:c r="P672" s="5" t="str">
        <x:v>Dinner</x:v>
      </x:c>
      <x:c r="Q672" s="48" t="n">
        <x:v>17</x:v>
      </x:c>
      <x:c r="R672" s="5" t="n">
        <x:v>5</x:v>
      </x:c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5" t="str">
        <x:v>ORD-01643</x:v>
      </x:c>
      <x:c r="B673" s="43" t="n">
        <x:v>46109</x:v>
      </x:c>
      <x:c r="C673" s="5" t="str">
        <x:v>CUST-0541</x:v>
      </x:c>
      <x:c r="D673" s="5" t="str">
        <x:v>FD004</x:v>
      </x:c>
      <x:c r="E673" s="5" t="str">
        <x:v>Beans &amp; Plantain</x:v>
      </x:c>
      <x:c r="F673" s="5" t="str">
        <x:v>Traditional Meals</x:v>
      </x:c>
      <x:c r="G673" s="44" t="n">
        <x:v>1</x:v>
      </x:c>
      <x:c r="H673" s="45" t="n">
        <x:v>2000</x:v>
      </x:c>
      <x:c r="I673" s="46" t="n">
        <x:v>0</x:v>
      </x:c>
      <x:c r="J673" s="47" t="n">
        <x:f>G673*H673*(1-I673)</x:f>
        <x:v>2000</x:v>
      </x:c>
      <x:c r="K673" s="47" t="n">
        <x:v>960</x:v>
      </x:c>
      <x:c r="L673" s="47" t="n">
        <x:f>G673*K673</x:f>
        <x:v>960</x:v>
      </x:c>
      <x:c r="M673" s="47" t="n">
        <x:f>J673-L673</x:f>
        <x:v>1040</x:v>
      </x:c>
      <x:c r="N673" s="5" t="str">
        <x:v>Takeaway</x:v>
      </x:c>
      <x:c r="O673" s="5" t="str">
        <x:v>Cash</x:v>
      </x:c>
      <x:c r="P673" s="5" t="str">
        <x:v>Dinner</x:v>
      </x:c>
      <x:c r="Q673" s="48" t="n">
        <x:v>19</x:v>
      </x:c>
      <x:c r="R673" s="5" t="n">
        <x:v>5</x:v>
      </x:c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5" t="str">
        <x:v>ORD-01735</x:v>
      </x:c>
      <x:c r="B674" s="43" t="n">
        <x:v>46109</x:v>
      </x:c>
      <x:c r="C674" s="5" t="str">
        <x:v>CUST-0155</x:v>
      </x:c>
      <x:c r="D674" s="5" t="str">
        <x:v>FD006</x:v>
      </x:c>
      <x:c r="E674" s="5" t="str">
        <x:v>Eba &amp; Egusi Soup</x:v>
      </x:c>
      <x:c r="F674" s="5" t="str">
        <x:v>Swallow</x:v>
      </x:c>
      <x:c r="G674" s="44" t="n">
        <x:v>4</x:v>
      </x:c>
      <x:c r="H674" s="45" t="n">
        <x:v>2600</x:v>
      </x:c>
      <x:c r="I674" s="46" t="n">
        <x:v>0.05</x:v>
      </x:c>
      <x:c r="J674" s="47" t="n">
        <x:f>G674*H674*(1-I674)</x:f>
        <x:v>9880</x:v>
      </x:c>
      <x:c r="K674" s="47" t="n">
        <x:v>1320</x:v>
      </x:c>
      <x:c r="L674" s="47" t="n">
        <x:f>G674*K674</x:f>
        <x:v>5280</x:v>
      </x:c>
      <x:c r="M674" s="47" t="n">
        <x:f>J674-L674</x:f>
        <x:v>4600</x:v>
      </x:c>
      <x:c r="N674" s="5" t="str">
        <x:v>Takeaway</x:v>
      </x:c>
      <x:c r="O674" s="5" t="str">
        <x:v>POS</x:v>
      </x:c>
      <x:c r="P674" s="5" t="str">
        <x:v>Breakfast</x:v>
      </x:c>
      <x:c r="Q674" s="48" t="n">
        <x:v>9</x:v>
      </x:c>
      <x:c r="R674" s="5" t="n">
        <x:v>4</x:v>
      </x:c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5" t="str">
        <x:v>ORD-01766</x:v>
      </x:c>
      <x:c r="B675" s="43" t="n">
        <x:v>46109</x:v>
      </x:c>
      <x:c r="C675" s="5" t="str">
        <x:v>CUST-0580</x:v>
      </x:c>
      <x:c r="D675" s="5" t="str">
        <x:v>FD001</x:v>
      </x:c>
      <x:c r="E675" s="5" t="str">
        <x:v>White Rice &amp; Stew</x:v>
      </x:c>
      <x:c r="F675" s="5" t="str">
        <x:v>Rice Meals</x:v>
      </x:c>
      <x:c r="G675" s="44" t="n">
        <x:v>2</x:v>
      </x:c>
      <x:c r="H675" s="45" t="n">
        <x:v>1800</x:v>
      </x:c>
      <x:c r="I675" s="46" t="n">
        <x:v>0</x:v>
      </x:c>
      <x:c r="J675" s="47" t="n">
        <x:f>G675*H675*(1-I675)</x:f>
        <x:v>3600</x:v>
      </x:c>
      <x:c r="K675" s="47" t="n">
        <x:v>820</x:v>
      </x:c>
      <x:c r="L675" s="47" t="n">
        <x:f>G675*K675</x:f>
        <x:v>1640</x:v>
      </x:c>
      <x:c r="M675" s="47" t="n">
        <x:f>J675-L675</x:f>
        <x:v>1960</x:v>
      </x:c>
      <x:c r="N675" s="5" t="str">
        <x:v>Walk-in</x:v>
      </x:c>
      <x:c r="O675" s="5" t="str">
        <x:v>POS</x:v>
      </x:c>
      <x:c r="P675" s="5" t="str">
        <x:v>Lunch</x:v>
      </x:c>
      <x:c r="Q675" s="48" t="n">
        <x:v>13</x:v>
      </x:c>
      <x:c r="R675" s="5" t="n">
        <x:v>3</x:v>
      </x:c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5" t="str">
        <x:v>ORD-00073</x:v>
      </x:c>
      <x:c r="B676" s="43" t="n">
        <x:v>46110</x:v>
      </x:c>
      <x:c r="C676" s="5" t="str">
        <x:v>CUST-0291</x:v>
      </x:c>
      <x:c r="D676" s="5" t="str">
        <x:v>FD002</x:v>
      </x:c>
      <x:c r="E676" s="5" t="str">
        <x:v>Jollof Rice &amp; Chicken</x:v>
      </x:c>
      <x:c r="F676" s="5" t="str">
        <x:v>Rice Meals</x:v>
      </x:c>
      <x:c r="G676" s="44" t="n">
        <x:v>2</x:v>
      </x:c>
      <x:c r="H676" s="45" t="n">
        <x:v>2800</x:v>
      </x:c>
      <x:c r="I676" s="46" t="n">
        <x:v>0</x:v>
      </x:c>
      <x:c r="J676" s="47" t="n">
        <x:f>G676*H676*(1-I676)</x:f>
        <x:v>5600</x:v>
      </x:c>
      <x:c r="K676" s="47" t="n">
        <x:v>1450</x:v>
      </x:c>
      <x:c r="L676" s="47" t="n">
        <x:f>G676*K676</x:f>
        <x:v>2900</x:v>
      </x:c>
      <x:c r="M676" s="47" t="n">
        <x:f>J676-L676</x:f>
        <x:v>2700</x:v>
      </x:c>
      <x:c r="N676" s="5" t="str">
        <x:v>Walk-in</x:v>
      </x:c>
      <x:c r="O676" s="5" t="str">
        <x:v>Transfer</x:v>
      </x:c>
      <x:c r="P676" s="5" t="str">
        <x:v>Lunch</x:v>
      </x:c>
      <x:c r="Q676" s="48" t="n">
        <x:v>11</x:v>
      </x:c>
      <x:c r="R676" s="5" t="n">
        <x:v>5</x:v>
      </x:c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5" t="str">
        <x:v>ORD-00363</x:v>
      </x:c>
      <x:c r="B677" s="43" t="n">
        <x:v>46110</x:v>
      </x:c>
      <x:c r="C677" s="5" t="str">
        <x:v>CUST-0471</x:v>
      </x:c>
      <x:c r="D677" s="5" t="str">
        <x:v>FD001</x:v>
      </x:c>
      <x:c r="E677" s="5" t="str">
        <x:v>White Rice &amp; Stew</x:v>
      </x:c>
      <x:c r="F677" s="5" t="str">
        <x:v>Rice Meals</x:v>
      </x:c>
      <x:c r="G677" s="44" t="n">
        <x:v>4</x:v>
      </x:c>
      <x:c r="H677" s="45" t="n">
        <x:v>1800</x:v>
      </x:c>
      <x:c r="I677" s="46" t="n">
        <x:v>0</x:v>
      </x:c>
      <x:c r="J677" s="47" t="n">
        <x:f>G677*H677*(1-I677)</x:f>
        <x:v>7200</x:v>
      </x:c>
      <x:c r="K677" s="47" t="n">
        <x:v>820</x:v>
      </x:c>
      <x:c r="L677" s="47" t="n">
        <x:f>G677*K677</x:f>
        <x:v>3280</x:v>
      </x:c>
      <x:c r="M677" s="47" t="n">
        <x:f>J677-L677</x:f>
        <x:v>3920</x:v>
      </x:c>
      <x:c r="N677" s="5" t="str">
        <x:v>Walk-in</x:v>
      </x:c>
      <x:c r="O677" s="5" t="str">
        <x:v>Transfer</x:v>
      </x:c>
      <x:c r="P677" s="5" t="str">
        <x:v>Breakfast</x:v>
      </x:c>
      <x:c r="Q677" s="48" t="n">
        <x:v>10</x:v>
      </x:c>
      <x:c r="R677" s="5" t="n">
        <x:v>3</x:v>
      </x:c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5" t="str">
        <x:v>ORD-00463</x:v>
      </x:c>
      <x:c r="B678" s="43" t="n">
        <x:v>46110</x:v>
      </x:c>
      <x:c r="C678" s="5" t="str">
        <x:v>CUST-0242</x:v>
      </x:c>
      <x:c r="D678" s="5" t="str">
        <x:v>FD002</x:v>
      </x:c>
      <x:c r="E678" s="5" t="str">
        <x:v>Jollof Rice &amp; Chicken</x:v>
      </x:c>
      <x:c r="F678" s="5" t="str">
        <x:v>Rice Meals</x:v>
      </x:c>
      <x:c r="G678" s="44" t="n">
        <x:v>4</x:v>
      </x:c>
      <x:c r="H678" s="45" t="n">
        <x:v>2800</x:v>
      </x:c>
      <x:c r="I678" s="46" t="n">
        <x:v>0.05</x:v>
      </x:c>
      <x:c r="J678" s="47" t="n">
        <x:f>G678*H678*(1-I678)</x:f>
        <x:v>10640</x:v>
      </x:c>
      <x:c r="K678" s="47" t="n">
        <x:v>1450</x:v>
      </x:c>
      <x:c r="L678" s="47" t="n">
        <x:f>G678*K678</x:f>
        <x:v>5800</x:v>
      </x:c>
      <x:c r="M678" s="47" t="n">
        <x:f>J678-L678</x:f>
        <x:v>4840</x:v>
      </x:c>
      <x:c r="N678" s="5" t="str">
        <x:v>Walk-in</x:v>
      </x:c>
      <x:c r="O678" s="5" t="str">
        <x:v>POS</x:v>
      </x:c>
      <x:c r="P678" s="5" t="str">
        <x:v>Lunch</x:v>
      </x:c>
      <x:c r="Q678" s="48" t="n">
        <x:v>13</x:v>
      </x:c>
      <x:c r="R678" s="5" t="n">
        <x:v>4</x:v>
      </x:c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5" t="str">
        <x:v>ORD-00905</x:v>
      </x:c>
      <x:c r="B679" s="43" t="n">
        <x:v>46110</x:v>
      </x:c>
      <x:c r="C679" s="5" t="str">
        <x:v>CUST-0437</x:v>
      </x:c>
      <x:c r="D679" s="5" t="str">
        <x:v>FD002</x:v>
      </x:c>
      <x:c r="E679" s="5" t="str">
        <x:v>Jollof Rice &amp; Chicken</x:v>
      </x:c>
      <x:c r="F679" s="5" t="str">
        <x:v>Rice Meals</x:v>
      </x:c>
      <x:c r="G679" s="44" t="n">
        <x:v>2</x:v>
      </x:c>
      <x:c r="H679" s="45" t="n">
        <x:v>2800</x:v>
      </x:c>
      <x:c r="I679" s="46" t="n">
        <x:v>0</x:v>
      </x:c>
      <x:c r="J679" s="47" t="n">
        <x:f>G679*H679*(1-I679)</x:f>
        <x:v>5600</x:v>
      </x:c>
      <x:c r="K679" s="47" t="n">
        <x:v>1450</x:v>
      </x:c>
      <x:c r="L679" s="47" t="n">
        <x:f>G679*K679</x:f>
        <x:v>2900</x:v>
      </x:c>
      <x:c r="M679" s="47" t="n">
        <x:f>J679-L679</x:f>
        <x:v>2700</x:v>
      </x:c>
      <x:c r="N679" s="5" t="str">
        <x:v>Walk-in</x:v>
      </x:c>
      <x:c r="O679" s="5" t="str">
        <x:v>Transfer</x:v>
      </x:c>
      <x:c r="P679" s="5" t="str">
        <x:v>Breakfast</x:v>
      </x:c>
      <x:c r="Q679" s="48" t="n">
        <x:v>10</x:v>
      </x:c>
      <x:c r="R679" s="5" t="n">
        <x:v>3</x:v>
      </x:c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5" t="str">
        <x:v>ORD-00132</x:v>
      </x:c>
      <x:c r="B680" s="43" t="n">
        <x:v>46111</x:v>
      </x:c>
      <x:c r="C680" s="5" t="str">
        <x:v>CUST-0251</x:v>
      </x:c>
      <x:c r="D680" s="5" t="str">
        <x:v>FD006</x:v>
      </x:c>
      <x:c r="E680" s="5" t="str">
        <x:v>Eba &amp; Egusi Soup</x:v>
      </x:c>
      <x:c r="F680" s="5" t="str">
        <x:v>Swallow</x:v>
      </x:c>
      <x:c r="G680" s="44" t="n">
        <x:v>2</x:v>
      </x:c>
      <x:c r="H680" s="45" t="n">
        <x:v>2600</x:v>
      </x:c>
      <x:c r="I680" s="46" t="n">
        <x:v>0</x:v>
      </x:c>
      <x:c r="J680" s="47" t="n">
        <x:f>G680*H680*(1-I680)</x:f>
        <x:v>5200</x:v>
      </x:c>
      <x:c r="K680" s="47" t="n">
        <x:v>1320</x:v>
      </x:c>
      <x:c r="L680" s="47" t="n">
        <x:f>G680*K680</x:f>
        <x:v>2640</x:v>
      </x:c>
      <x:c r="M680" s="47" t="n">
        <x:f>J680-L680</x:f>
        <x:v>2560</x:v>
      </x:c>
      <x:c r="N680" s="5" t="str">
        <x:v>Takeaway</x:v>
      </x:c>
      <x:c r="O680" s="5" t="str">
        <x:v>Cash</x:v>
      </x:c>
      <x:c r="P680" s="5" t="str">
        <x:v>Lunch</x:v>
      </x:c>
      <x:c r="Q680" s="48" t="n">
        <x:v>11</x:v>
      </x:c>
      <x:c r="R680" s="5" t="n">
        <x:v>4</x:v>
      </x:c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5" t="str">
        <x:v>ORD-00199</x:v>
      </x:c>
      <x:c r="B681" s="43" t="n">
        <x:v>46111</x:v>
      </x:c>
      <x:c r="C681" s="5" t="str">
        <x:v>CUST-0515</x:v>
      </x:c>
      <x:c r="D681" s="5" t="str">
        <x:v>FD009</x:v>
      </x:c>
      <x:c r="E681" s="5" t="str">
        <x:v>Moi Moi</x:v>
      </x:c>
      <x:c r="F681" s="5" t="str">
        <x:v>Sides</x:v>
      </x:c>
      <x:c r="G681" s="44" t="n">
        <x:v>2</x:v>
      </x:c>
      <x:c r="H681" s="45" t="n">
        <x:v>900</x:v>
      </x:c>
      <x:c r="I681" s="46" t="n">
        <x:v>0</x:v>
      </x:c>
      <x:c r="J681" s="47" t="n">
        <x:f>G681*H681*(1-I681)</x:f>
        <x:v>1800</x:v>
      </x:c>
      <x:c r="K681" s="47" t="n">
        <x:v>380</x:v>
      </x:c>
      <x:c r="L681" s="47" t="n">
        <x:f>G681*K681</x:f>
        <x:v>760</x:v>
      </x:c>
      <x:c r="M681" s="47" t="n">
        <x:f>J681-L681</x:f>
        <x:v>1040</x:v>
      </x:c>
      <x:c r="N681" s="5" t="str">
        <x:v>Takeaway</x:v>
      </x:c>
      <x:c r="O681" s="5" t="str">
        <x:v>POS</x:v>
      </x:c>
      <x:c r="P681" s="5" t="str">
        <x:v>Dinner</x:v>
      </x:c>
      <x:c r="Q681" s="48" t="n">
        <x:v>18</x:v>
      </x:c>
      <x:c r="R681" s="5" t="n">
        <x:v>4</x:v>
      </x:c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5" t="str">
        <x:v>ORD-00978</x:v>
      </x:c>
      <x:c r="B682" s="43" t="n">
        <x:v>46111</x:v>
      </x:c>
      <x:c r="C682" s="5" t="str">
        <x:v>CUST-0157</x:v>
      </x:c>
      <x:c r="D682" s="5" t="str">
        <x:v>FD002</x:v>
      </x:c>
      <x:c r="E682" s="5" t="str">
        <x:v>Jollof Rice &amp; Chicken</x:v>
      </x:c>
      <x:c r="F682" s="5" t="str">
        <x:v>Rice Meals</x:v>
      </x:c>
      <x:c r="G682" s="44" t="n">
        <x:v>2</x:v>
      </x:c>
      <x:c r="H682" s="45" t="n">
        <x:v>2800</x:v>
      </x:c>
      <x:c r="I682" s="46" t="n">
        <x:v>0</x:v>
      </x:c>
      <x:c r="J682" s="47" t="n">
        <x:f>G682*H682*(1-I682)</x:f>
        <x:v>5600</x:v>
      </x:c>
      <x:c r="K682" s="47" t="n">
        <x:v>1450</x:v>
      </x:c>
      <x:c r="L682" s="47" t="n">
        <x:f>G682*K682</x:f>
        <x:v>2900</x:v>
      </x:c>
      <x:c r="M682" s="47" t="n">
        <x:f>J682-L682</x:f>
        <x:v>2700</x:v>
      </x:c>
      <x:c r="N682" s="5" t="str">
        <x:v>Walk-in</x:v>
      </x:c>
      <x:c r="O682" s="5" t="str">
        <x:v>Transfer</x:v>
      </x:c>
      <x:c r="P682" s="5" t="str">
        <x:v>Dinner</x:v>
      </x:c>
      <x:c r="Q682" s="48" t="n">
        <x:v>18</x:v>
      </x:c>
      <x:c r="R682" s="5" t="n">
        <x:v>5</x:v>
      </x:c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5" t="str">
        <x:v>ORD-01494</x:v>
      </x:c>
      <x:c r="B683" s="43" t="n">
        <x:v>46111</x:v>
      </x:c>
      <x:c r="C683" s="5" t="str">
        <x:v>CUST-0476</x:v>
      </x:c>
      <x:c r="D683" s="5" t="str">
        <x:v>FD002</x:v>
      </x:c>
      <x:c r="E683" s="5" t="str">
        <x:v>Jollof Rice &amp; Chicken</x:v>
      </x:c>
      <x:c r="F683" s="5" t="str">
        <x:v>Rice Meals</x:v>
      </x:c>
      <x:c r="G683" s="44" t="n">
        <x:v>3</x:v>
      </x:c>
      <x:c r="H683" s="45" t="n">
        <x:v>2800</x:v>
      </x:c>
      <x:c r="I683" s="46" t="n">
        <x:v>0.05</x:v>
      </x:c>
      <x:c r="J683" s="47" t="n">
        <x:f>G683*H683*(1-I683)</x:f>
        <x:v>7980</x:v>
      </x:c>
      <x:c r="K683" s="47" t="n">
        <x:v>1450</x:v>
      </x:c>
      <x:c r="L683" s="47" t="n">
        <x:f>G683*K683</x:f>
        <x:v>4350</x:v>
      </x:c>
      <x:c r="M683" s="47" t="n">
        <x:f>J683-L683</x:f>
        <x:v>3630</x:v>
      </x:c>
      <x:c r="N683" s="5" t="str">
        <x:v>Walk-in</x:v>
      </x:c>
      <x:c r="O683" s="5" t="str">
        <x:v>Cash</x:v>
      </x:c>
      <x:c r="P683" s="5" t="str">
        <x:v>Lunch</x:v>
      </x:c>
      <x:c r="Q683" s="48" t="n">
        <x:v>13</x:v>
      </x:c>
      <x:c r="R683" s="5" t="n">
        <x:v>3</x:v>
      </x:c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5" t="str">
        <x:v>ORD-01541</x:v>
      </x:c>
      <x:c r="B684" s="43" t="n">
        <x:v>46111</x:v>
      </x:c>
      <x:c r="C684" s="5" t="str">
        <x:v>CUST-0309</x:v>
      </x:c>
      <x:c r="D684" s="5" t="str">
        <x:v>FD002</x:v>
      </x:c>
      <x:c r="E684" s="5" t="str">
        <x:v>Jollof Rice &amp; Chicken</x:v>
      </x:c>
      <x:c r="F684" s="5" t="str">
        <x:v>Rice Meals</x:v>
      </x:c>
      <x:c r="G684" s="44" t="n">
        <x:v>4</x:v>
      </x:c>
      <x:c r="H684" s="45" t="n">
        <x:v>2800</x:v>
      </x:c>
      <x:c r="I684" s="46" t="n">
        <x:v>0</x:v>
      </x:c>
      <x:c r="J684" s="47" t="n">
        <x:f>G684*H684*(1-I684)</x:f>
        <x:v>11200</x:v>
      </x:c>
      <x:c r="K684" s="47" t="n">
        <x:v>1450</x:v>
      </x:c>
      <x:c r="L684" s="47" t="n">
        <x:f>G684*K684</x:f>
        <x:v>5800</x:v>
      </x:c>
      <x:c r="M684" s="47" t="n">
        <x:f>J684-L684</x:f>
        <x:v>5400</x:v>
      </x:c>
      <x:c r="N684" s="5" t="str">
        <x:v>Walk-in</x:v>
      </x:c>
      <x:c r="O684" s="5" t="str">
        <x:v>POS</x:v>
      </x:c>
      <x:c r="P684" s="5" t="str">
        <x:v>Lunch</x:v>
      </x:c>
      <x:c r="Q684" s="48" t="n">
        <x:v>13</x:v>
      </x:c>
      <x:c r="R684" s="5" t="n">
        <x:v>3</x:v>
      </x:c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5" t="str">
        <x:v>ORD-01744</x:v>
      </x:c>
      <x:c r="B685" s="43" t="n">
        <x:v>46111</x:v>
      </x:c>
      <x:c r="C685" s="5" t="str">
        <x:v>CUST-0405</x:v>
      </x:c>
      <x:c r="D685" s="5" t="str">
        <x:v>FD002</x:v>
      </x:c>
      <x:c r="E685" s="5" t="str">
        <x:v>Jollof Rice &amp; Chicken</x:v>
      </x:c>
      <x:c r="F685" s="5" t="str">
        <x:v>Rice Meals</x:v>
      </x:c>
      <x:c r="G685" s="44" t="n">
        <x:v>1</x:v>
      </x:c>
      <x:c r="H685" s="45" t="n">
        <x:v>2800</x:v>
      </x:c>
      <x:c r="I685" s="46" t="n">
        <x:v>0</x:v>
      </x:c>
      <x:c r="J685" s="47" t="n">
        <x:f>G685*H685*(1-I685)</x:f>
        <x:v>2800</x:v>
      </x:c>
      <x:c r="K685" s="47" t="n">
        <x:v>1450</x:v>
      </x:c>
      <x:c r="L685" s="47" t="n">
        <x:f>G685*K685</x:f>
        <x:v>1450</x:v>
      </x:c>
      <x:c r="M685" s="47" t="n">
        <x:f>J685-L685</x:f>
        <x:v>1350</x:v>
      </x:c>
      <x:c r="N685" s="5" t="str">
        <x:v>Walk-in</x:v>
      </x:c>
      <x:c r="O685" s="5" t="str">
        <x:v>Cash</x:v>
      </x:c>
      <x:c r="P685" s="5" t="str">
        <x:v>Lunch</x:v>
      </x:c>
      <x:c r="Q685" s="48" t="n">
        <x:v>11</x:v>
      </x:c>
      <x:c r="R685" s="5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5" t="str">
        <x:v>ORD-00241</x:v>
      </x:c>
      <x:c r="B686" s="43" t="n">
        <x:v>46112</x:v>
      </x:c>
      <x:c r="C686" s="5" t="str">
        <x:v>CUST-0422</x:v>
      </x:c>
      <x:c r="D686" s="5" t="str">
        <x:v>FD002</x:v>
      </x:c>
      <x:c r="E686" s="5" t="str">
        <x:v>Jollof Rice &amp; Chicken</x:v>
      </x:c>
      <x:c r="F686" s="5" t="str">
        <x:v>Rice Meals</x:v>
      </x:c>
      <x:c r="G686" s="44" t="n">
        <x:v>4</x:v>
      </x:c>
      <x:c r="H686" s="45" t="n">
        <x:v>2800</x:v>
      </x:c>
      <x:c r="I686" s="46" t="n">
        <x:v>0</x:v>
      </x:c>
      <x:c r="J686" s="47" t="n">
        <x:f>G686*H686*(1-I686)</x:f>
        <x:v>11200</x:v>
      </x:c>
      <x:c r="K686" s="47" t="n">
        <x:v>1450</x:v>
      </x:c>
      <x:c r="L686" s="47" t="n">
        <x:f>G686*K686</x:f>
        <x:v>5800</x:v>
      </x:c>
      <x:c r="M686" s="47" t="n">
        <x:f>J686-L686</x:f>
        <x:v>5400</x:v>
      </x:c>
      <x:c r="N686" s="5" t="str">
        <x:v>Takeaway</x:v>
      </x:c>
      <x:c r="O686" s="5" t="str">
        <x:v>Transfer</x:v>
      </x:c>
      <x:c r="P686" s="5" t="str">
        <x:v>Lunch</x:v>
      </x:c>
      <x:c r="Q686" s="48" t="n">
        <x:v>14</x:v>
      </x:c>
      <x:c r="R686" s="5" t="n">
        <x:v>5</x:v>
      </x:c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5" t="str">
        <x:v>ORD-00373</x:v>
      </x:c>
      <x:c r="B687" s="43" t="n">
        <x:v>46112</x:v>
      </x:c>
      <x:c r="C687" s="5" t="str">
        <x:v>CUST-0411</x:v>
      </x:c>
      <x:c r="D687" s="5" t="str">
        <x:v>FD007</x:v>
      </x:c>
      <x:c r="E687" s="5" t="str">
        <x:v>Amala &amp; Ewedu</x:v>
      </x:c>
      <x:c r="F687" s="5" t="str">
        <x:v>Swallow</x:v>
      </x:c>
      <x:c r="G687" s="44" t="n">
        <x:v>2</x:v>
      </x:c>
      <x:c r="H687" s="45" t="n">
        <x:v>2500</x:v>
      </x:c>
      <x:c r="I687" s="46" t="n">
        <x:v>0</x:v>
      </x:c>
      <x:c r="J687" s="47" t="n">
        <x:f>G687*H687*(1-I687)</x:f>
        <x:v>5000</x:v>
      </x:c>
      <x:c r="K687" s="47" t="n">
        <x:v>1250</x:v>
      </x:c>
      <x:c r="L687" s="47" t="n">
        <x:f>G687*K687</x:f>
        <x:v>2500</x:v>
      </x:c>
      <x:c r="M687" s="47" t="n">
        <x:f>J687-L687</x:f>
        <x:v>2500</x:v>
      </x:c>
      <x:c r="N687" s="5" t="str">
        <x:v>Walk-in</x:v>
      </x:c>
      <x:c r="O687" s="5" t="str">
        <x:v>Cash</x:v>
      </x:c>
      <x:c r="P687" s="5" t="str">
        <x:v>Breakfast</x:v>
      </x:c>
      <x:c r="Q687" s="48" t="n">
        <x:v>9</x:v>
      </x:c>
      <x:c r="R687" s="5" t="n">
        <x:v>4</x:v>
      </x:c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5" t="str">
        <x:v>ORD-00439</x:v>
      </x:c>
      <x:c r="B688" s="43" t="n">
        <x:v>46112</x:v>
      </x:c>
      <x:c r="C688" s="5" t="str">
        <x:v>CUST-0439</x:v>
      </x:c>
      <x:c r="D688" s="5" t="str">
        <x:v>FD006</x:v>
      </x:c>
      <x:c r="E688" s="5" t="str">
        <x:v>Eba &amp; Egusi Soup</x:v>
      </x:c>
      <x:c r="F688" s="5" t="str">
        <x:v>Swallow</x:v>
      </x:c>
      <x:c r="G688" s="44" t="n">
        <x:v>4</x:v>
      </x:c>
      <x:c r="H688" s="45" t="n">
        <x:v>2600</x:v>
      </x:c>
      <x:c r="I688" s="46" t="n">
        <x:v>0</x:v>
      </x:c>
      <x:c r="J688" s="47" t="n">
        <x:f>G688*H688*(1-I688)</x:f>
        <x:v>10400</x:v>
      </x:c>
      <x:c r="K688" s="47" t="n">
        <x:v>1320</x:v>
      </x:c>
      <x:c r="L688" s="47" t="n">
        <x:f>G688*K688</x:f>
        <x:v>5280</x:v>
      </x:c>
      <x:c r="M688" s="47" t="n">
        <x:f>J688-L688</x:f>
        <x:v>5120</x:v>
      </x:c>
      <x:c r="N688" s="5" t="str">
        <x:v>Delivery</x:v>
      </x:c>
      <x:c r="O688" s="5" t="str">
        <x:v>Transfer</x:v>
      </x:c>
      <x:c r="P688" s="5" t="str">
        <x:v>Dinner</x:v>
      </x:c>
      <x:c r="Q688" s="48" t="n">
        <x:v>17</x:v>
      </x:c>
      <x:c r="R688" s="5" t="n">
        <x:v>4</x:v>
      </x:c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5" t="str">
        <x:v>ORD-00589</x:v>
      </x:c>
      <x:c r="B689" s="43" t="n">
        <x:v>46112</x:v>
      </x:c>
      <x:c r="C689" s="5" t="str">
        <x:v>CUST-0499</x:v>
      </x:c>
      <x:c r="D689" s="5" t="str">
        <x:v>FD001</x:v>
      </x:c>
      <x:c r="E689" s="5" t="str">
        <x:v>White Rice &amp; Stew</x:v>
      </x:c>
      <x:c r="F689" s="5" t="str">
        <x:v>Rice Meals</x:v>
      </x:c>
      <x:c r="G689" s="44" t="n">
        <x:v>3</x:v>
      </x:c>
      <x:c r="H689" s="45" t="n">
        <x:v>1800</x:v>
      </x:c>
      <x:c r="I689" s="46" t="n">
        <x:v>0</x:v>
      </x:c>
      <x:c r="J689" s="47" t="n">
        <x:f>G689*H689*(1-I689)</x:f>
        <x:v>5400</x:v>
      </x:c>
      <x:c r="K689" s="47" t="n">
        <x:v>820</x:v>
      </x:c>
      <x:c r="L689" s="47" t="n">
        <x:f>G689*K689</x:f>
        <x:v>2460</x:v>
      </x:c>
      <x:c r="M689" s="47" t="n">
        <x:f>J689-L689</x:f>
        <x:v>2940</x:v>
      </x:c>
      <x:c r="N689" s="5" t="str">
        <x:v>Delivery</x:v>
      </x:c>
      <x:c r="O689" s="5" t="str">
        <x:v>Transfer</x:v>
      </x:c>
      <x:c r="P689" s="5" t="str">
        <x:v>Lunch</x:v>
      </x:c>
      <x:c r="Q689" s="48" t="n">
        <x:v>14</x:v>
      </x:c>
      <x:c r="R689" s="5" t="n">
        <x:v>5</x:v>
      </x:c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5" t="str">
        <x:v>ORD-00614</x:v>
      </x:c>
      <x:c r="B690" s="43" t="n">
        <x:v>46112</x:v>
      </x:c>
      <x:c r="C690" s="5" t="str">
        <x:v>CUST-0270</x:v>
      </x:c>
      <x:c r="D690" s="5" t="str">
        <x:v>FD001</x:v>
      </x:c>
      <x:c r="E690" s="5" t="str">
        <x:v>White Rice &amp; Stew</x:v>
      </x:c>
      <x:c r="F690" s="5" t="str">
        <x:v>Rice Meals</x:v>
      </x:c>
      <x:c r="G690" s="44" t="n">
        <x:v>3</x:v>
      </x:c>
      <x:c r="H690" s="45" t="n">
        <x:v>1800</x:v>
      </x:c>
      <x:c r="I690" s="46" t="n">
        <x:v>0</x:v>
      </x:c>
      <x:c r="J690" s="47" t="n">
        <x:f>G690*H690*(1-I690)</x:f>
        <x:v>5400</x:v>
      </x:c>
      <x:c r="K690" s="47" t="n">
        <x:v>820</x:v>
      </x:c>
      <x:c r="L690" s="47" t="n">
        <x:f>G690*K690</x:f>
        <x:v>2460</x:v>
      </x:c>
      <x:c r="M690" s="47" t="n">
        <x:f>J690-L690</x:f>
        <x:v>2940</x:v>
      </x:c>
      <x:c r="N690" s="5" t="str">
        <x:v>Walk-in</x:v>
      </x:c>
      <x:c r="O690" s="5" t="str">
        <x:v>Cash</x:v>
      </x:c>
      <x:c r="P690" s="5" t="str">
        <x:v>Dinner</x:v>
      </x:c>
      <x:c r="Q690" s="48" t="n">
        <x:v>18</x:v>
      </x:c>
      <x:c r="R690" s="5" t="n">
        <x:v>4</x:v>
      </x:c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5" t="str">
        <x:v>ORD-01039</x:v>
      </x:c>
      <x:c r="B691" s="43" t="n">
        <x:v>46112</x:v>
      </x:c>
      <x:c r="C691" s="5" t="str">
        <x:v>CUST-0051</x:v>
      </x:c>
      <x:c r="D691" s="5" t="str">
        <x:v>FD008</x:v>
      </x:c>
      <x:c r="E691" s="5" t="str">
        <x:v>Pounded Yam &amp; Vegetable Soup</x:v>
      </x:c>
      <x:c r="F691" s="5" t="str">
        <x:v>Swallow</x:v>
      </x:c>
      <x:c r="G691" s="44" t="n">
        <x:v>4</x:v>
      </x:c>
      <x:c r="H691" s="45" t="n">
        <x:v>3200</x:v>
      </x:c>
      <x:c r="I691" s="46" t="n">
        <x:v>0</x:v>
      </x:c>
      <x:c r="J691" s="47" t="n">
        <x:f>G691*H691*(1-I691)</x:f>
        <x:v>12800</x:v>
      </x:c>
      <x:c r="K691" s="47" t="n">
        <x:v>1710</x:v>
      </x:c>
      <x:c r="L691" s="47" t="n">
        <x:f>G691*K691</x:f>
        <x:v>6840</x:v>
      </x:c>
      <x:c r="M691" s="47" t="n">
        <x:f>J691-L691</x:f>
        <x:v>5960</x:v>
      </x:c>
      <x:c r="N691" s="5" t="str">
        <x:v>Walk-in</x:v>
      </x:c>
      <x:c r="O691" s="5" t="str">
        <x:v>Cash</x:v>
      </x:c>
      <x:c r="P691" s="5" t="str">
        <x:v>Lunch</x:v>
      </x:c>
      <x:c r="Q691" s="48" t="n">
        <x:v>12</x:v>
      </x:c>
      <x:c r="R691" s="5" t="n">
        <x:v>4</x:v>
      </x:c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5" t="str">
        <x:v>ORD-01176</x:v>
      </x:c>
      <x:c r="B692" s="43" t="n">
        <x:v>46112</x:v>
      </x:c>
      <x:c r="C692" s="5" t="str">
        <x:v>CUST-0076</x:v>
      </x:c>
      <x:c r="D692" s="5" t="str">
        <x:v>FD002</x:v>
      </x:c>
      <x:c r="E692" s="5" t="str">
        <x:v>Jollof Rice &amp; Chicken</x:v>
      </x:c>
      <x:c r="F692" s="5" t="str">
        <x:v>Rice Meals</x:v>
      </x:c>
      <x:c r="G692" s="44" t="n">
        <x:v>1</x:v>
      </x:c>
      <x:c r="H692" s="45" t="n">
        <x:v>2800</x:v>
      </x:c>
      <x:c r="I692" s="46" t="n">
        <x:v>0</x:v>
      </x:c>
      <x:c r="J692" s="47" t="n">
        <x:f>G692*H692*(1-I692)</x:f>
        <x:v>2800</x:v>
      </x:c>
      <x:c r="K692" s="47" t="n">
        <x:v>1450</x:v>
      </x:c>
      <x:c r="L692" s="47" t="n">
        <x:f>G692*K692</x:f>
        <x:v>1450</x:v>
      </x:c>
      <x:c r="M692" s="47" t="n">
        <x:f>J692-L692</x:f>
        <x:v>1350</x:v>
      </x:c>
      <x:c r="N692" s="5" t="str">
        <x:v>Walk-in</x:v>
      </x:c>
      <x:c r="O692" s="5" t="str">
        <x:v>POS</x:v>
      </x:c>
      <x:c r="P692" s="5" t="str">
        <x:v>Dinner</x:v>
      </x:c>
      <x:c r="Q692" s="48" t="n">
        <x:v>19</x:v>
      </x:c>
      <x:c r="R692" s="5" t="n">
        <x:v>3</x:v>
      </x:c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5" t="str">
        <x:v>ORD-01314</x:v>
      </x:c>
      <x:c r="B693" s="43" t="n">
        <x:v>46112</x:v>
      </x:c>
      <x:c r="C693" s="5" t="str">
        <x:v>CUST-0482</x:v>
      </x:c>
      <x:c r="D693" s="5" t="str">
        <x:v>FD001</x:v>
      </x:c>
      <x:c r="E693" s="5" t="str">
        <x:v>White Rice &amp; Stew</x:v>
      </x:c>
      <x:c r="F693" s="5" t="str">
        <x:v>Rice Meals</x:v>
      </x:c>
      <x:c r="G693" s="44" t="n">
        <x:v>2</x:v>
      </x:c>
      <x:c r="H693" s="45" t="n">
        <x:v>1800</x:v>
      </x:c>
      <x:c r="I693" s="46" t="n">
        <x:v>0</x:v>
      </x:c>
      <x:c r="J693" s="47" t="n">
        <x:f>G693*H693*(1-I693)</x:f>
        <x:v>3600</x:v>
      </x:c>
      <x:c r="K693" s="47" t="n">
        <x:v>820</x:v>
      </x:c>
      <x:c r="L693" s="47" t="n">
        <x:f>G693*K693</x:f>
        <x:v>1640</x:v>
      </x:c>
      <x:c r="M693" s="47" t="n">
        <x:f>J693-L693</x:f>
        <x:v>1960</x:v>
      </x:c>
      <x:c r="N693" s="5" t="str">
        <x:v>Walk-in</x:v>
      </x:c>
      <x:c r="O693" s="5" t="str">
        <x:v>Transfer</x:v>
      </x:c>
      <x:c r="P693" s="5" t="str">
        <x:v>Lunch</x:v>
      </x:c>
      <x:c r="Q693" s="48" t="n">
        <x:v>14</x:v>
      </x:c>
      <x:c r="R693" s="5" t="n">
        <x:v>4</x:v>
      </x:c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5" t="str">
        <x:v>ORD-01357</x:v>
      </x:c>
      <x:c r="B694" s="43" t="n">
        <x:v>46112</x:v>
      </x:c>
      <x:c r="C694" s="5" t="str">
        <x:v>CUST-0394</x:v>
      </x:c>
      <x:c r="D694" s="5" t="str">
        <x:v>FD008</x:v>
      </x:c>
      <x:c r="E694" s="5" t="str">
        <x:v>Pounded Yam &amp; Vegetable Soup</x:v>
      </x:c>
      <x:c r="F694" s="5" t="str">
        <x:v>Swallow</x:v>
      </x:c>
      <x:c r="G694" s="44" t="n">
        <x:v>3</x:v>
      </x:c>
      <x:c r="H694" s="45" t="n">
        <x:v>3200</x:v>
      </x:c>
      <x:c r="I694" s="46" t="n">
        <x:v>0</x:v>
      </x:c>
      <x:c r="J694" s="47" t="n">
        <x:f>G694*H694*(1-I694)</x:f>
        <x:v>9600</x:v>
      </x:c>
      <x:c r="K694" s="47" t="n">
        <x:v>1710</x:v>
      </x:c>
      <x:c r="L694" s="47" t="n">
        <x:f>G694*K694</x:f>
        <x:v>5130</x:v>
      </x:c>
      <x:c r="M694" s="47" t="n">
        <x:f>J694-L694</x:f>
        <x:v>4470</x:v>
      </x:c>
      <x:c r="N694" s="5" t="str">
        <x:v>Delivery</x:v>
      </x:c>
      <x:c r="O694" s="5" t="str">
        <x:v>POS</x:v>
      </x:c>
      <x:c r="P694" s="5" t="str">
        <x:v>Lunch</x:v>
      </x:c>
      <x:c r="Q694" s="48" t="n">
        <x:v>12</x:v>
      </x:c>
      <x:c r="R694" s="5" t="n">
        <x:v>4</x:v>
      </x:c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5" t="str">
        <x:v>ORD-01445</x:v>
      </x:c>
      <x:c r="B695" s="43" t="n">
        <x:v>46112</x:v>
      </x:c>
      <x:c r="C695" s="5" t="str">
        <x:v>CUST-0070</x:v>
      </x:c>
      <x:c r="D695" s="5" t="str">
        <x:v>FD004</x:v>
      </x:c>
      <x:c r="E695" s="5" t="str">
        <x:v>Beans &amp; Plantain</x:v>
      </x:c>
      <x:c r="F695" s="5" t="str">
        <x:v>Traditional Meals</x:v>
      </x:c>
      <x:c r="G695" s="44" t="n">
        <x:v>2</x:v>
      </x:c>
      <x:c r="H695" s="45" t="n">
        <x:v>2000</x:v>
      </x:c>
      <x:c r="I695" s="46" t="n">
        <x:v>0</x:v>
      </x:c>
      <x:c r="J695" s="47" t="n">
        <x:f>G695*H695*(1-I695)</x:f>
        <x:v>4000</x:v>
      </x:c>
      <x:c r="K695" s="47" t="n">
        <x:v>960</x:v>
      </x:c>
      <x:c r="L695" s="47" t="n">
        <x:f>G695*K695</x:f>
        <x:v>1920</x:v>
      </x:c>
      <x:c r="M695" s="47" t="n">
        <x:f>J695-L695</x:f>
        <x:v>2080</x:v>
      </x:c>
      <x:c r="N695" s="5" t="str">
        <x:v>Walk-in</x:v>
      </x:c>
      <x:c r="O695" s="5" t="str">
        <x:v>POS</x:v>
      </x:c>
      <x:c r="P695" s="5" t="str">
        <x:v>Breakfast</x:v>
      </x:c>
      <x:c r="Q695" s="48" t="n">
        <x:v>9</x:v>
      </x:c>
      <x:c r="R695" s="5" t="n">
        <x:v>5</x:v>
      </x:c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5" t="str">
        <x:v>ORD-01549</x:v>
      </x:c>
      <x:c r="B696" s="43" t="n">
        <x:v>46112</x:v>
      </x:c>
      <x:c r="C696" s="5" t="str">
        <x:v>CUST-0302</x:v>
      </x:c>
      <x:c r="D696" s="5" t="str">
        <x:v>FD001</x:v>
      </x:c>
      <x:c r="E696" s="5" t="str">
        <x:v>White Rice &amp; Stew</x:v>
      </x:c>
      <x:c r="F696" s="5" t="str">
        <x:v>Rice Meals</x:v>
      </x:c>
      <x:c r="G696" s="44" t="n">
        <x:v>4</x:v>
      </x:c>
      <x:c r="H696" s="45" t="n">
        <x:v>1800</x:v>
      </x:c>
      <x:c r="I696" s="46" t="n">
        <x:v>0</x:v>
      </x:c>
      <x:c r="J696" s="47" t="n">
        <x:f>G696*H696*(1-I696)</x:f>
        <x:v>7200</x:v>
      </x:c>
      <x:c r="K696" s="47" t="n">
        <x:v>820</x:v>
      </x:c>
      <x:c r="L696" s="47" t="n">
        <x:f>G696*K696</x:f>
        <x:v>3280</x:v>
      </x:c>
      <x:c r="M696" s="47" t="n">
        <x:f>J696-L696</x:f>
        <x:v>3920</x:v>
      </x:c>
      <x:c r="N696" s="5" t="str">
        <x:v>Delivery</x:v>
      </x:c>
      <x:c r="O696" s="5" t="str">
        <x:v>Cash</x:v>
      </x:c>
      <x:c r="P696" s="5" t="str">
        <x:v>Dinner</x:v>
      </x:c>
      <x:c r="Q696" s="48" t="n">
        <x:v>17</x:v>
      </x:c>
      <x:c r="R696" s="5" t="n">
        <x:v>4</x:v>
      </x:c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5" t="str">
        <x:v>ORD-01651</x:v>
      </x:c>
      <x:c r="B697" s="43" t="n">
        <x:v>46112</x:v>
      </x:c>
      <x:c r="C697" s="5" t="str">
        <x:v>CUST-0041</x:v>
      </x:c>
      <x:c r="D697" s="5" t="str">
        <x:v>FD002</x:v>
      </x:c>
      <x:c r="E697" s="5" t="str">
        <x:v>Jollof Rice &amp; Chicken</x:v>
      </x:c>
      <x:c r="F697" s="5" t="str">
        <x:v>Rice Meals</x:v>
      </x:c>
      <x:c r="G697" s="44" t="n">
        <x:v>4</x:v>
      </x:c>
      <x:c r="H697" s="45" t="n">
        <x:v>2800</x:v>
      </x:c>
      <x:c r="I697" s="46" t="n">
        <x:v>0</x:v>
      </x:c>
      <x:c r="J697" s="47" t="n">
        <x:f>G697*H697*(1-I697)</x:f>
        <x:v>11200</x:v>
      </x:c>
      <x:c r="K697" s="47" t="n">
        <x:v>1450</x:v>
      </x:c>
      <x:c r="L697" s="47" t="n">
        <x:f>G697*K697</x:f>
        <x:v>5800</x:v>
      </x:c>
      <x:c r="M697" s="47" t="n">
        <x:f>J697-L697</x:f>
        <x:v>5400</x:v>
      </x:c>
      <x:c r="N697" s="5" t="str">
        <x:v>Delivery</x:v>
      </x:c>
      <x:c r="O697" s="5" t="str">
        <x:v>Cash</x:v>
      </x:c>
      <x:c r="P697" s="5" t="str">
        <x:v>Lunch</x:v>
      </x:c>
      <x:c r="Q697" s="48" t="n">
        <x:v>15</x:v>
      </x:c>
      <x:c r="R697" s="5" t="n">
        <x:v>4</x:v>
      </x:c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5" t="str">
        <x:v>ORD-01754</x:v>
      </x:c>
      <x:c r="B698" s="43" t="n">
        <x:v>46112</x:v>
      </x:c>
      <x:c r="C698" s="5" t="str">
        <x:v>CUST-0009</x:v>
      </x:c>
      <x:c r="D698" s="5" t="str">
        <x:v>FD002</x:v>
      </x:c>
      <x:c r="E698" s="5" t="str">
        <x:v>Jollof Rice &amp; Chicken</x:v>
      </x:c>
      <x:c r="F698" s="5" t="str">
        <x:v>Rice Meals</x:v>
      </x:c>
      <x:c r="G698" s="44" t="n">
        <x:v>1</x:v>
      </x:c>
      <x:c r="H698" s="45" t="n">
        <x:v>2800</x:v>
      </x:c>
      <x:c r="I698" s="46" t="n">
        <x:v>0</x:v>
      </x:c>
      <x:c r="J698" s="47" t="n">
        <x:f>G698*H698*(1-I698)</x:f>
        <x:v>2800</x:v>
      </x:c>
      <x:c r="K698" s="47" t="n">
        <x:v>1450</x:v>
      </x:c>
      <x:c r="L698" s="47" t="n">
        <x:f>G698*K698</x:f>
        <x:v>1450</x:v>
      </x:c>
      <x:c r="M698" s="47" t="n">
        <x:f>J698-L698</x:f>
        <x:v>1350</x:v>
      </x:c>
      <x:c r="N698" s="5" t="str">
        <x:v>Takeaway</x:v>
      </x:c>
      <x:c r="O698" s="5" t="str">
        <x:v>POS</x:v>
      </x:c>
      <x:c r="P698" s="5" t="str">
        <x:v>Dinner</x:v>
      </x:c>
      <x:c r="Q698" s="48" t="n">
        <x:v>20</x:v>
      </x:c>
      <x:c r="R698" s="5" t="n">
        <x:v>5</x:v>
      </x:c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5" t="str">
        <x:v>ORD-00327</x:v>
      </x:c>
      <x:c r="B699" s="43" t="n">
        <x:v>46113</x:v>
      </x:c>
      <x:c r="C699" s="5" t="str">
        <x:v>CUST-0401</x:v>
      </x:c>
      <x:c r="D699" s="5" t="str">
        <x:v>FD004</x:v>
      </x:c>
      <x:c r="E699" s="5" t="str">
        <x:v>Beans &amp; Plantain</x:v>
      </x:c>
      <x:c r="F699" s="5" t="str">
        <x:v>Traditional Meals</x:v>
      </x:c>
      <x:c r="G699" s="44" t="n">
        <x:v>3</x:v>
      </x:c>
      <x:c r="H699" s="45" t="n">
        <x:v>2000</x:v>
      </x:c>
      <x:c r="I699" s="46" t="n">
        <x:v>0</x:v>
      </x:c>
      <x:c r="J699" s="47" t="n">
        <x:f>G699*H699*(1-I699)</x:f>
        <x:v>6000</x:v>
      </x:c>
      <x:c r="K699" s="47" t="n">
        <x:v>960</x:v>
      </x:c>
      <x:c r="L699" s="47" t="n">
        <x:f>G699*K699</x:f>
        <x:v>2880</x:v>
      </x:c>
      <x:c r="M699" s="47" t="n">
        <x:f>J699-L699</x:f>
        <x:v>3120</x:v>
      </x:c>
      <x:c r="N699" s="5" t="str">
        <x:v>Delivery</x:v>
      </x:c>
      <x:c r="O699" s="5" t="str">
        <x:v>Transfer</x:v>
      </x:c>
      <x:c r="P699" s="5" t="str">
        <x:v>Lunch</x:v>
      </x:c>
      <x:c r="Q699" s="48" t="n">
        <x:v>12</x:v>
      </x:c>
      <x:c r="R699" s="5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5" t="str">
        <x:v>ORD-00597</x:v>
      </x:c>
      <x:c r="B700" s="43" t="n">
        <x:v>46113</x:v>
      </x:c>
      <x:c r="C700" s="5" t="str">
        <x:v>CUST-0399</x:v>
      </x:c>
      <x:c r="D700" s="5" t="str">
        <x:v>FD003</x:v>
      </x:c>
      <x:c r="E700" s="5" t="str">
        <x:v>Fried Rice &amp; Chicken</x:v>
      </x:c>
      <x:c r="F700" s="5" t="str">
        <x:v>Rice Meals</x:v>
      </x:c>
      <x:c r="G700" s="44" t="n">
        <x:v>3</x:v>
      </x:c>
      <x:c r="H700" s="45" t="n">
        <x:v>3000</x:v>
      </x:c>
      <x:c r="I700" s="46" t="n">
        <x:v>0.05</x:v>
      </x:c>
      <x:c r="J700" s="47" t="n">
        <x:f>G700*H700*(1-I700)</x:f>
        <x:v>8550</x:v>
      </x:c>
      <x:c r="K700" s="47" t="n">
        <x:v>1580</x:v>
      </x:c>
      <x:c r="L700" s="47" t="n">
        <x:f>G700*K700</x:f>
        <x:v>4740</x:v>
      </x:c>
      <x:c r="M700" s="47" t="n">
        <x:f>J700-L700</x:f>
        <x:v>3810</x:v>
      </x:c>
      <x:c r="N700" s="5" t="str">
        <x:v>Takeaway</x:v>
      </x:c>
      <x:c r="O700" s="5" t="str">
        <x:v>POS</x:v>
      </x:c>
      <x:c r="P700" s="5" t="str">
        <x:v>Dinner</x:v>
      </x:c>
      <x:c r="Q700" s="48" t="n">
        <x:v>16</x:v>
      </x:c>
      <x:c r="R700" s="5" t="n">
        <x:v>4</x:v>
      </x:c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5" t="str">
        <x:v>ORD-00917</x:v>
      </x:c>
      <x:c r="B701" s="43" t="n">
        <x:v>46113</x:v>
      </x:c>
      <x:c r="C701" s="5" t="str">
        <x:v>CUST-0344</x:v>
      </x:c>
      <x:c r="D701" s="5" t="str">
        <x:v>FD003</x:v>
      </x:c>
      <x:c r="E701" s="5" t="str">
        <x:v>Fried Rice &amp; Chicken</x:v>
      </x:c>
      <x:c r="F701" s="5" t="str">
        <x:v>Rice Meals</x:v>
      </x:c>
      <x:c r="G701" s="44" t="n">
        <x:v>2</x:v>
      </x:c>
      <x:c r="H701" s="45" t="n">
        <x:v>3000</x:v>
      </x:c>
      <x:c r="I701" s="46" t="n">
        <x:v>0</x:v>
      </x:c>
      <x:c r="J701" s="47" t="n">
        <x:f>G701*H701*(1-I701)</x:f>
        <x:v>6000</x:v>
      </x:c>
      <x:c r="K701" s="47" t="n">
        <x:v>1580</x:v>
      </x:c>
      <x:c r="L701" s="47" t="n">
        <x:f>G701*K701</x:f>
        <x:v>3160</x:v>
      </x:c>
      <x:c r="M701" s="47" t="n">
        <x:f>J701-L701</x:f>
        <x:v>2840</x:v>
      </x:c>
      <x:c r="N701" s="5" t="str">
        <x:v>Walk-in</x:v>
      </x:c>
      <x:c r="O701" s="5" t="str">
        <x:v>Cash</x:v>
      </x:c>
      <x:c r="P701" s="5" t="str">
        <x:v>Dinner</x:v>
      </x:c>
      <x:c r="Q701" s="48" t="n">
        <x:v>17</x:v>
      </x:c>
      <x:c r="R701" s="5" t="n">
        <x:v>5</x:v>
      </x:c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5" t="str">
        <x:v>ORD-01022</x:v>
      </x:c>
      <x:c r="B702" s="43" t="n">
        <x:v>46113</x:v>
      </x:c>
      <x:c r="C702" s="5" t="str">
        <x:v>CUST-0396</x:v>
      </x:c>
      <x:c r="D702" s="5" t="str">
        <x:v>FD012</x:v>
      </x:c>
      <x:c r="E702" s="5" t="str">
        <x:v>Fried Plantain</x:v>
      </x:c>
      <x:c r="F702" s="5" t="str">
        <x:v>Sides</x:v>
      </x:c>
      <x:c r="G702" s="44" t="n">
        <x:v>2</x:v>
      </x:c>
      <x:c r="H702" s="45" t="n">
        <x:v>700</x:v>
      </x:c>
      <x:c r="I702" s="46" t="n">
        <x:v>0</x:v>
      </x:c>
      <x:c r="J702" s="47" t="n">
        <x:f>G702*H702*(1-I702)</x:f>
        <x:v>1400</x:v>
      </x:c>
      <x:c r="K702" s="47" t="n">
        <x:v>300</x:v>
      </x:c>
      <x:c r="L702" s="47" t="n">
        <x:f>G702*K702</x:f>
        <x:v>600</x:v>
      </x:c>
      <x:c r="M702" s="47" t="n">
        <x:f>J702-L702</x:f>
        <x:v>800</x:v>
      </x:c>
      <x:c r="N702" s="5" t="str">
        <x:v>Takeaway</x:v>
      </x:c>
      <x:c r="O702" s="5" t="str">
        <x:v>POS</x:v>
      </x:c>
      <x:c r="P702" s="5" t="str">
        <x:v>Lunch</x:v>
      </x:c>
      <x:c r="Q702" s="48" t="n">
        <x:v>15</x:v>
      </x:c>
      <x:c r="R702" s="5" t="n">
        <x:v>4</x:v>
      </x:c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5" t="str">
        <x:v>ORD-01633</x:v>
      </x:c>
      <x:c r="B703" s="43" t="n">
        <x:v>46113</x:v>
      </x:c>
      <x:c r="C703" s="5" t="str">
        <x:v>CUST-0565</x:v>
      </x:c>
      <x:c r="D703" s="5" t="str">
        <x:v>FD008</x:v>
      </x:c>
      <x:c r="E703" s="5" t="str">
        <x:v>Pounded Yam &amp; Vegetable Soup</x:v>
      </x:c>
      <x:c r="F703" s="5" t="str">
        <x:v>Swallow</x:v>
      </x:c>
      <x:c r="G703" s="44" t="n">
        <x:v>4</x:v>
      </x:c>
      <x:c r="H703" s="45" t="n">
        <x:v>3200</x:v>
      </x:c>
      <x:c r="I703" s="46" t="n">
        <x:v>0</x:v>
      </x:c>
      <x:c r="J703" s="47" t="n">
        <x:f>G703*H703*(1-I703)</x:f>
        <x:v>12800</x:v>
      </x:c>
      <x:c r="K703" s="47" t="n">
        <x:v>1710</x:v>
      </x:c>
      <x:c r="L703" s="47" t="n">
        <x:f>G703*K703</x:f>
        <x:v>6840</x:v>
      </x:c>
      <x:c r="M703" s="47" t="n">
        <x:f>J703-L703</x:f>
        <x:v>5960</x:v>
      </x:c>
      <x:c r="N703" s="5" t="str">
        <x:v>Takeaway</x:v>
      </x:c>
      <x:c r="O703" s="5" t="str">
        <x:v>Transfer</x:v>
      </x:c>
      <x:c r="P703" s="5" t="str">
        <x:v>Dinner</x:v>
      </x:c>
      <x:c r="Q703" s="48" t="n">
        <x:v>17</x:v>
      </x:c>
      <x:c r="R703" s="5" t="n">
        <x:v>5</x:v>
      </x:c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5" t="str">
        <x:v>ORD-01726</x:v>
      </x:c>
      <x:c r="B704" s="43" t="n">
        <x:v>46113</x:v>
      </x:c>
      <x:c r="C704" s="5" t="str">
        <x:v>CUST-0167</x:v>
      </x:c>
      <x:c r="D704" s="5" t="str">
        <x:v>FD003</x:v>
      </x:c>
      <x:c r="E704" s="5" t="str">
        <x:v>Fried Rice &amp; Chicken</x:v>
      </x:c>
      <x:c r="F704" s="5" t="str">
        <x:v>Rice Meals</x:v>
      </x:c>
      <x:c r="G704" s="44" t="n">
        <x:v>4</x:v>
      </x:c>
      <x:c r="H704" s="45" t="n">
        <x:v>3000</x:v>
      </x:c>
      <x:c r="I704" s="46" t="n">
        <x:v>0</x:v>
      </x:c>
      <x:c r="J704" s="47" t="n">
        <x:f>G704*H704*(1-I704)</x:f>
        <x:v>12000</x:v>
      </x:c>
      <x:c r="K704" s="47" t="n">
        <x:v>1580</x:v>
      </x:c>
      <x:c r="L704" s="47" t="n">
        <x:f>G704*K704</x:f>
        <x:v>6320</x:v>
      </x:c>
      <x:c r="M704" s="47" t="n">
        <x:f>J704-L704</x:f>
        <x:v>5680</x:v>
      </x:c>
      <x:c r="N704" s="5" t="str">
        <x:v>Takeaway</x:v>
      </x:c>
      <x:c r="O704" s="5" t="str">
        <x:v>Transfer</x:v>
      </x:c>
      <x:c r="P704" s="5" t="str">
        <x:v>Lunch</x:v>
      </x:c>
      <x:c r="Q704" s="48" t="n">
        <x:v>12</x:v>
      </x:c>
      <x:c r="R704" s="5" t="n">
        <x:v>5</x:v>
      </x:c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5" t="str">
        <x:v>ORD-01745</x:v>
      </x:c>
      <x:c r="B705" s="43" t="n">
        <x:v>46113</x:v>
      </x:c>
      <x:c r="C705" s="5" t="str">
        <x:v>CUST-0087</x:v>
      </x:c>
      <x:c r="D705" s="5" t="str">
        <x:v>FD002</x:v>
      </x:c>
      <x:c r="E705" s="5" t="str">
        <x:v>Jollof Rice &amp; Chicken</x:v>
      </x:c>
      <x:c r="F705" s="5" t="str">
        <x:v>Rice Meals</x:v>
      </x:c>
      <x:c r="G705" s="44" t="n">
        <x:v>4</x:v>
      </x:c>
      <x:c r="H705" s="45" t="n">
        <x:v>2800</x:v>
      </x:c>
      <x:c r="I705" s="46" t="n">
        <x:v>0</x:v>
      </x:c>
      <x:c r="J705" s="47" t="n">
        <x:f>G705*H705*(1-I705)</x:f>
        <x:v>11200</x:v>
      </x:c>
      <x:c r="K705" s="47" t="n">
        <x:v>1450</x:v>
      </x:c>
      <x:c r="L705" s="47" t="n">
        <x:f>G705*K705</x:f>
        <x:v>5800</x:v>
      </x:c>
      <x:c r="M705" s="47" t="n">
        <x:f>J705-L705</x:f>
        <x:v>5400</x:v>
      </x:c>
      <x:c r="N705" s="5" t="str">
        <x:v>Walk-in</x:v>
      </x:c>
      <x:c r="O705" s="5" t="str">
        <x:v>POS</x:v>
      </x:c>
      <x:c r="P705" s="5" t="str">
        <x:v>Lunch</x:v>
      </x:c>
      <x:c r="Q705" s="48" t="n">
        <x:v>11</x:v>
      </x:c>
      <x:c r="R705" s="5" t="n">
        <x:v>5</x:v>
      </x:c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5" t="str">
        <x:v>ORD-01789</x:v>
      </x:c>
      <x:c r="B706" s="43" t="n">
        <x:v>46113</x:v>
      </x:c>
      <x:c r="C706" s="5" t="str">
        <x:v>CUST-0649</x:v>
      </x:c>
      <x:c r="D706" s="5" t="str">
        <x:v>FD010</x:v>
      </x:c>
      <x:c r="E706" s="5" t="str">
        <x:v>Soft Drink</x:v>
      </x:c>
      <x:c r="F706" s="5" t="str">
        <x:v>Beverages</x:v>
      </x:c>
      <x:c r="G706" s="44" t="n">
        <x:v>1</x:v>
      </x:c>
      <x:c r="H706" s="45" t="n">
        <x:v>600</x:v>
      </x:c>
      <x:c r="I706" s="46" t="n">
        <x:v>0</x:v>
      </x:c>
      <x:c r="J706" s="47" t="n">
        <x:f>G706*H706*(1-I706)</x:f>
        <x:v>600</x:v>
      </x:c>
      <x:c r="K706" s="47" t="n">
        <x:v>280</x:v>
      </x:c>
      <x:c r="L706" s="47" t="n">
        <x:f>G706*K706</x:f>
        <x:v>280</x:v>
      </x:c>
      <x:c r="M706" s="47" t="n">
        <x:f>J706-L706</x:f>
        <x:v>320</x:v>
      </x:c>
      <x:c r="N706" s="5" t="str">
        <x:v>Takeaway</x:v>
      </x:c>
      <x:c r="O706" s="5" t="str">
        <x:v>Transfer</x:v>
      </x:c>
      <x:c r="P706" s="5" t="str">
        <x:v>Lunch</x:v>
      </x:c>
      <x:c r="Q706" s="48" t="n">
        <x:v>14</x:v>
      </x:c>
      <x:c r="R706" s="5" t="n">
        <x:v>5</x:v>
      </x:c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5" t="str">
        <x:v>ORD-00221</x:v>
      </x:c>
      <x:c r="B707" s="43" t="n">
        <x:v>46114</x:v>
      </x:c>
      <x:c r="C707" s="5" t="str">
        <x:v>CUST-0096</x:v>
      </x:c>
      <x:c r="D707" s="5" t="str">
        <x:v>FD002</x:v>
      </x:c>
      <x:c r="E707" s="5" t="str">
        <x:v>Jollof Rice &amp; Chicken</x:v>
      </x:c>
      <x:c r="F707" s="5" t="str">
        <x:v>Rice Meals</x:v>
      </x:c>
      <x:c r="G707" s="44" t="n">
        <x:v>3</x:v>
      </x:c>
      <x:c r="H707" s="45" t="n">
        <x:v>2800</x:v>
      </x:c>
      <x:c r="I707" s="46" t="n">
        <x:v>0</x:v>
      </x:c>
      <x:c r="J707" s="47" t="n">
        <x:f>G707*H707*(1-I707)</x:f>
        <x:v>8400</x:v>
      </x:c>
      <x:c r="K707" s="47" t="n">
        <x:v>1450</x:v>
      </x:c>
      <x:c r="L707" s="47" t="n">
        <x:f>G707*K707</x:f>
        <x:v>4350</x:v>
      </x:c>
      <x:c r="M707" s="47" t="n">
        <x:f>J707-L707</x:f>
        <x:v>4050</x:v>
      </x:c>
      <x:c r="N707" s="5" t="str">
        <x:v>Walk-in</x:v>
      </x:c>
      <x:c r="O707" s="5" t="str">
        <x:v>Transfer</x:v>
      </x:c>
      <x:c r="P707" s="5" t="str">
        <x:v>Lunch</x:v>
      </x:c>
      <x:c r="Q707" s="48" t="n">
        <x:v>12</x:v>
      </x:c>
      <x:c r="R707" s="5" t="n">
        <x:v>5</x:v>
      </x:c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5" t="str">
        <x:v>ORD-00422</x:v>
      </x:c>
      <x:c r="B708" s="43" t="n">
        <x:v>46114</x:v>
      </x:c>
      <x:c r="C708" s="5" t="str">
        <x:v>CUST-0425</x:v>
      </x:c>
      <x:c r="D708" s="5" t="str">
        <x:v>FD002</x:v>
      </x:c>
      <x:c r="E708" s="5" t="str">
        <x:v>Jollof Rice &amp; Chicken</x:v>
      </x:c>
      <x:c r="F708" s="5" t="str">
        <x:v>Rice Meals</x:v>
      </x:c>
      <x:c r="G708" s="44" t="n">
        <x:v>4</x:v>
      </x:c>
      <x:c r="H708" s="45" t="n">
        <x:v>2800</x:v>
      </x:c>
      <x:c r="I708" s="46" t="n">
        <x:v>0</x:v>
      </x:c>
      <x:c r="J708" s="47" t="n">
        <x:f>G708*H708*(1-I708)</x:f>
        <x:v>11200</x:v>
      </x:c>
      <x:c r="K708" s="47" t="n">
        <x:v>1450</x:v>
      </x:c>
      <x:c r="L708" s="47" t="n">
        <x:f>G708*K708</x:f>
        <x:v>5800</x:v>
      </x:c>
      <x:c r="M708" s="47" t="n">
        <x:f>J708-L708</x:f>
        <x:v>5400</x:v>
      </x:c>
      <x:c r="N708" s="5" t="str">
        <x:v>Delivery</x:v>
      </x:c>
      <x:c r="O708" s="5" t="str">
        <x:v>POS</x:v>
      </x:c>
      <x:c r="P708" s="5" t="str">
        <x:v>Breakfast</x:v>
      </x:c>
      <x:c r="Q708" s="48" t="n">
        <x:v>8</x:v>
      </x:c>
      <x:c r="R708" s="5" t="n">
        <x:v>5</x:v>
      </x:c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5" t="str">
        <x:v>ORD-00483</x:v>
      </x:c>
      <x:c r="B709" s="43" t="n">
        <x:v>46114</x:v>
      </x:c>
      <x:c r="C709" s="5" t="str">
        <x:v>CUST-0533</x:v>
      </x:c>
      <x:c r="D709" s="5" t="str">
        <x:v>FD005</x:v>
      </x:c>
      <x:c r="E709" s="5" t="str">
        <x:v>Yam Porridge</x:v>
      </x:c>
      <x:c r="F709" s="5" t="str">
        <x:v>Traditional Meals</x:v>
      </x:c>
      <x:c r="G709" s="44" t="n">
        <x:v>4</x:v>
      </x:c>
      <x:c r="H709" s="45" t="n">
        <x:v>2200</x:v>
      </x:c>
      <x:c r="I709" s="46" t="n">
        <x:v>0</x:v>
      </x:c>
      <x:c r="J709" s="47" t="n">
        <x:f>G709*H709*(1-I709)</x:f>
        <x:v>8800</x:v>
      </x:c>
      <x:c r="K709" s="47" t="n">
        <x:v>1050</x:v>
      </x:c>
      <x:c r="L709" s="47" t="n">
        <x:f>G709*K709</x:f>
        <x:v>4200</x:v>
      </x:c>
      <x:c r="M709" s="47" t="n">
        <x:f>J709-L709</x:f>
        <x:v>4600</x:v>
      </x:c>
      <x:c r="N709" s="5" t="str">
        <x:v>Walk-in</x:v>
      </x:c>
      <x:c r="O709" s="5" t="str">
        <x:v>POS</x:v>
      </x:c>
      <x:c r="P709" s="5" t="str">
        <x:v>Breakfast</x:v>
      </x:c>
      <x:c r="Q709" s="48" t="n">
        <x:v>10</x:v>
      </x:c>
      <x:c r="R709" s="5" t="n">
        <x:v>4</x:v>
      </x:c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5" t="str">
        <x:v>ORD-00622</x:v>
      </x:c>
      <x:c r="B710" s="43" t="n">
        <x:v>46114</x:v>
      </x:c>
      <x:c r="C710" s="5" t="str">
        <x:v>CUST-0412</x:v>
      </x:c>
      <x:c r="D710" s="5" t="str">
        <x:v>FD004</x:v>
      </x:c>
      <x:c r="E710" s="5" t="str">
        <x:v>Beans &amp; Plantain</x:v>
      </x:c>
      <x:c r="F710" s="5" t="str">
        <x:v>Traditional Meals</x:v>
      </x:c>
      <x:c r="G710" s="44" t="n">
        <x:v>1</x:v>
      </x:c>
      <x:c r="H710" s="45" t="n">
        <x:v>2000</x:v>
      </x:c>
      <x:c r="I710" s="46" t="n">
        <x:v>0</x:v>
      </x:c>
      <x:c r="J710" s="47" t="n">
        <x:f>G710*H710*(1-I710)</x:f>
        <x:v>2000</x:v>
      </x:c>
      <x:c r="K710" s="47" t="n">
        <x:v>960</x:v>
      </x:c>
      <x:c r="L710" s="47" t="n">
        <x:f>G710*K710</x:f>
        <x:v>960</x:v>
      </x:c>
      <x:c r="M710" s="47" t="n">
        <x:f>J710-L710</x:f>
        <x:v>1040</x:v>
      </x:c>
      <x:c r="N710" s="5" t="str">
        <x:v>Walk-in</x:v>
      </x:c>
      <x:c r="O710" s="5" t="str">
        <x:v>Transfer</x:v>
      </x:c>
      <x:c r="P710" s="5" t="str">
        <x:v>Lunch</x:v>
      </x:c>
      <x:c r="Q710" s="48" t="n">
        <x:v>12</x:v>
      </x:c>
      <x:c r="R710" s="5" t="n">
        <x:v>3</x:v>
      </x:c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5" t="str">
        <x:v>ORD-00844</x:v>
      </x:c>
      <x:c r="B711" s="43" t="n">
        <x:v>46114</x:v>
      </x:c>
      <x:c r="C711" s="5" t="str">
        <x:v>CUST-0426</x:v>
      </x:c>
      <x:c r="D711" s="5" t="str">
        <x:v>FD001</x:v>
      </x:c>
      <x:c r="E711" s="5" t="str">
        <x:v>White Rice &amp; Stew</x:v>
      </x:c>
      <x:c r="F711" s="5" t="str">
        <x:v>Rice Meals</x:v>
      </x:c>
      <x:c r="G711" s="44" t="n">
        <x:v>2</x:v>
      </x:c>
      <x:c r="H711" s="45" t="n">
        <x:v>1800</x:v>
      </x:c>
      <x:c r="I711" s="46" t="n">
        <x:v>0</x:v>
      </x:c>
      <x:c r="J711" s="47" t="n">
        <x:f>G711*H711*(1-I711)</x:f>
        <x:v>3600</x:v>
      </x:c>
      <x:c r="K711" s="47" t="n">
        <x:v>820</x:v>
      </x:c>
      <x:c r="L711" s="47" t="n">
        <x:f>G711*K711</x:f>
        <x:v>1640</x:v>
      </x:c>
      <x:c r="M711" s="47" t="n">
        <x:f>J711-L711</x:f>
        <x:v>1960</x:v>
      </x:c>
      <x:c r="N711" s="5" t="str">
        <x:v>Takeaway</x:v>
      </x:c>
      <x:c r="O711" s="5" t="str">
        <x:v>Transfer</x:v>
      </x:c>
      <x:c r="P711" s="5" t="str">
        <x:v>Lunch</x:v>
      </x:c>
      <x:c r="Q711" s="48" t="n">
        <x:v>12</x:v>
      </x:c>
      <x:c r="R711" s="5" t="n">
        <x:v>4</x:v>
      </x:c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5" t="str">
        <x:v>ORD-00908</x:v>
      </x:c>
      <x:c r="B712" s="43" t="n">
        <x:v>46114</x:v>
      </x:c>
      <x:c r="C712" s="5" t="str">
        <x:v>CUST-0575</x:v>
      </x:c>
      <x:c r="D712" s="5" t="str">
        <x:v>FD005</x:v>
      </x:c>
      <x:c r="E712" s="5" t="str">
        <x:v>Yam Porridge</x:v>
      </x:c>
      <x:c r="F712" s="5" t="str">
        <x:v>Traditional Meals</x:v>
      </x:c>
      <x:c r="G712" s="44" t="n">
        <x:v>3</x:v>
      </x:c>
      <x:c r="H712" s="45" t="n">
        <x:v>2200</x:v>
      </x:c>
      <x:c r="I712" s="46" t="n">
        <x:v>0</x:v>
      </x:c>
      <x:c r="J712" s="47" t="n">
        <x:f>G712*H712*(1-I712)</x:f>
        <x:v>6600</x:v>
      </x:c>
      <x:c r="K712" s="47" t="n">
        <x:v>1050</x:v>
      </x:c>
      <x:c r="L712" s="47" t="n">
        <x:f>G712*K712</x:f>
        <x:v>3150</x:v>
      </x:c>
      <x:c r="M712" s="47" t="n">
        <x:f>J712-L712</x:f>
        <x:v>3450</x:v>
      </x:c>
      <x:c r="N712" s="5" t="str">
        <x:v>Walk-in</x:v>
      </x:c>
      <x:c r="O712" s="5" t="str">
        <x:v>POS</x:v>
      </x:c>
      <x:c r="P712" s="5" t="str">
        <x:v>Lunch</x:v>
      </x:c>
      <x:c r="Q712" s="48" t="n">
        <x:v>15</x:v>
      </x:c>
      <x:c r="R712" s="5" t="n">
        <x:v>4</x:v>
      </x:c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5" t="str">
        <x:v>ORD-01223</x:v>
      </x:c>
      <x:c r="B713" s="43" t="n">
        <x:v>46114</x:v>
      </x:c>
      <x:c r="C713" s="5" t="str">
        <x:v>CUST-0024</x:v>
      </x:c>
      <x:c r="D713" s="5" t="str">
        <x:v>FD005</x:v>
      </x:c>
      <x:c r="E713" s="5" t="str">
        <x:v>Yam Porridge</x:v>
      </x:c>
      <x:c r="F713" s="5" t="str">
        <x:v>Traditional Meals</x:v>
      </x:c>
      <x:c r="G713" s="44" t="n">
        <x:v>2</x:v>
      </x:c>
      <x:c r="H713" s="45" t="n">
        <x:v>2200</x:v>
      </x:c>
      <x:c r="I713" s="46" t="n">
        <x:v>0</x:v>
      </x:c>
      <x:c r="J713" s="47" t="n">
        <x:f>G713*H713*(1-I713)</x:f>
        <x:v>4400</x:v>
      </x:c>
      <x:c r="K713" s="47" t="n">
        <x:v>1050</x:v>
      </x:c>
      <x:c r="L713" s="47" t="n">
        <x:f>G713*K713</x:f>
        <x:v>2100</x:v>
      </x:c>
      <x:c r="M713" s="47" t="n">
        <x:f>J713-L713</x:f>
        <x:v>2300</x:v>
      </x:c>
      <x:c r="N713" s="5" t="str">
        <x:v>Walk-in</x:v>
      </x:c>
      <x:c r="O713" s="5" t="str">
        <x:v>Cash</x:v>
      </x:c>
      <x:c r="P713" s="5" t="str">
        <x:v>Lunch</x:v>
      </x:c>
      <x:c r="Q713" s="48" t="n">
        <x:v>11</x:v>
      </x:c>
      <x:c r="R713" s="5" t="n">
        <x:v>5</x:v>
      </x:c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5" t="str">
        <x:v>ORD-01386</x:v>
      </x:c>
      <x:c r="B714" s="43" t="n">
        <x:v>46114</x:v>
      </x:c>
      <x:c r="C714" s="5" t="str">
        <x:v>CUST-0492</x:v>
      </x:c>
      <x:c r="D714" s="5" t="str">
        <x:v>FD009</x:v>
      </x:c>
      <x:c r="E714" s="5" t="str">
        <x:v>Moi Moi</x:v>
      </x:c>
      <x:c r="F714" s="5" t="str">
        <x:v>Sides</x:v>
      </x:c>
      <x:c r="G714" s="44" t="n">
        <x:v>4</x:v>
      </x:c>
      <x:c r="H714" s="45" t="n">
        <x:v>900</x:v>
      </x:c>
      <x:c r="I714" s="46" t="n">
        <x:v>0</x:v>
      </x:c>
      <x:c r="J714" s="47" t="n">
        <x:f>G714*H714*(1-I714)</x:f>
        <x:v>3600</x:v>
      </x:c>
      <x:c r="K714" s="47" t="n">
        <x:v>380</x:v>
      </x:c>
      <x:c r="L714" s="47" t="n">
        <x:f>G714*K714</x:f>
        <x:v>1520</x:v>
      </x:c>
      <x:c r="M714" s="47" t="n">
        <x:f>J714-L714</x:f>
        <x:v>2080</x:v>
      </x:c>
      <x:c r="N714" s="5" t="str">
        <x:v>Walk-in</x:v>
      </x:c>
      <x:c r="O714" s="5" t="str">
        <x:v>Transfer</x:v>
      </x:c>
      <x:c r="P714" s="5" t="str">
        <x:v>Lunch</x:v>
      </x:c>
      <x:c r="Q714" s="48" t="n">
        <x:v>13</x:v>
      </x:c>
      <x:c r="R714" s="5" t="n">
        <x:v>4</x:v>
      </x:c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5" t="str">
        <x:v>ORD-01773</x:v>
      </x:c>
      <x:c r="B715" s="43" t="n">
        <x:v>46114</x:v>
      </x:c>
      <x:c r="C715" s="5" t="str">
        <x:v>CUST-0152</x:v>
      </x:c>
      <x:c r="D715" s="5" t="str">
        <x:v>FD003</x:v>
      </x:c>
      <x:c r="E715" s="5" t="str">
        <x:v>Fried Rice &amp; Chicken</x:v>
      </x:c>
      <x:c r="F715" s="5" t="str">
        <x:v>Rice Meals</x:v>
      </x:c>
      <x:c r="G715" s="44" t="n">
        <x:v>2</x:v>
      </x:c>
      <x:c r="H715" s="45" t="n">
        <x:v>3000</x:v>
      </x:c>
      <x:c r="I715" s="46" t="n">
        <x:v>0</x:v>
      </x:c>
      <x:c r="J715" s="47" t="n">
        <x:f>G715*H715*(1-I715)</x:f>
        <x:v>6000</x:v>
      </x:c>
      <x:c r="K715" s="47" t="n">
        <x:v>1580</x:v>
      </x:c>
      <x:c r="L715" s="47" t="n">
        <x:f>G715*K715</x:f>
        <x:v>3160</x:v>
      </x:c>
      <x:c r="M715" s="47" t="n">
        <x:f>J715-L715</x:f>
        <x:v>2840</x:v>
      </x:c>
      <x:c r="N715" s="5" t="str">
        <x:v>Walk-in</x:v>
      </x:c>
      <x:c r="O715" s="5" t="str">
        <x:v>Cash</x:v>
      </x:c>
      <x:c r="P715" s="5" t="str">
        <x:v>Lunch</x:v>
      </x:c>
      <x:c r="Q715" s="48" t="n">
        <x:v>15</x:v>
      </x:c>
      <x:c r="R715" s="5" t="n">
        <x:v>5</x:v>
      </x:c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5" t="str">
        <x:v>ORD-00366</x:v>
      </x:c>
      <x:c r="B716" s="43" t="n">
        <x:v>46115</x:v>
      </x:c>
      <x:c r="C716" s="5" t="str">
        <x:v>CUST-0030</x:v>
      </x:c>
      <x:c r="D716" s="5" t="str">
        <x:v>FD002</x:v>
      </x:c>
      <x:c r="E716" s="5" t="str">
        <x:v>Jollof Rice &amp; Chicken</x:v>
      </x:c>
      <x:c r="F716" s="5" t="str">
        <x:v>Rice Meals</x:v>
      </x:c>
      <x:c r="G716" s="44" t="n">
        <x:v>2</x:v>
      </x:c>
      <x:c r="H716" s="45" t="n">
        <x:v>2800</x:v>
      </x:c>
      <x:c r="I716" s="46" t="n">
        <x:v>0</x:v>
      </x:c>
      <x:c r="J716" s="47" t="n">
        <x:f>G716*H716*(1-I716)</x:f>
        <x:v>5600</x:v>
      </x:c>
      <x:c r="K716" s="47" t="n">
        <x:v>1450</x:v>
      </x:c>
      <x:c r="L716" s="47" t="n">
        <x:f>G716*K716</x:f>
        <x:v>2900</x:v>
      </x:c>
      <x:c r="M716" s="47" t="n">
        <x:f>J716-L716</x:f>
        <x:v>2700</x:v>
      </x:c>
      <x:c r="N716" s="5" t="str">
        <x:v>Walk-in</x:v>
      </x:c>
      <x:c r="O716" s="5" t="str">
        <x:v>Transfer</x:v>
      </x:c>
      <x:c r="P716" s="5" t="str">
        <x:v>Lunch</x:v>
      </x:c>
      <x:c r="Q716" s="48" t="n">
        <x:v>15</x:v>
      </x:c>
      <x:c r="R716" s="5" t="n">
        <x:v>4</x:v>
      </x:c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5" t="str">
        <x:v>ORD-00472</x:v>
      </x:c>
      <x:c r="B717" s="43" t="n">
        <x:v>46115</x:v>
      </x:c>
      <x:c r="C717" s="5" t="str">
        <x:v>CUST-0258</x:v>
      </x:c>
      <x:c r="D717" s="5" t="str">
        <x:v>FD007</x:v>
      </x:c>
      <x:c r="E717" s="5" t="str">
        <x:v>Amala &amp; Ewedu</x:v>
      </x:c>
      <x:c r="F717" s="5" t="str">
        <x:v>Swallow</x:v>
      </x:c>
      <x:c r="G717" s="44" t="n">
        <x:v>3</x:v>
      </x:c>
      <x:c r="H717" s="45" t="n">
        <x:v>2500</x:v>
      </x:c>
      <x:c r="I717" s="46" t="n">
        <x:v>0</x:v>
      </x:c>
      <x:c r="J717" s="47" t="n">
        <x:f>G717*H717*(1-I717)</x:f>
        <x:v>7500</x:v>
      </x:c>
      <x:c r="K717" s="47" t="n">
        <x:v>1250</x:v>
      </x:c>
      <x:c r="L717" s="47" t="n">
        <x:f>G717*K717</x:f>
        <x:v>3750</x:v>
      </x:c>
      <x:c r="M717" s="47" t="n">
        <x:f>J717-L717</x:f>
        <x:v>3750</x:v>
      </x:c>
      <x:c r="N717" s="5" t="str">
        <x:v>Delivery</x:v>
      </x:c>
      <x:c r="O717" s="5" t="str">
        <x:v>POS</x:v>
      </x:c>
      <x:c r="P717" s="5" t="str">
        <x:v>Breakfast</x:v>
      </x:c>
      <x:c r="Q717" s="48" t="n">
        <x:v>10</x:v>
      </x:c>
      <x:c r="R717" s="5" t="n">
        <x:v>5</x:v>
      </x:c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5" t="str">
        <x:v>ORD-00515</x:v>
      </x:c>
      <x:c r="B718" s="43" t="n">
        <x:v>46115</x:v>
      </x:c>
      <x:c r="C718" s="5" t="str">
        <x:v>CUST-0503</x:v>
      </x:c>
      <x:c r="D718" s="5" t="str">
        <x:v>FD003</x:v>
      </x:c>
      <x:c r="E718" s="5" t="str">
        <x:v>Fried Rice &amp; Chicken</x:v>
      </x:c>
      <x:c r="F718" s="5" t="str">
        <x:v>Rice Meals</x:v>
      </x:c>
      <x:c r="G718" s="44" t="n">
        <x:v>1</x:v>
      </x:c>
      <x:c r="H718" s="45" t="n">
        <x:v>3000</x:v>
      </x:c>
      <x:c r="I718" s="46" t="n">
        <x:v>0</x:v>
      </x:c>
      <x:c r="J718" s="47" t="n">
        <x:f>G718*H718*(1-I718)</x:f>
        <x:v>3000</x:v>
      </x:c>
      <x:c r="K718" s="47" t="n">
        <x:v>1580</x:v>
      </x:c>
      <x:c r="L718" s="47" t="n">
        <x:f>G718*K718</x:f>
        <x:v>1580</x:v>
      </x:c>
      <x:c r="M718" s="47" t="n">
        <x:f>J718-L718</x:f>
        <x:v>1420</x:v>
      </x:c>
      <x:c r="N718" s="5" t="str">
        <x:v>Delivery</x:v>
      </x:c>
      <x:c r="O718" s="5" t="str">
        <x:v>Cash</x:v>
      </x:c>
      <x:c r="P718" s="5" t="str">
        <x:v>Lunch</x:v>
      </x:c>
      <x:c r="Q718" s="48" t="n">
        <x:v>12</x:v>
      </x:c>
      <x:c r="R718" s="5" t="n">
        <x:v>5</x:v>
      </x:c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5" t="str">
        <x:v>ORD-00572</x:v>
      </x:c>
      <x:c r="B719" s="43" t="n">
        <x:v>46115</x:v>
      </x:c>
      <x:c r="C719" s="5" t="str">
        <x:v>CUST-0226</x:v>
      </x:c>
      <x:c r="D719" s="5" t="str">
        <x:v>FD012</x:v>
      </x:c>
      <x:c r="E719" s="5" t="str">
        <x:v>Fried Plantain</x:v>
      </x:c>
      <x:c r="F719" s="5" t="str">
        <x:v>Sides</x:v>
      </x:c>
      <x:c r="G719" s="44" t="n">
        <x:v>4</x:v>
      </x:c>
      <x:c r="H719" s="45" t="n">
        <x:v>700</x:v>
      </x:c>
      <x:c r="I719" s="46" t="n">
        <x:v>0</x:v>
      </x:c>
      <x:c r="J719" s="47" t="n">
        <x:f>G719*H719*(1-I719)</x:f>
        <x:v>2800</x:v>
      </x:c>
      <x:c r="K719" s="47" t="n">
        <x:v>300</x:v>
      </x:c>
      <x:c r="L719" s="47" t="n">
        <x:f>G719*K719</x:f>
        <x:v>1200</x:v>
      </x:c>
      <x:c r="M719" s="47" t="n">
        <x:f>J719-L719</x:f>
        <x:v>1600</x:v>
      </x:c>
      <x:c r="N719" s="5" t="str">
        <x:v>Delivery</x:v>
      </x:c>
      <x:c r="O719" s="5" t="str">
        <x:v>Cash</x:v>
      </x:c>
      <x:c r="P719" s="5" t="str">
        <x:v>Lunch</x:v>
      </x:c>
      <x:c r="Q719" s="48" t="n">
        <x:v>11</x:v>
      </x:c>
      <x:c r="R719" s="5" t="n">
        <x:v>5</x:v>
      </x:c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5" t="str">
        <x:v>ORD-00654</x:v>
      </x:c>
      <x:c r="B720" s="43" t="n">
        <x:v>46115</x:v>
      </x:c>
      <x:c r="C720" s="5" t="str">
        <x:v>CUST-0604</x:v>
      </x:c>
      <x:c r="D720" s="5" t="str">
        <x:v>FD006</x:v>
      </x:c>
      <x:c r="E720" s="5" t="str">
        <x:v>Eba &amp; Egusi Soup</x:v>
      </x:c>
      <x:c r="F720" s="5" t="str">
        <x:v>Swallow</x:v>
      </x:c>
      <x:c r="G720" s="44" t="n">
        <x:v>1</x:v>
      </x:c>
      <x:c r="H720" s="45" t="n">
        <x:v>2600</x:v>
      </x:c>
      <x:c r="I720" s="46" t="n">
        <x:v>0</x:v>
      </x:c>
      <x:c r="J720" s="47" t="n">
        <x:f>G720*H720*(1-I720)</x:f>
        <x:v>2600</x:v>
      </x:c>
      <x:c r="K720" s="47" t="n">
        <x:v>1320</x:v>
      </x:c>
      <x:c r="L720" s="47" t="n">
        <x:f>G720*K720</x:f>
        <x:v>1320</x:v>
      </x:c>
      <x:c r="M720" s="47" t="n">
        <x:f>J720-L720</x:f>
        <x:v>1280</x:v>
      </x:c>
      <x:c r="N720" s="5" t="str">
        <x:v>Walk-in</x:v>
      </x:c>
      <x:c r="O720" s="5" t="str">
        <x:v>Transfer</x:v>
      </x:c>
      <x:c r="P720" s="5" t="str">
        <x:v>Dinner</x:v>
      </x:c>
      <x:c r="Q720" s="48" t="n">
        <x:v>19</x:v>
      </x:c>
      <x:c r="R720" s="5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5" t="str">
        <x:v>ORD-01080</x:v>
      </x:c>
      <x:c r="B721" s="43" t="n">
        <x:v>46115</x:v>
      </x:c>
      <x:c r="C721" s="5" t="str">
        <x:v>CUST-0025</x:v>
      </x:c>
      <x:c r="D721" s="5" t="str">
        <x:v>FD012</x:v>
      </x:c>
      <x:c r="E721" s="5" t="str">
        <x:v>Fried Plantain</x:v>
      </x:c>
      <x:c r="F721" s="5" t="str">
        <x:v>Sides</x:v>
      </x:c>
      <x:c r="G721" s="44" t="n">
        <x:v>1</x:v>
      </x:c>
      <x:c r="H721" s="45" t="n">
        <x:v>700</x:v>
      </x:c>
      <x:c r="I721" s="46" t="n">
        <x:v>0</x:v>
      </x:c>
      <x:c r="J721" s="47" t="n">
        <x:f>G721*H721*(1-I721)</x:f>
        <x:v>700</x:v>
      </x:c>
      <x:c r="K721" s="47" t="n">
        <x:v>300</x:v>
      </x:c>
      <x:c r="L721" s="47" t="n">
        <x:f>G721*K721</x:f>
        <x:v>300</x:v>
      </x:c>
      <x:c r="M721" s="47" t="n">
        <x:f>J721-L721</x:f>
        <x:v>400</x:v>
      </x:c>
      <x:c r="N721" s="5" t="str">
        <x:v>Walk-in</x:v>
      </x:c>
      <x:c r="O721" s="5" t="str">
        <x:v>Transfer</x:v>
      </x:c>
      <x:c r="P721" s="5" t="str">
        <x:v>Lunch</x:v>
      </x:c>
      <x:c r="Q721" s="48" t="n">
        <x:v>12</x:v>
      </x:c>
      <x:c r="R721" s="5" t="n">
        <x:v>4</x:v>
      </x:c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5" t="str">
        <x:v>ORD-01521</x:v>
      </x:c>
      <x:c r="B722" s="43" t="n">
        <x:v>46115</x:v>
      </x:c>
      <x:c r="C722" s="5" t="str">
        <x:v>CUST-0331</x:v>
      </x:c>
      <x:c r="D722" s="5" t="str">
        <x:v>FD001</x:v>
      </x:c>
      <x:c r="E722" s="5" t="str">
        <x:v>White Rice &amp; Stew</x:v>
      </x:c>
      <x:c r="F722" s="5" t="str">
        <x:v>Rice Meals</x:v>
      </x:c>
      <x:c r="G722" s="44" t="n">
        <x:v>2</x:v>
      </x:c>
      <x:c r="H722" s="45" t="n">
        <x:v>1800</x:v>
      </x:c>
      <x:c r="I722" s="46" t="n">
        <x:v>0</x:v>
      </x:c>
      <x:c r="J722" s="47" t="n">
        <x:f>G722*H722*(1-I722)</x:f>
        <x:v>3600</x:v>
      </x:c>
      <x:c r="K722" s="47" t="n">
        <x:v>820</x:v>
      </x:c>
      <x:c r="L722" s="47" t="n">
        <x:f>G722*K722</x:f>
        <x:v>1640</x:v>
      </x:c>
      <x:c r="M722" s="47" t="n">
        <x:f>J722-L722</x:f>
        <x:v>1960</x:v>
      </x:c>
      <x:c r="N722" s="5" t="str">
        <x:v>Walk-in</x:v>
      </x:c>
      <x:c r="O722" s="5" t="str">
        <x:v>Transfer</x:v>
      </x:c>
      <x:c r="P722" s="5" t="str">
        <x:v>Dinner</x:v>
      </x:c>
      <x:c r="Q722" s="48" t="n">
        <x:v>17</x:v>
      </x:c>
      <x:c r="R722" s="5" t="n">
        <x:v>5</x:v>
      </x:c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5" t="str">
        <x:v>ORD-01628</x:v>
      </x:c>
      <x:c r="B723" s="43" t="n">
        <x:v>46115</x:v>
      </x:c>
      <x:c r="C723" s="5" t="str">
        <x:v>CUST-0094</x:v>
      </x:c>
      <x:c r="D723" s="5" t="str">
        <x:v>FD006</x:v>
      </x:c>
      <x:c r="E723" s="5" t="str">
        <x:v>Eba &amp; Egusi Soup</x:v>
      </x:c>
      <x:c r="F723" s="5" t="str">
        <x:v>Swallow</x:v>
      </x:c>
      <x:c r="G723" s="44" t="n">
        <x:v>3</x:v>
      </x:c>
      <x:c r="H723" s="45" t="n">
        <x:v>2600</x:v>
      </x:c>
      <x:c r="I723" s="46" t="n">
        <x:v>0</x:v>
      </x:c>
      <x:c r="J723" s="47" t="n">
        <x:f>G723*H723*(1-I723)</x:f>
        <x:v>7800</x:v>
      </x:c>
      <x:c r="K723" s="47" t="n">
        <x:v>1320</x:v>
      </x:c>
      <x:c r="L723" s="47" t="n">
        <x:f>G723*K723</x:f>
        <x:v>3960</x:v>
      </x:c>
      <x:c r="M723" s="47" t="n">
        <x:f>J723-L723</x:f>
        <x:v>3840</x:v>
      </x:c>
      <x:c r="N723" s="5" t="str">
        <x:v>Takeaway</x:v>
      </x:c>
      <x:c r="O723" s="5" t="str">
        <x:v>POS</x:v>
      </x:c>
      <x:c r="P723" s="5" t="str">
        <x:v>Lunch</x:v>
      </x:c>
      <x:c r="Q723" s="48" t="n">
        <x:v>11</x:v>
      </x:c>
      <x:c r="R723" s="5" t="n">
        <x:v>4</x:v>
      </x:c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5" t="str">
        <x:v>ORD-00212</x:v>
      </x:c>
      <x:c r="B724" s="43" t="n">
        <x:v>46116</x:v>
      </x:c>
      <x:c r="C724" s="5" t="str">
        <x:v>CUST-0497</x:v>
      </x:c>
      <x:c r="D724" s="5" t="str">
        <x:v>FD007</x:v>
      </x:c>
      <x:c r="E724" s="5" t="str">
        <x:v>Amala &amp; Ewedu</x:v>
      </x:c>
      <x:c r="F724" s="5" t="str">
        <x:v>Swallow</x:v>
      </x:c>
      <x:c r="G724" s="44" t="n">
        <x:v>3</x:v>
      </x:c>
      <x:c r="H724" s="45" t="n">
        <x:v>2500</x:v>
      </x:c>
      <x:c r="I724" s="46" t="n">
        <x:v>0.1</x:v>
      </x:c>
      <x:c r="J724" s="47" t="n">
        <x:f>G724*H724*(1-I724)</x:f>
        <x:v>6750</x:v>
      </x:c>
      <x:c r="K724" s="47" t="n">
        <x:v>1250</x:v>
      </x:c>
      <x:c r="L724" s="47" t="n">
        <x:f>G724*K724</x:f>
        <x:v>3750</x:v>
      </x:c>
      <x:c r="M724" s="47" t="n">
        <x:f>J724-L724</x:f>
        <x:v>3000</x:v>
      </x:c>
      <x:c r="N724" s="5" t="str">
        <x:v>Takeaway</x:v>
      </x:c>
      <x:c r="O724" s="5" t="str">
        <x:v>POS</x:v>
      </x:c>
      <x:c r="P724" s="5" t="str">
        <x:v>Lunch</x:v>
      </x:c>
      <x:c r="Q724" s="48" t="n">
        <x:v>14</x:v>
      </x:c>
      <x:c r="R724" s="5" t="n">
        <x:v>4</x:v>
      </x:c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5" t="str">
        <x:v>ORD-00348</x:v>
      </x:c>
      <x:c r="B725" s="43" t="n">
        <x:v>46116</x:v>
      </x:c>
      <x:c r="C725" s="5" t="str">
        <x:v>CUST-0304</x:v>
      </x:c>
      <x:c r="D725" s="5" t="str">
        <x:v>FD004</x:v>
      </x:c>
      <x:c r="E725" s="5" t="str">
        <x:v>Beans &amp; Plantain</x:v>
      </x:c>
      <x:c r="F725" s="5" t="str">
        <x:v>Traditional Meals</x:v>
      </x:c>
      <x:c r="G725" s="44" t="n">
        <x:v>1</x:v>
      </x:c>
      <x:c r="H725" s="45" t="n">
        <x:v>2000</x:v>
      </x:c>
      <x:c r="I725" s="46" t="n">
        <x:v>0</x:v>
      </x:c>
      <x:c r="J725" s="47" t="n">
        <x:f>G725*H725*(1-I725)</x:f>
        <x:v>2000</x:v>
      </x:c>
      <x:c r="K725" s="47" t="n">
        <x:v>960</x:v>
      </x:c>
      <x:c r="L725" s="47" t="n">
        <x:f>G725*K725</x:f>
        <x:v>960</x:v>
      </x:c>
      <x:c r="M725" s="47" t="n">
        <x:f>J725-L725</x:f>
        <x:v>1040</x:v>
      </x:c>
      <x:c r="N725" s="5" t="str">
        <x:v>Takeaway</x:v>
      </x:c>
      <x:c r="O725" s="5" t="str">
        <x:v>POS</x:v>
      </x:c>
      <x:c r="P725" s="5" t="str">
        <x:v>Lunch</x:v>
      </x:c>
      <x:c r="Q725" s="48" t="n">
        <x:v>14</x:v>
      </x:c>
      <x:c r="R725" s="5" t="n">
        <x:v>5</x:v>
      </x:c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5" t="str">
        <x:v>ORD-00704</x:v>
      </x:c>
      <x:c r="B726" s="43" t="n">
        <x:v>46116</x:v>
      </x:c>
      <x:c r="C726" s="5" t="str">
        <x:v>CUST-0497</x:v>
      </x:c>
      <x:c r="D726" s="5" t="str">
        <x:v>FD002</x:v>
      </x:c>
      <x:c r="E726" s="5" t="str">
        <x:v>Jollof Rice &amp; Chicken</x:v>
      </x:c>
      <x:c r="F726" s="5" t="str">
        <x:v>Rice Meals</x:v>
      </x:c>
      <x:c r="G726" s="44" t="n">
        <x:v>3</x:v>
      </x:c>
      <x:c r="H726" s="45" t="n">
        <x:v>2800</x:v>
      </x:c>
      <x:c r="I726" s="46" t="n">
        <x:v>0.05</x:v>
      </x:c>
      <x:c r="J726" s="47" t="n">
        <x:f>G726*H726*(1-I726)</x:f>
        <x:v>7980</x:v>
      </x:c>
      <x:c r="K726" s="47" t="n">
        <x:v>1450</x:v>
      </x:c>
      <x:c r="L726" s="47" t="n">
        <x:f>G726*K726</x:f>
        <x:v>4350</x:v>
      </x:c>
      <x:c r="M726" s="47" t="n">
        <x:f>J726-L726</x:f>
        <x:v>3630</x:v>
      </x:c>
      <x:c r="N726" s="5" t="str">
        <x:v>Takeaway</x:v>
      </x:c>
      <x:c r="O726" s="5" t="str">
        <x:v>Cash</x:v>
      </x:c>
      <x:c r="P726" s="5" t="str">
        <x:v>Lunch</x:v>
      </x:c>
      <x:c r="Q726" s="48" t="n">
        <x:v>13</x:v>
      </x:c>
      <x:c r="R726" s="5" t="n">
        <x:v>5</x:v>
      </x:c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5" t="str">
        <x:v>ORD-01052</x:v>
      </x:c>
      <x:c r="B727" s="43" t="n">
        <x:v>46116</x:v>
      </x:c>
      <x:c r="C727" s="5" t="str">
        <x:v>CUST-0444</x:v>
      </x:c>
      <x:c r="D727" s="5" t="str">
        <x:v>FD002</x:v>
      </x:c>
      <x:c r="E727" s="5" t="str">
        <x:v>Jollof Rice &amp; Chicken</x:v>
      </x:c>
      <x:c r="F727" s="5" t="str">
        <x:v>Rice Meals</x:v>
      </x:c>
      <x:c r="G727" s="44" t="n">
        <x:v>3</x:v>
      </x:c>
      <x:c r="H727" s="45" t="n">
        <x:v>2800</x:v>
      </x:c>
      <x:c r="I727" s="46" t="n">
        <x:v>0</x:v>
      </x:c>
      <x:c r="J727" s="47" t="n">
        <x:f>G727*H727*(1-I727)</x:f>
        <x:v>8400</x:v>
      </x:c>
      <x:c r="K727" s="47" t="n">
        <x:v>1450</x:v>
      </x:c>
      <x:c r="L727" s="47" t="n">
        <x:f>G727*K727</x:f>
        <x:v>4350</x:v>
      </x:c>
      <x:c r="M727" s="47" t="n">
        <x:f>J727-L727</x:f>
        <x:v>4050</x:v>
      </x:c>
      <x:c r="N727" s="5" t="str">
        <x:v>Walk-in</x:v>
      </x:c>
      <x:c r="O727" s="5" t="str">
        <x:v>POS</x:v>
      </x:c>
      <x:c r="P727" s="5" t="str">
        <x:v>Lunch</x:v>
      </x:c>
      <x:c r="Q727" s="48" t="n">
        <x:v>15</x:v>
      </x:c>
      <x:c r="R727" s="5" t="n">
        <x:v>4</x:v>
      </x:c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5" t="str">
        <x:v>ORD-01161</x:v>
      </x:c>
      <x:c r="B728" s="43" t="n">
        <x:v>46116</x:v>
      </x:c>
      <x:c r="C728" s="5" t="str">
        <x:v>CUST-0558</x:v>
      </x:c>
      <x:c r="D728" s="5" t="str">
        <x:v>FD005</x:v>
      </x:c>
      <x:c r="E728" s="5" t="str">
        <x:v>Yam Porridge</x:v>
      </x:c>
      <x:c r="F728" s="5" t="str">
        <x:v>Traditional Meals</x:v>
      </x:c>
      <x:c r="G728" s="44" t="n">
        <x:v>4</x:v>
      </x:c>
      <x:c r="H728" s="45" t="n">
        <x:v>2200</x:v>
      </x:c>
      <x:c r="I728" s="46" t="n">
        <x:v>0</x:v>
      </x:c>
      <x:c r="J728" s="47" t="n">
        <x:f>G728*H728*(1-I728)</x:f>
        <x:v>8800</x:v>
      </x:c>
      <x:c r="K728" s="47" t="n">
        <x:v>1050</x:v>
      </x:c>
      <x:c r="L728" s="47" t="n">
        <x:f>G728*K728</x:f>
        <x:v>4200</x:v>
      </x:c>
      <x:c r="M728" s="47" t="n">
        <x:f>J728-L728</x:f>
        <x:v>4600</x:v>
      </x:c>
      <x:c r="N728" s="5" t="str">
        <x:v>Walk-in</x:v>
      </x:c>
      <x:c r="O728" s="5" t="str">
        <x:v>Cash</x:v>
      </x:c>
      <x:c r="P728" s="5" t="str">
        <x:v>Breakfast</x:v>
      </x:c>
      <x:c r="Q728" s="48" t="n">
        <x:v>8</x:v>
      </x:c>
      <x:c r="R728" s="5" t="n">
        <x:v>3</x:v>
      </x:c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5" t="str">
        <x:v>ORD-01297</x:v>
      </x:c>
      <x:c r="B729" s="43" t="n">
        <x:v>46116</x:v>
      </x:c>
      <x:c r="C729" s="5" t="str">
        <x:v>CUST-0632</x:v>
      </x:c>
      <x:c r="D729" s="5" t="str">
        <x:v>FD001</x:v>
      </x:c>
      <x:c r="E729" s="5" t="str">
        <x:v>White Rice &amp; Stew</x:v>
      </x:c>
      <x:c r="F729" s="5" t="str">
        <x:v>Rice Meals</x:v>
      </x:c>
      <x:c r="G729" s="44" t="n">
        <x:v>1</x:v>
      </x:c>
      <x:c r="H729" s="45" t="n">
        <x:v>1800</x:v>
      </x:c>
      <x:c r="I729" s="46" t="n">
        <x:v>0</x:v>
      </x:c>
      <x:c r="J729" s="47" t="n">
        <x:f>G729*H729*(1-I729)</x:f>
        <x:v>1800</x:v>
      </x:c>
      <x:c r="K729" s="47" t="n">
        <x:v>820</x:v>
      </x:c>
      <x:c r="L729" s="47" t="n">
        <x:f>G729*K729</x:f>
        <x:v>820</x:v>
      </x:c>
      <x:c r="M729" s="47" t="n">
        <x:f>J729-L729</x:f>
        <x:v>980</x:v>
      </x:c>
      <x:c r="N729" s="5" t="str">
        <x:v>Walk-in</x:v>
      </x:c>
      <x:c r="O729" s="5" t="str">
        <x:v>Cash</x:v>
      </x:c>
      <x:c r="P729" s="5" t="str">
        <x:v>Lunch</x:v>
      </x:c>
      <x:c r="Q729" s="48" t="n">
        <x:v>14</x:v>
      </x:c>
      <x:c r="R729" s="5" t="n">
        <x:v>4</x:v>
      </x:c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5" t="str">
        <x:v>ORD-01707</x:v>
      </x:c>
      <x:c r="B730" s="43" t="n">
        <x:v>46116</x:v>
      </x:c>
      <x:c r="C730" s="5" t="str">
        <x:v>CUST-0583</x:v>
      </x:c>
      <x:c r="D730" s="5" t="str">
        <x:v>FD007</x:v>
      </x:c>
      <x:c r="E730" s="5" t="str">
        <x:v>Amala &amp; Ewedu</x:v>
      </x:c>
      <x:c r="F730" s="5" t="str">
        <x:v>Swallow</x:v>
      </x:c>
      <x:c r="G730" s="44" t="n">
        <x:v>1</x:v>
      </x:c>
      <x:c r="H730" s="45" t="n">
        <x:v>2500</x:v>
      </x:c>
      <x:c r="I730" s="46" t="n">
        <x:v>0</x:v>
      </x:c>
      <x:c r="J730" s="47" t="n">
        <x:f>G730*H730*(1-I730)</x:f>
        <x:v>2500</x:v>
      </x:c>
      <x:c r="K730" s="47" t="n">
        <x:v>1250</x:v>
      </x:c>
      <x:c r="L730" s="47" t="n">
        <x:f>G730*K730</x:f>
        <x:v>1250</x:v>
      </x:c>
      <x:c r="M730" s="47" t="n">
        <x:f>J730-L730</x:f>
        <x:v>1250</x:v>
      </x:c>
      <x:c r="N730" s="5" t="str">
        <x:v>Walk-in</x:v>
      </x:c>
      <x:c r="O730" s="5" t="str">
        <x:v>POS</x:v>
      </x:c>
      <x:c r="P730" s="5" t="str">
        <x:v>Breakfast</x:v>
      </x:c>
      <x:c r="Q730" s="48" t="n">
        <x:v>9</x:v>
      </x:c>
      <x:c r="R730" s="5" t="n">
        <x:v>5</x:v>
      </x:c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5" t="str">
        <x:v>ORD-00643</x:v>
      </x:c>
      <x:c r="B731" s="43" t="n">
        <x:v>46117</x:v>
      </x:c>
      <x:c r="C731" s="5" t="str">
        <x:v>CUST-0275</x:v>
      </x:c>
      <x:c r="D731" s="5" t="str">
        <x:v>FD004</x:v>
      </x:c>
      <x:c r="E731" s="5" t="str">
        <x:v>Beans &amp; Plantain</x:v>
      </x:c>
      <x:c r="F731" s="5" t="str">
        <x:v>Traditional Meals</x:v>
      </x:c>
      <x:c r="G731" s="44" t="n">
        <x:v>1</x:v>
      </x:c>
      <x:c r="H731" s="45" t="n">
        <x:v>2000</x:v>
      </x:c>
      <x:c r="I731" s="46" t="n">
        <x:v>0</x:v>
      </x:c>
      <x:c r="J731" s="47" t="n">
        <x:f>G731*H731*(1-I731)</x:f>
        <x:v>2000</x:v>
      </x:c>
      <x:c r="K731" s="47" t="n">
        <x:v>960</x:v>
      </x:c>
      <x:c r="L731" s="47" t="n">
        <x:f>G731*K731</x:f>
        <x:v>960</x:v>
      </x:c>
      <x:c r="M731" s="47" t="n">
        <x:f>J731-L731</x:f>
        <x:v>1040</x:v>
      </x:c>
      <x:c r="N731" s="5" t="str">
        <x:v>Walk-in</x:v>
      </x:c>
      <x:c r="O731" s="5" t="str">
        <x:v>POS</x:v>
      </x:c>
      <x:c r="P731" s="5" t="str">
        <x:v>Dinner</x:v>
      </x:c>
      <x:c r="Q731" s="48" t="n">
        <x:v>19</x:v>
      </x:c>
      <x:c r="R731" s="5" t="n">
        <x:v>4</x:v>
      </x:c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5" t="str">
        <x:v>ORD-01075</x:v>
      </x:c>
      <x:c r="B732" s="43" t="n">
        <x:v>46117</x:v>
      </x:c>
      <x:c r="C732" s="5" t="str">
        <x:v>CUST-0367</x:v>
      </x:c>
      <x:c r="D732" s="5" t="str">
        <x:v>FD006</x:v>
      </x:c>
      <x:c r="E732" s="5" t="str">
        <x:v>Eba &amp; Egusi Soup</x:v>
      </x:c>
      <x:c r="F732" s="5" t="str">
        <x:v>Swallow</x:v>
      </x:c>
      <x:c r="G732" s="44" t="n">
        <x:v>4</x:v>
      </x:c>
      <x:c r="H732" s="45" t="n">
        <x:v>2600</x:v>
      </x:c>
      <x:c r="I732" s="46" t="n">
        <x:v>0</x:v>
      </x:c>
      <x:c r="J732" s="47" t="n">
        <x:f>G732*H732*(1-I732)</x:f>
        <x:v>10400</x:v>
      </x:c>
      <x:c r="K732" s="47" t="n">
        <x:v>1320</x:v>
      </x:c>
      <x:c r="L732" s="47" t="n">
        <x:f>G732*K732</x:f>
        <x:v>5280</x:v>
      </x:c>
      <x:c r="M732" s="47" t="n">
        <x:f>J732-L732</x:f>
        <x:v>5120</x:v>
      </x:c>
      <x:c r="N732" s="5" t="str">
        <x:v>Takeaway</x:v>
      </x:c>
      <x:c r="O732" s="5" t="str">
        <x:v>POS</x:v>
      </x:c>
      <x:c r="P732" s="5" t="str">
        <x:v>Lunch</x:v>
      </x:c>
      <x:c r="Q732" s="48" t="n">
        <x:v>14</x:v>
      </x:c>
      <x:c r="R732" s="5" t="n">
        <x:v>4</x:v>
      </x:c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5" t="str">
        <x:v>ORD-01239</x:v>
      </x:c>
      <x:c r="B733" s="43" t="n">
        <x:v>46117</x:v>
      </x:c>
      <x:c r="C733" s="5" t="str">
        <x:v>CUST-0238</x:v>
      </x:c>
      <x:c r="D733" s="5" t="str">
        <x:v>FD005</x:v>
      </x:c>
      <x:c r="E733" s="5" t="str">
        <x:v>Yam Porridge</x:v>
      </x:c>
      <x:c r="F733" s="5" t="str">
        <x:v>Traditional Meals</x:v>
      </x:c>
      <x:c r="G733" s="44" t="n">
        <x:v>3</x:v>
      </x:c>
      <x:c r="H733" s="45" t="n">
        <x:v>2200</x:v>
      </x:c>
      <x:c r="I733" s="46" t="n">
        <x:v>0</x:v>
      </x:c>
      <x:c r="J733" s="47" t="n">
        <x:f>G733*H733*(1-I733)</x:f>
        <x:v>6600</x:v>
      </x:c>
      <x:c r="K733" s="47" t="n">
        <x:v>1050</x:v>
      </x:c>
      <x:c r="L733" s="47" t="n">
        <x:f>G733*K733</x:f>
        <x:v>3150</x:v>
      </x:c>
      <x:c r="M733" s="47" t="n">
        <x:f>J733-L733</x:f>
        <x:v>3450</x:v>
      </x:c>
      <x:c r="N733" s="5" t="str">
        <x:v>Delivery</x:v>
      </x:c>
      <x:c r="O733" s="5" t="str">
        <x:v>POS</x:v>
      </x:c>
      <x:c r="P733" s="5" t="str">
        <x:v>Lunch</x:v>
      </x:c>
      <x:c r="Q733" s="48" t="n">
        <x:v>15</x:v>
      </x:c>
      <x:c r="R733" s="5" t="n">
        <x:v>5</x:v>
      </x:c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5" t="str">
        <x:v>ORD-01614</x:v>
      </x:c>
      <x:c r="B734" s="43" t="n">
        <x:v>46117</x:v>
      </x:c>
      <x:c r="C734" s="5" t="str">
        <x:v>CUST-0073</x:v>
      </x:c>
      <x:c r="D734" s="5" t="str">
        <x:v>FD003</x:v>
      </x:c>
      <x:c r="E734" s="5" t="str">
        <x:v>Fried Rice &amp; Chicken</x:v>
      </x:c>
      <x:c r="F734" s="5" t="str">
        <x:v>Rice Meals</x:v>
      </x:c>
      <x:c r="G734" s="44" t="n">
        <x:v>2</x:v>
      </x:c>
      <x:c r="H734" s="45" t="n">
        <x:v>3000</x:v>
      </x:c>
      <x:c r="I734" s="46" t="n">
        <x:v>0</x:v>
      </x:c>
      <x:c r="J734" s="47" t="n">
        <x:f>G734*H734*(1-I734)</x:f>
        <x:v>6000</x:v>
      </x:c>
      <x:c r="K734" s="47" t="n">
        <x:v>1580</x:v>
      </x:c>
      <x:c r="L734" s="47" t="n">
        <x:f>G734*K734</x:f>
        <x:v>3160</x:v>
      </x:c>
      <x:c r="M734" s="47" t="n">
        <x:f>J734-L734</x:f>
        <x:v>2840</x:v>
      </x:c>
      <x:c r="N734" s="5" t="str">
        <x:v>Walk-in</x:v>
      </x:c>
      <x:c r="O734" s="5" t="str">
        <x:v>POS</x:v>
      </x:c>
      <x:c r="P734" s="5" t="str">
        <x:v>Breakfast</x:v>
      </x:c>
      <x:c r="Q734" s="48" t="n">
        <x:v>10</x:v>
      </x:c>
      <x:c r="R734" s="5" t="n">
        <x:v>5</x:v>
      </x:c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5" t="str">
        <x:v>ORD-00284</x:v>
      </x:c>
      <x:c r="B735" s="43" t="n">
        <x:v>46118</x:v>
      </x:c>
      <x:c r="C735" s="5" t="str">
        <x:v>CUST-0595</x:v>
      </x:c>
      <x:c r="D735" s="5" t="str">
        <x:v>FD012</x:v>
      </x:c>
      <x:c r="E735" s="5" t="str">
        <x:v>Fried Plantain</x:v>
      </x:c>
      <x:c r="F735" s="5" t="str">
        <x:v>Sides</x:v>
      </x:c>
      <x:c r="G735" s="44" t="n">
        <x:v>4</x:v>
      </x:c>
      <x:c r="H735" s="45" t="n">
        <x:v>700</x:v>
      </x:c>
      <x:c r="I735" s="46" t="n">
        <x:v>0</x:v>
      </x:c>
      <x:c r="J735" s="47" t="n">
        <x:f>G735*H735*(1-I735)</x:f>
        <x:v>2800</x:v>
      </x:c>
      <x:c r="K735" s="47" t="n">
        <x:v>300</x:v>
      </x:c>
      <x:c r="L735" s="47" t="n">
        <x:f>G735*K735</x:f>
        <x:v>1200</x:v>
      </x:c>
      <x:c r="M735" s="47" t="n">
        <x:f>J735-L735</x:f>
        <x:v>1600</x:v>
      </x:c>
      <x:c r="N735" s="5" t="str">
        <x:v>Walk-in</x:v>
      </x:c>
      <x:c r="O735" s="5" t="str">
        <x:v>Cash</x:v>
      </x:c>
      <x:c r="P735" s="5" t="str">
        <x:v>Lunch</x:v>
      </x:c>
      <x:c r="Q735" s="48" t="n">
        <x:v>15</x:v>
      </x:c>
      <x:c r="R735" s="5" t="n">
        <x:v>5</x:v>
      </x:c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5" t="str">
        <x:v>ORD-01031</x:v>
      </x:c>
      <x:c r="B736" s="43" t="n">
        <x:v>46118</x:v>
      </x:c>
      <x:c r="C736" s="5" t="str">
        <x:v>CUST-0615</x:v>
      </x:c>
      <x:c r="D736" s="5" t="str">
        <x:v>FD003</x:v>
      </x:c>
      <x:c r="E736" s="5" t="str">
        <x:v>Fried Rice &amp; Chicken</x:v>
      </x:c>
      <x:c r="F736" s="5" t="str">
        <x:v>Rice Meals</x:v>
      </x:c>
      <x:c r="G736" s="44" t="n">
        <x:v>2</x:v>
      </x:c>
      <x:c r="H736" s="45" t="n">
        <x:v>3000</x:v>
      </x:c>
      <x:c r="I736" s="46" t="n">
        <x:v>0</x:v>
      </x:c>
      <x:c r="J736" s="47" t="n">
        <x:f>G736*H736*(1-I736)</x:f>
        <x:v>6000</x:v>
      </x:c>
      <x:c r="K736" s="47" t="n">
        <x:v>1580</x:v>
      </x:c>
      <x:c r="L736" s="47" t="n">
        <x:f>G736*K736</x:f>
        <x:v>3160</x:v>
      </x:c>
      <x:c r="M736" s="47" t="n">
        <x:f>J736-L736</x:f>
        <x:v>2840</x:v>
      </x:c>
      <x:c r="N736" s="5" t="str">
        <x:v>Walk-in</x:v>
      </x:c>
      <x:c r="O736" s="5" t="str">
        <x:v>POS</x:v>
      </x:c>
      <x:c r="P736" s="5" t="str">
        <x:v>Lunch</x:v>
      </x:c>
      <x:c r="Q736" s="48" t="n">
        <x:v>14</x:v>
      </x:c>
      <x:c r="R736" s="5" t="n">
        <x:v>4</x:v>
      </x:c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5" t="str">
        <x:v>ORD-01077</x:v>
      </x:c>
      <x:c r="B737" s="43" t="n">
        <x:v>46118</x:v>
      </x:c>
      <x:c r="C737" s="5" t="str">
        <x:v>CUST-0381</x:v>
      </x:c>
      <x:c r="D737" s="5" t="str">
        <x:v>FD006</x:v>
      </x:c>
      <x:c r="E737" s="5" t="str">
        <x:v>Eba &amp; Egusi Soup</x:v>
      </x:c>
      <x:c r="F737" s="5" t="str">
        <x:v>Swallow</x:v>
      </x:c>
      <x:c r="G737" s="44" t="n">
        <x:v>4</x:v>
      </x:c>
      <x:c r="H737" s="45" t="n">
        <x:v>2600</x:v>
      </x:c>
      <x:c r="I737" s="46" t="n">
        <x:v>0</x:v>
      </x:c>
      <x:c r="J737" s="47" t="n">
        <x:f>G737*H737*(1-I737)</x:f>
        <x:v>10400</x:v>
      </x:c>
      <x:c r="K737" s="47" t="n">
        <x:v>1320</x:v>
      </x:c>
      <x:c r="L737" s="47" t="n">
        <x:f>G737*K737</x:f>
        <x:v>5280</x:v>
      </x:c>
      <x:c r="M737" s="47" t="n">
        <x:f>J737-L737</x:f>
        <x:v>5120</x:v>
      </x:c>
      <x:c r="N737" s="5" t="str">
        <x:v>Takeaway</x:v>
      </x:c>
      <x:c r="O737" s="5" t="str">
        <x:v>Transfer</x:v>
      </x:c>
      <x:c r="P737" s="5" t="str">
        <x:v>Lunch</x:v>
      </x:c>
      <x:c r="Q737" s="48" t="n">
        <x:v>12</x:v>
      </x:c>
      <x:c r="R737" s="5" t="n">
        <x:v>4</x:v>
      </x:c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5" t="str">
        <x:v>ORD-01209</x:v>
      </x:c>
      <x:c r="B738" s="43" t="n">
        <x:v>46118</x:v>
      </x:c>
      <x:c r="C738" s="5" t="str">
        <x:v>CUST-0585</x:v>
      </x:c>
      <x:c r="D738" s="5" t="str">
        <x:v>FD004</x:v>
      </x:c>
      <x:c r="E738" s="5" t="str">
        <x:v>Beans &amp; Plantain</x:v>
      </x:c>
      <x:c r="F738" s="5" t="str">
        <x:v>Traditional Meals</x:v>
      </x:c>
      <x:c r="G738" s="44" t="n">
        <x:v>2</x:v>
      </x:c>
      <x:c r="H738" s="45" t="n">
        <x:v>2000</x:v>
      </x:c>
      <x:c r="I738" s="46" t="n">
        <x:v>0</x:v>
      </x:c>
      <x:c r="J738" s="47" t="n">
        <x:f>G738*H738*(1-I738)</x:f>
        <x:v>4000</x:v>
      </x:c>
      <x:c r="K738" s="47" t="n">
        <x:v>960</x:v>
      </x:c>
      <x:c r="L738" s="47" t="n">
        <x:f>G738*K738</x:f>
        <x:v>1920</x:v>
      </x:c>
      <x:c r="M738" s="47" t="n">
        <x:f>J738-L738</x:f>
        <x:v>2080</x:v>
      </x:c>
      <x:c r="N738" s="5" t="str">
        <x:v>Walk-in</x:v>
      </x:c>
      <x:c r="O738" s="5" t="str">
        <x:v>Transfer</x:v>
      </x:c>
      <x:c r="P738" s="5" t="str">
        <x:v>Lunch</x:v>
      </x:c>
      <x:c r="Q738" s="48" t="n">
        <x:v>15</x:v>
      </x:c>
      <x:c r="R738" s="5" t="n">
        <x:v>4</x:v>
      </x:c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5" t="str">
        <x:v>ORD-01486</x:v>
      </x:c>
      <x:c r="B739" s="43" t="n">
        <x:v>46118</x:v>
      </x:c>
      <x:c r="C739" s="5" t="str">
        <x:v>CUST-0069</x:v>
      </x:c>
      <x:c r="D739" s="5" t="str">
        <x:v>FD005</x:v>
      </x:c>
      <x:c r="E739" s="5" t="str">
        <x:v>Yam Porridge</x:v>
      </x:c>
      <x:c r="F739" s="5" t="str">
        <x:v>Traditional Meals</x:v>
      </x:c>
      <x:c r="G739" s="44" t="n">
        <x:v>1</x:v>
      </x:c>
      <x:c r="H739" s="45" t="n">
        <x:v>2200</x:v>
      </x:c>
      <x:c r="I739" s="46" t="n">
        <x:v>0</x:v>
      </x:c>
      <x:c r="J739" s="47" t="n">
        <x:f>G739*H739*(1-I739)</x:f>
        <x:v>2200</x:v>
      </x:c>
      <x:c r="K739" s="47" t="n">
        <x:v>1050</x:v>
      </x:c>
      <x:c r="L739" s="47" t="n">
        <x:f>G739*K739</x:f>
        <x:v>1050</x:v>
      </x:c>
      <x:c r="M739" s="47" t="n">
        <x:f>J739-L739</x:f>
        <x:v>1150</x:v>
      </x:c>
      <x:c r="N739" s="5" t="str">
        <x:v>Walk-in</x:v>
      </x:c>
      <x:c r="O739" s="5" t="str">
        <x:v>Cash</x:v>
      </x:c>
      <x:c r="P739" s="5" t="str">
        <x:v>Lunch</x:v>
      </x:c>
      <x:c r="Q739" s="48" t="n">
        <x:v>11</x:v>
      </x:c>
      <x:c r="R739" s="5" t="n">
        <x:v>4</x:v>
      </x:c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5" t="str">
        <x:v>ORD-00122</x:v>
      </x:c>
      <x:c r="B740" s="43" t="n">
        <x:v>46119</x:v>
      </x:c>
      <x:c r="C740" s="5" t="str">
        <x:v>CUST-0589</x:v>
      </x:c>
      <x:c r="D740" s="5" t="str">
        <x:v>FD005</x:v>
      </x:c>
      <x:c r="E740" s="5" t="str">
        <x:v>Yam Porridge</x:v>
      </x:c>
      <x:c r="F740" s="5" t="str">
        <x:v>Traditional Meals</x:v>
      </x:c>
      <x:c r="G740" s="44" t="n">
        <x:v>2</x:v>
      </x:c>
      <x:c r="H740" s="45" t="n">
        <x:v>2200</x:v>
      </x:c>
      <x:c r="I740" s="46" t="n">
        <x:v>0</x:v>
      </x:c>
      <x:c r="J740" s="47" t="n">
        <x:f>G740*H740*(1-I740)</x:f>
        <x:v>4400</x:v>
      </x:c>
      <x:c r="K740" s="47" t="n">
        <x:v>1050</x:v>
      </x:c>
      <x:c r="L740" s="47" t="n">
        <x:f>G740*K740</x:f>
        <x:v>2100</x:v>
      </x:c>
      <x:c r="M740" s="47" t="n">
        <x:f>J740-L740</x:f>
        <x:v>2300</x:v>
      </x:c>
      <x:c r="N740" s="5" t="str">
        <x:v>Takeaway</x:v>
      </x:c>
      <x:c r="O740" s="5" t="str">
        <x:v>Cash</x:v>
      </x:c>
      <x:c r="P740" s="5" t="str">
        <x:v>Lunch</x:v>
      </x:c>
      <x:c r="Q740" s="48" t="n">
        <x:v>12</x:v>
      </x:c>
      <x:c r="R740" s="5" t="n">
        <x:v>5</x:v>
      </x:c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5" t="str">
        <x:v>ORD-00136</x:v>
      </x:c>
      <x:c r="B741" s="43" t="n">
        <x:v>46119</x:v>
      </x:c>
      <x:c r="C741" s="5" t="str">
        <x:v>CUST-0607</x:v>
      </x:c>
      <x:c r="D741" s="5" t="str">
        <x:v>FD001</x:v>
      </x:c>
      <x:c r="E741" s="5" t="str">
        <x:v>White Rice &amp; Stew</x:v>
      </x:c>
      <x:c r="F741" s="5" t="str">
        <x:v>Rice Meals</x:v>
      </x:c>
      <x:c r="G741" s="44" t="n">
        <x:v>3</x:v>
      </x:c>
      <x:c r="H741" s="45" t="n">
        <x:v>1800</x:v>
      </x:c>
      <x:c r="I741" s="46" t="n">
        <x:v>0</x:v>
      </x:c>
      <x:c r="J741" s="47" t="n">
        <x:f>G741*H741*(1-I741)</x:f>
        <x:v>5400</x:v>
      </x:c>
      <x:c r="K741" s="47" t="n">
        <x:v>820</x:v>
      </x:c>
      <x:c r="L741" s="47" t="n">
        <x:f>G741*K741</x:f>
        <x:v>2460</x:v>
      </x:c>
      <x:c r="M741" s="47" t="n">
        <x:f>J741-L741</x:f>
        <x:v>2940</x:v>
      </x:c>
      <x:c r="N741" s="5" t="str">
        <x:v>Walk-in</x:v>
      </x:c>
      <x:c r="O741" s="5" t="str">
        <x:v>Transfer</x:v>
      </x:c>
      <x:c r="P741" s="5" t="str">
        <x:v>Dinner</x:v>
      </x:c>
      <x:c r="Q741" s="48" t="n">
        <x:v>19</x:v>
      </x:c>
      <x:c r="R741" s="5" t="n">
        <x:v>4</x:v>
      </x:c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5" t="str">
        <x:v>ORD-00265</x:v>
      </x:c>
      <x:c r="B742" s="43" t="n">
        <x:v>46119</x:v>
      </x:c>
      <x:c r="C742" s="5" t="str">
        <x:v>CUST-0297</x:v>
      </x:c>
      <x:c r="D742" s="5" t="str">
        <x:v>FD005</x:v>
      </x:c>
      <x:c r="E742" s="5" t="str">
        <x:v>Yam Porridge</x:v>
      </x:c>
      <x:c r="F742" s="5" t="str">
        <x:v>Traditional Meals</x:v>
      </x:c>
      <x:c r="G742" s="44" t="n">
        <x:v>3</x:v>
      </x:c>
      <x:c r="H742" s="45" t="n">
        <x:v>2200</x:v>
      </x:c>
      <x:c r="I742" s="46" t="n">
        <x:v>0</x:v>
      </x:c>
      <x:c r="J742" s="47" t="n">
        <x:f>G742*H742*(1-I742)</x:f>
        <x:v>6600</x:v>
      </x:c>
      <x:c r="K742" s="47" t="n">
        <x:v>1050</x:v>
      </x:c>
      <x:c r="L742" s="47" t="n">
        <x:f>G742*K742</x:f>
        <x:v>3150</x:v>
      </x:c>
      <x:c r="M742" s="47" t="n">
        <x:f>J742-L742</x:f>
        <x:v>3450</x:v>
      </x:c>
      <x:c r="N742" s="5" t="str">
        <x:v>Takeaway</x:v>
      </x:c>
      <x:c r="O742" s="5" t="str">
        <x:v>Transfer</x:v>
      </x:c>
      <x:c r="P742" s="5" t="str">
        <x:v>Dinner</x:v>
      </x:c>
      <x:c r="Q742" s="48" t="n">
        <x:v>19</x:v>
      </x:c>
      <x:c r="R742" s="5" t="n">
        <x:v>3</x:v>
      </x:c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5" t="str">
        <x:v>ORD-00329</x:v>
      </x:c>
      <x:c r="B743" s="43" t="n">
        <x:v>46119</x:v>
      </x:c>
      <x:c r="C743" s="5" t="str">
        <x:v>CUST-0107</x:v>
      </x:c>
      <x:c r="D743" s="5" t="str">
        <x:v>FD006</x:v>
      </x:c>
      <x:c r="E743" s="5" t="str">
        <x:v>Eba &amp; Egusi Soup</x:v>
      </x:c>
      <x:c r="F743" s="5" t="str">
        <x:v>Swallow</x:v>
      </x:c>
      <x:c r="G743" s="44" t="n">
        <x:v>2</x:v>
      </x:c>
      <x:c r="H743" s="45" t="n">
        <x:v>2600</x:v>
      </x:c>
      <x:c r="I743" s="46" t="n">
        <x:v>0</x:v>
      </x:c>
      <x:c r="J743" s="47" t="n">
        <x:f>G743*H743*(1-I743)</x:f>
        <x:v>5200</x:v>
      </x:c>
      <x:c r="K743" s="47" t="n">
        <x:v>1320</x:v>
      </x:c>
      <x:c r="L743" s="47" t="n">
        <x:f>G743*K743</x:f>
        <x:v>2640</x:v>
      </x:c>
      <x:c r="M743" s="47" t="n">
        <x:f>J743-L743</x:f>
        <x:v>2560</x:v>
      </x:c>
      <x:c r="N743" s="5" t="str">
        <x:v>Walk-in</x:v>
      </x:c>
      <x:c r="O743" s="5" t="str">
        <x:v>Transfer</x:v>
      </x:c>
      <x:c r="P743" s="5" t="str">
        <x:v>Lunch</x:v>
      </x:c>
      <x:c r="Q743" s="48" t="n">
        <x:v>15</x:v>
      </x:c>
      <x:c r="R743" s="5" t="n">
        <x:v>5</x:v>
      </x:c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5" t="str">
        <x:v>ORD-00339</x:v>
      </x:c>
      <x:c r="B744" s="43" t="n">
        <x:v>46119</x:v>
      </x:c>
      <x:c r="C744" s="5" t="str">
        <x:v>CUST-0023</x:v>
      </x:c>
      <x:c r="D744" s="5" t="str">
        <x:v>FD006</x:v>
      </x:c>
      <x:c r="E744" s="5" t="str">
        <x:v>Eba &amp; Egusi Soup</x:v>
      </x:c>
      <x:c r="F744" s="5" t="str">
        <x:v>Swallow</x:v>
      </x:c>
      <x:c r="G744" s="44" t="n">
        <x:v>2</x:v>
      </x:c>
      <x:c r="H744" s="45" t="n">
        <x:v>2600</x:v>
      </x:c>
      <x:c r="I744" s="46" t="n">
        <x:v>0.05</x:v>
      </x:c>
      <x:c r="J744" s="47" t="n">
        <x:f>G744*H744*(1-I744)</x:f>
        <x:v>4940</x:v>
      </x:c>
      <x:c r="K744" s="47" t="n">
        <x:v>1320</x:v>
      </x:c>
      <x:c r="L744" s="47" t="n">
        <x:f>G744*K744</x:f>
        <x:v>2640</x:v>
      </x:c>
      <x:c r="M744" s="47" t="n">
        <x:f>J744-L744</x:f>
        <x:v>2300</x:v>
      </x:c>
      <x:c r="N744" s="5" t="str">
        <x:v>Walk-in</x:v>
      </x:c>
      <x:c r="O744" s="5" t="str">
        <x:v>POS</x:v>
      </x:c>
      <x:c r="P744" s="5" t="str">
        <x:v>Lunch</x:v>
      </x:c>
      <x:c r="Q744" s="48" t="n">
        <x:v>13</x:v>
      </x:c>
      <x:c r="R744" s="5" t="n">
        <x:v>5</x:v>
      </x:c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5" t="str">
        <x:v>ORD-00411</x:v>
      </x:c>
      <x:c r="B745" s="43" t="n">
        <x:v>46119</x:v>
      </x:c>
      <x:c r="C745" s="5" t="str">
        <x:v>CUST-0238</x:v>
      </x:c>
      <x:c r="D745" s="5" t="str">
        <x:v>FD002</x:v>
      </x:c>
      <x:c r="E745" s="5" t="str">
        <x:v>Jollof Rice &amp; Chicken</x:v>
      </x:c>
      <x:c r="F745" s="5" t="str">
        <x:v>Rice Meals</x:v>
      </x:c>
      <x:c r="G745" s="44" t="n">
        <x:v>4</x:v>
      </x:c>
      <x:c r="H745" s="45" t="n">
        <x:v>2800</x:v>
      </x:c>
      <x:c r="I745" s="46" t="n">
        <x:v>0</x:v>
      </x:c>
      <x:c r="J745" s="47" t="n">
        <x:f>G745*H745*(1-I745)</x:f>
        <x:v>11200</x:v>
      </x:c>
      <x:c r="K745" s="47" t="n">
        <x:v>1450</x:v>
      </x:c>
      <x:c r="L745" s="47" t="n">
        <x:f>G745*K745</x:f>
        <x:v>5800</x:v>
      </x:c>
      <x:c r="M745" s="47" t="n">
        <x:f>J745-L745</x:f>
        <x:v>5400</x:v>
      </x:c>
      <x:c r="N745" s="5" t="str">
        <x:v>Takeaway</x:v>
      </x:c>
      <x:c r="O745" s="5" t="str">
        <x:v>Transfer</x:v>
      </x:c>
      <x:c r="P745" s="5" t="str">
        <x:v>Lunch</x:v>
      </x:c>
      <x:c r="Q745" s="48" t="n">
        <x:v>15</x:v>
      </x:c>
      <x:c r="R745" s="5" t="n">
        <x:v>4</x:v>
      </x:c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5" t="str">
        <x:v>ORD-00592</x:v>
      </x:c>
      <x:c r="B746" s="43" t="n">
        <x:v>46119</x:v>
      </x:c>
      <x:c r="C746" s="5" t="str">
        <x:v>CUST-0458</x:v>
      </x:c>
      <x:c r="D746" s="5" t="str">
        <x:v>FD003</x:v>
      </x:c>
      <x:c r="E746" s="5" t="str">
        <x:v>Fried Rice &amp; Chicken</x:v>
      </x:c>
      <x:c r="F746" s="5" t="str">
        <x:v>Rice Meals</x:v>
      </x:c>
      <x:c r="G746" s="44" t="n">
        <x:v>3</x:v>
      </x:c>
      <x:c r="H746" s="45" t="n">
        <x:v>3000</x:v>
      </x:c>
      <x:c r="I746" s="46" t="n">
        <x:v>0</x:v>
      </x:c>
      <x:c r="J746" s="47" t="n">
        <x:f>G746*H746*(1-I746)</x:f>
        <x:v>9000</x:v>
      </x:c>
      <x:c r="K746" s="47" t="n">
        <x:v>1580</x:v>
      </x:c>
      <x:c r="L746" s="47" t="n">
        <x:f>G746*K746</x:f>
        <x:v>4740</x:v>
      </x:c>
      <x:c r="M746" s="47" t="n">
        <x:f>J746-L746</x:f>
        <x:v>4260</x:v>
      </x:c>
      <x:c r="N746" s="5" t="str">
        <x:v>Takeaway</x:v>
      </x:c>
      <x:c r="O746" s="5" t="str">
        <x:v>Transfer</x:v>
      </x:c>
      <x:c r="P746" s="5" t="str">
        <x:v>Lunch</x:v>
      </x:c>
      <x:c r="Q746" s="48" t="n">
        <x:v>11</x:v>
      </x:c>
      <x:c r="R746" s="5" t="n">
        <x:v>4</x:v>
      </x:c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5" t="str">
        <x:v>ORD-00637</x:v>
      </x:c>
      <x:c r="B747" s="43" t="n">
        <x:v>46119</x:v>
      </x:c>
      <x:c r="C747" s="5" t="str">
        <x:v>CUST-0387</x:v>
      </x:c>
      <x:c r="D747" s="5" t="str">
        <x:v>FD002</x:v>
      </x:c>
      <x:c r="E747" s="5" t="str">
        <x:v>Jollof Rice &amp; Chicken</x:v>
      </x:c>
      <x:c r="F747" s="5" t="str">
        <x:v>Rice Meals</x:v>
      </x:c>
      <x:c r="G747" s="44" t="n">
        <x:v>1</x:v>
      </x:c>
      <x:c r="H747" s="45" t="n">
        <x:v>2800</x:v>
      </x:c>
      <x:c r="I747" s="46" t="n">
        <x:v>0.05</x:v>
      </x:c>
      <x:c r="J747" s="47" t="n">
        <x:f>G747*H747*(1-I747)</x:f>
        <x:v>2660</x:v>
      </x:c>
      <x:c r="K747" s="47" t="n">
        <x:v>1450</x:v>
      </x:c>
      <x:c r="L747" s="47" t="n">
        <x:f>G747*K747</x:f>
        <x:v>1450</x:v>
      </x:c>
      <x:c r="M747" s="47" t="n">
        <x:f>J747-L747</x:f>
        <x:v>1210</x:v>
      </x:c>
      <x:c r="N747" s="5" t="str">
        <x:v>Delivery</x:v>
      </x:c>
      <x:c r="O747" s="5" t="str">
        <x:v>Cash</x:v>
      </x:c>
      <x:c r="P747" s="5" t="str">
        <x:v>Dinner</x:v>
      </x:c>
      <x:c r="Q747" s="48" t="n">
        <x:v>16</x:v>
      </x:c>
      <x:c r="R747" s="5" t="n">
        <x:v>5</x:v>
      </x:c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5" t="str">
        <x:v>ORD-01174</x:v>
      </x:c>
      <x:c r="B748" s="43" t="n">
        <x:v>46119</x:v>
      </x:c>
      <x:c r="C748" s="5" t="str">
        <x:v>CUST-0026</x:v>
      </x:c>
      <x:c r="D748" s="5" t="str">
        <x:v>FD012</x:v>
      </x:c>
      <x:c r="E748" s="5" t="str">
        <x:v>Fried Plantain</x:v>
      </x:c>
      <x:c r="F748" s="5" t="str">
        <x:v>Sides</x:v>
      </x:c>
      <x:c r="G748" s="44" t="n">
        <x:v>2</x:v>
      </x:c>
      <x:c r="H748" s="45" t="n">
        <x:v>700</x:v>
      </x:c>
      <x:c r="I748" s="46" t="n">
        <x:v>0</x:v>
      </x:c>
      <x:c r="J748" s="47" t="n">
        <x:f>G748*H748*(1-I748)</x:f>
        <x:v>1400</x:v>
      </x:c>
      <x:c r="K748" s="47" t="n">
        <x:v>300</x:v>
      </x:c>
      <x:c r="L748" s="47" t="n">
        <x:f>G748*K748</x:f>
        <x:v>600</x:v>
      </x:c>
      <x:c r="M748" s="47" t="n">
        <x:f>J748-L748</x:f>
        <x:v>800</x:v>
      </x:c>
      <x:c r="N748" s="5" t="str">
        <x:v>Walk-in</x:v>
      </x:c>
      <x:c r="O748" s="5" t="str">
        <x:v>Transfer</x:v>
      </x:c>
      <x:c r="P748" s="5" t="str">
        <x:v>Dinner</x:v>
      </x:c>
      <x:c r="Q748" s="48" t="n">
        <x:v>18</x:v>
      </x:c>
      <x:c r="R748" s="5" t="n">
        <x:v>3</x:v>
      </x:c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5" t="str">
        <x:v>ORD-01461</x:v>
      </x:c>
      <x:c r="B749" s="43" t="n">
        <x:v>46119</x:v>
      </x:c>
      <x:c r="C749" s="5" t="str">
        <x:v>CUST-0281</x:v>
      </x:c>
      <x:c r="D749" s="5" t="str">
        <x:v>FD004</x:v>
      </x:c>
      <x:c r="E749" s="5" t="str">
        <x:v>Beans &amp; Plantain</x:v>
      </x:c>
      <x:c r="F749" s="5" t="str">
        <x:v>Traditional Meals</x:v>
      </x:c>
      <x:c r="G749" s="44" t="n">
        <x:v>4</x:v>
      </x:c>
      <x:c r="H749" s="45" t="n">
        <x:v>2000</x:v>
      </x:c>
      <x:c r="I749" s="46" t="n">
        <x:v>0</x:v>
      </x:c>
      <x:c r="J749" s="47" t="n">
        <x:f>G749*H749*(1-I749)</x:f>
        <x:v>8000</x:v>
      </x:c>
      <x:c r="K749" s="47" t="n">
        <x:v>960</x:v>
      </x:c>
      <x:c r="L749" s="47" t="n">
        <x:f>G749*K749</x:f>
        <x:v>3840</x:v>
      </x:c>
      <x:c r="M749" s="47" t="n">
        <x:f>J749-L749</x:f>
        <x:v>4160</x:v>
      </x:c>
      <x:c r="N749" s="5" t="str">
        <x:v>Takeaway</x:v>
      </x:c>
      <x:c r="O749" s="5" t="str">
        <x:v>Transfer</x:v>
      </x:c>
      <x:c r="P749" s="5" t="str">
        <x:v>Lunch</x:v>
      </x:c>
      <x:c r="Q749" s="48" t="n">
        <x:v>12</x:v>
      </x:c>
      <x:c r="R749" s="5" t="n">
        <x:v>5</x:v>
      </x:c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5" t="str">
        <x:v>ORD-01762</x:v>
      </x:c>
      <x:c r="B750" s="43" t="n">
        <x:v>46119</x:v>
      </x:c>
      <x:c r="C750" s="5" t="str">
        <x:v>CUST-0496</x:v>
      </x:c>
      <x:c r="D750" s="5" t="str">
        <x:v>FD008</x:v>
      </x:c>
      <x:c r="E750" s="5" t="str">
        <x:v>Pounded Yam &amp; Vegetable Soup</x:v>
      </x:c>
      <x:c r="F750" s="5" t="str">
        <x:v>Swallow</x:v>
      </x:c>
      <x:c r="G750" s="44" t="n">
        <x:v>3</x:v>
      </x:c>
      <x:c r="H750" s="45" t="n">
        <x:v>3200</x:v>
      </x:c>
      <x:c r="I750" s="46" t="n">
        <x:v>0</x:v>
      </x:c>
      <x:c r="J750" s="47" t="n">
        <x:f>G750*H750*(1-I750)</x:f>
        <x:v>9600</x:v>
      </x:c>
      <x:c r="K750" s="47" t="n">
        <x:v>1710</x:v>
      </x:c>
      <x:c r="L750" s="47" t="n">
        <x:f>G750*K750</x:f>
        <x:v>5130</x:v>
      </x:c>
      <x:c r="M750" s="47" t="n">
        <x:f>J750-L750</x:f>
        <x:v>4470</x:v>
      </x:c>
      <x:c r="N750" s="5" t="str">
        <x:v>Delivery</x:v>
      </x:c>
      <x:c r="O750" s="5" t="str">
        <x:v>Cash</x:v>
      </x:c>
      <x:c r="P750" s="5" t="str">
        <x:v>Lunch</x:v>
      </x:c>
      <x:c r="Q750" s="48" t="n">
        <x:v>11</x:v>
      </x:c>
      <x:c r="R750" s="5" t="n">
        <x:v>5</x:v>
      </x:c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5" t="str">
        <x:v>ORD-00001</x:v>
      </x:c>
      <x:c r="B751" s="43" t="n">
        <x:v>46120</x:v>
      </x:c>
      <x:c r="C751" s="5" t="str">
        <x:v>CUST-0347</x:v>
      </x:c>
      <x:c r="D751" s="5" t="str">
        <x:v>FD001</x:v>
      </x:c>
      <x:c r="E751" s="5" t="str">
        <x:v>White Rice &amp; Stew</x:v>
      </x:c>
      <x:c r="F751" s="5" t="str">
        <x:v>Rice Meals</x:v>
      </x:c>
      <x:c r="G751" s="44" t="n">
        <x:v>4</x:v>
      </x:c>
      <x:c r="H751" s="45" t="n">
        <x:v>1800</x:v>
      </x:c>
      <x:c r="I751" s="46" t="n">
        <x:v>0</x:v>
      </x:c>
      <x:c r="J751" s="47" t="n">
        <x:f>G751*H751*(1-I751)</x:f>
        <x:v>7200</x:v>
      </x:c>
      <x:c r="K751" s="47" t="n">
        <x:v>820</x:v>
      </x:c>
      <x:c r="L751" s="47" t="n">
        <x:f>G751*K751</x:f>
        <x:v>3280</x:v>
      </x:c>
      <x:c r="M751" s="47" t="n">
        <x:f>J751-L751</x:f>
        <x:v>3920</x:v>
      </x:c>
      <x:c r="N751" s="5" t="str">
        <x:v>Walk-in</x:v>
      </x:c>
      <x:c r="O751" s="5" t="str">
        <x:v>POS</x:v>
      </x:c>
      <x:c r="P751" s="5" t="str">
        <x:v>Lunch</x:v>
      </x:c>
      <x:c r="Q751" s="48" t="n">
        <x:v>13</x:v>
      </x:c>
      <x:c r="R751" s="5" t="n">
        <x:v>4</x:v>
      </x:c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5" t="str">
        <x:v>ORD-00036</x:v>
      </x:c>
      <x:c r="B752" s="43" t="n">
        <x:v>46120</x:v>
      </x:c>
      <x:c r="C752" s="5" t="str">
        <x:v>CUST-0057</x:v>
      </x:c>
      <x:c r="D752" s="5" t="str">
        <x:v>FD001</x:v>
      </x:c>
      <x:c r="E752" s="5" t="str">
        <x:v>White Rice &amp; Stew</x:v>
      </x:c>
      <x:c r="F752" s="5" t="str">
        <x:v>Rice Meals</x:v>
      </x:c>
      <x:c r="G752" s="44" t="n">
        <x:v>3</x:v>
      </x:c>
      <x:c r="H752" s="45" t="n">
        <x:v>1800</x:v>
      </x:c>
      <x:c r="I752" s="46" t="n">
        <x:v>0</x:v>
      </x:c>
      <x:c r="J752" s="47" t="n">
        <x:f>G752*H752*(1-I752)</x:f>
        <x:v>5400</x:v>
      </x:c>
      <x:c r="K752" s="47" t="n">
        <x:v>820</x:v>
      </x:c>
      <x:c r="L752" s="47" t="n">
        <x:f>G752*K752</x:f>
        <x:v>2460</x:v>
      </x:c>
      <x:c r="M752" s="47" t="n">
        <x:f>J752-L752</x:f>
        <x:v>2940</x:v>
      </x:c>
      <x:c r="N752" s="5" t="str">
        <x:v>Takeaway</x:v>
      </x:c>
      <x:c r="O752" s="5" t="str">
        <x:v>POS</x:v>
      </x:c>
      <x:c r="P752" s="5" t="str">
        <x:v>Lunch</x:v>
      </x:c>
      <x:c r="Q752" s="48" t="n">
        <x:v>11</x:v>
      </x:c>
      <x:c r="R752" s="5" t="n">
        <x:v>4</x:v>
      </x:c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5" t="str">
        <x:v>ORD-00293</x:v>
      </x:c>
      <x:c r="B753" s="43" t="n">
        <x:v>46120</x:v>
      </x:c>
      <x:c r="C753" s="5" t="str">
        <x:v>CUST-0334</x:v>
      </x:c>
      <x:c r="D753" s="5" t="str">
        <x:v>FD012</x:v>
      </x:c>
      <x:c r="E753" s="5" t="str">
        <x:v>Fried Plantain</x:v>
      </x:c>
      <x:c r="F753" s="5" t="str">
        <x:v>Sides</x:v>
      </x:c>
      <x:c r="G753" s="44" t="n">
        <x:v>3</x:v>
      </x:c>
      <x:c r="H753" s="45" t="n">
        <x:v>700</x:v>
      </x:c>
      <x:c r="I753" s="46" t="n">
        <x:v>0</x:v>
      </x:c>
      <x:c r="J753" s="47" t="n">
        <x:f>G753*H753*(1-I753)</x:f>
        <x:v>2100</x:v>
      </x:c>
      <x:c r="K753" s="47" t="n">
        <x:v>300</x:v>
      </x:c>
      <x:c r="L753" s="47" t="n">
        <x:f>G753*K753</x:f>
        <x:v>900</x:v>
      </x:c>
      <x:c r="M753" s="47" t="n">
        <x:f>J753-L753</x:f>
        <x:v>1200</x:v>
      </x:c>
      <x:c r="N753" s="5" t="str">
        <x:v>Takeaway</x:v>
      </x:c>
      <x:c r="O753" s="5" t="str">
        <x:v>Cash</x:v>
      </x:c>
      <x:c r="P753" s="5" t="str">
        <x:v>Lunch</x:v>
      </x:c>
      <x:c r="Q753" s="48" t="n">
        <x:v>13</x:v>
      </x:c>
      <x:c r="R753" s="5" t="n">
        <x:v>3</x:v>
      </x:c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5" t="str">
        <x:v>ORD-00457</x:v>
      </x:c>
      <x:c r="B754" s="43" t="n">
        <x:v>46120</x:v>
      </x:c>
      <x:c r="C754" s="5" t="str">
        <x:v>CUST-0601</x:v>
      </x:c>
      <x:c r="D754" s="5" t="str">
        <x:v>FD001</x:v>
      </x:c>
      <x:c r="E754" s="5" t="str">
        <x:v>White Rice &amp; Stew</x:v>
      </x:c>
      <x:c r="F754" s="5" t="str">
        <x:v>Rice Meals</x:v>
      </x:c>
      <x:c r="G754" s="44" t="n">
        <x:v>2</x:v>
      </x:c>
      <x:c r="H754" s="45" t="n">
        <x:v>1800</x:v>
      </x:c>
      <x:c r="I754" s="46" t="n">
        <x:v>0</x:v>
      </x:c>
      <x:c r="J754" s="47" t="n">
        <x:f>G754*H754*(1-I754)</x:f>
        <x:v>3600</x:v>
      </x:c>
      <x:c r="K754" s="47" t="n">
        <x:v>820</x:v>
      </x:c>
      <x:c r="L754" s="47" t="n">
        <x:f>G754*K754</x:f>
        <x:v>1640</x:v>
      </x:c>
      <x:c r="M754" s="47" t="n">
        <x:f>J754-L754</x:f>
        <x:v>1960</x:v>
      </x:c>
      <x:c r="N754" s="5" t="str">
        <x:v>Walk-in</x:v>
      </x:c>
      <x:c r="O754" s="5" t="str">
        <x:v>Transfer</x:v>
      </x:c>
      <x:c r="P754" s="5" t="str">
        <x:v>Dinner</x:v>
      </x:c>
      <x:c r="Q754" s="48" t="n">
        <x:v>18</x:v>
      </x:c>
      <x:c r="R754" s="5" t="n">
        <x:v>4</x:v>
      </x:c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5" t="str">
        <x:v>ORD-00480</x:v>
      </x:c>
      <x:c r="B755" s="43" t="n">
        <x:v>46120</x:v>
      </x:c>
      <x:c r="C755" s="5" t="str">
        <x:v>CUST-0406</x:v>
      </x:c>
      <x:c r="D755" s="5" t="str">
        <x:v>FD010</x:v>
      </x:c>
      <x:c r="E755" s="5" t="str">
        <x:v>Soft Drink</x:v>
      </x:c>
      <x:c r="F755" s="5" t="str">
        <x:v>Beverages</x:v>
      </x:c>
      <x:c r="G755" s="44" t="n">
        <x:v>1</x:v>
      </x:c>
      <x:c r="H755" s="45" t="n">
        <x:v>600</x:v>
      </x:c>
      <x:c r="I755" s="46" t="n">
        <x:v>0</x:v>
      </x:c>
      <x:c r="J755" s="47" t="n">
        <x:f>G755*H755*(1-I755)</x:f>
        <x:v>600</x:v>
      </x:c>
      <x:c r="K755" s="47" t="n">
        <x:v>280</x:v>
      </x:c>
      <x:c r="L755" s="47" t="n">
        <x:f>G755*K755</x:f>
        <x:v>280</x:v>
      </x:c>
      <x:c r="M755" s="47" t="n">
        <x:f>J755-L755</x:f>
        <x:v>320</x:v>
      </x:c>
      <x:c r="N755" s="5" t="str">
        <x:v>Walk-in</x:v>
      </x:c>
      <x:c r="O755" s="5" t="str">
        <x:v>POS</x:v>
      </x:c>
      <x:c r="P755" s="5" t="str">
        <x:v>Lunch</x:v>
      </x:c>
      <x:c r="Q755" s="48" t="n">
        <x:v>15</x:v>
      </x:c>
      <x:c r="R755" s="5" t="n">
        <x:v>4</x:v>
      </x:c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5" t="str">
        <x:v>ORD-00537</x:v>
      </x:c>
      <x:c r="B756" s="43" t="n">
        <x:v>46120</x:v>
      </x:c>
      <x:c r="C756" s="5" t="str">
        <x:v>CUST-0542</x:v>
      </x:c>
      <x:c r="D756" s="5" t="str">
        <x:v>FD006</x:v>
      </x:c>
      <x:c r="E756" s="5" t="str">
        <x:v>Eba &amp; Egusi Soup</x:v>
      </x:c>
      <x:c r="F756" s="5" t="str">
        <x:v>Swallow</x:v>
      </x:c>
      <x:c r="G756" s="44" t="n">
        <x:v>4</x:v>
      </x:c>
      <x:c r="H756" s="45" t="n">
        <x:v>2600</x:v>
      </x:c>
      <x:c r="I756" s="46" t="n">
        <x:v>0</x:v>
      </x:c>
      <x:c r="J756" s="47" t="n">
        <x:f>G756*H756*(1-I756)</x:f>
        <x:v>10400</x:v>
      </x:c>
      <x:c r="K756" s="47" t="n">
        <x:v>1320</x:v>
      </x:c>
      <x:c r="L756" s="47" t="n">
        <x:f>G756*K756</x:f>
        <x:v>5280</x:v>
      </x:c>
      <x:c r="M756" s="47" t="n">
        <x:f>J756-L756</x:f>
        <x:v>5120</x:v>
      </x:c>
      <x:c r="N756" s="5" t="str">
        <x:v>Walk-in</x:v>
      </x:c>
      <x:c r="O756" s="5" t="str">
        <x:v>Cash</x:v>
      </x:c>
      <x:c r="P756" s="5" t="str">
        <x:v>Lunch</x:v>
      </x:c>
      <x:c r="Q756" s="48" t="n">
        <x:v>14</x:v>
      </x:c>
      <x:c r="R756" s="5" t="n">
        <x:v>4</x:v>
      </x:c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5" t="str">
        <x:v>ORD-00738</x:v>
      </x:c>
      <x:c r="B757" s="43" t="n">
        <x:v>46120</x:v>
      </x:c>
      <x:c r="C757" s="5" t="str">
        <x:v>CUST-0451</x:v>
      </x:c>
      <x:c r="D757" s="5" t="str">
        <x:v>FD007</x:v>
      </x:c>
      <x:c r="E757" s="5" t="str">
        <x:v>Amala &amp; Ewedu</x:v>
      </x:c>
      <x:c r="F757" s="5" t="str">
        <x:v>Swallow</x:v>
      </x:c>
      <x:c r="G757" s="44" t="n">
        <x:v>2</x:v>
      </x:c>
      <x:c r="H757" s="45" t="n">
        <x:v>2500</x:v>
      </x:c>
      <x:c r="I757" s="46" t="n">
        <x:v>0</x:v>
      </x:c>
      <x:c r="J757" s="47" t="n">
        <x:f>G757*H757*(1-I757)</x:f>
        <x:v>5000</x:v>
      </x:c>
      <x:c r="K757" s="47" t="n">
        <x:v>1250</x:v>
      </x:c>
      <x:c r="L757" s="47" t="n">
        <x:f>G757*K757</x:f>
        <x:v>2500</x:v>
      </x:c>
      <x:c r="M757" s="47" t="n">
        <x:f>J757-L757</x:f>
        <x:v>2500</x:v>
      </x:c>
      <x:c r="N757" s="5" t="str">
        <x:v>Takeaway</x:v>
      </x:c>
      <x:c r="O757" s="5" t="str">
        <x:v>Transfer</x:v>
      </x:c>
      <x:c r="P757" s="5" t="str">
        <x:v>Breakfast</x:v>
      </x:c>
      <x:c r="Q757" s="48" t="n">
        <x:v>9</x:v>
      </x:c>
      <x:c r="R757" s="5" t="n">
        <x:v>5</x:v>
      </x:c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5" t="str">
        <x:v>ORD-01433</x:v>
      </x:c>
      <x:c r="B758" s="43" t="n">
        <x:v>46120</x:v>
      </x:c>
      <x:c r="C758" s="5" t="str">
        <x:v>CUST-0629</x:v>
      </x:c>
      <x:c r="D758" s="5" t="str">
        <x:v>FD001</x:v>
      </x:c>
      <x:c r="E758" s="5" t="str">
        <x:v>White Rice &amp; Stew</x:v>
      </x:c>
      <x:c r="F758" s="5" t="str">
        <x:v>Rice Meals</x:v>
      </x:c>
      <x:c r="G758" s="44" t="n">
        <x:v>1</x:v>
      </x:c>
      <x:c r="H758" s="45" t="n">
        <x:v>1800</x:v>
      </x:c>
      <x:c r="I758" s="46" t="n">
        <x:v>0</x:v>
      </x:c>
      <x:c r="J758" s="47" t="n">
        <x:f>G758*H758*(1-I758)</x:f>
        <x:v>1800</x:v>
      </x:c>
      <x:c r="K758" s="47" t="n">
        <x:v>820</x:v>
      </x:c>
      <x:c r="L758" s="47" t="n">
        <x:f>G758*K758</x:f>
        <x:v>820</x:v>
      </x:c>
      <x:c r="M758" s="47" t="n">
        <x:f>J758-L758</x:f>
        <x:v>980</x:v>
      </x:c>
      <x:c r="N758" s="5" t="str">
        <x:v>Takeaway</x:v>
      </x:c>
      <x:c r="O758" s="5" t="str">
        <x:v>Cash</x:v>
      </x:c>
      <x:c r="P758" s="5" t="str">
        <x:v>Breakfast</x:v>
      </x:c>
      <x:c r="Q758" s="48" t="n">
        <x:v>10</x:v>
      </x:c>
      <x:c r="R758" s="5" t="n">
        <x:v>4</x:v>
      </x:c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5" t="str">
        <x:v>ORD-01696</x:v>
      </x:c>
      <x:c r="B759" s="43" t="n">
        <x:v>46120</x:v>
      </x:c>
      <x:c r="C759" s="5" t="str">
        <x:v>CUST-0524</x:v>
      </x:c>
      <x:c r="D759" s="5" t="str">
        <x:v>FD002</x:v>
      </x:c>
      <x:c r="E759" s="5" t="str">
        <x:v>Jollof Rice &amp; Chicken</x:v>
      </x:c>
      <x:c r="F759" s="5" t="str">
        <x:v>Rice Meals</x:v>
      </x:c>
      <x:c r="G759" s="44" t="n">
        <x:v>4</x:v>
      </x:c>
      <x:c r="H759" s="45" t="n">
        <x:v>2800</x:v>
      </x:c>
      <x:c r="I759" s="46" t="n">
        <x:v>0</x:v>
      </x:c>
      <x:c r="J759" s="47" t="n">
        <x:f>G759*H759*(1-I759)</x:f>
        <x:v>11200</x:v>
      </x:c>
      <x:c r="K759" s="47" t="n">
        <x:v>1450</x:v>
      </x:c>
      <x:c r="L759" s="47" t="n">
        <x:f>G759*K759</x:f>
        <x:v>5800</x:v>
      </x:c>
      <x:c r="M759" s="47" t="n">
        <x:f>J759-L759</x:f>
        <x:v>5400</x:v>
      </x:c>
      <x:c r="N759" s="5" t="str">
        <x:v>Walk-in</x:v>
      </x:c>
      <x:c r="O759" s="5" t="str">
        <x:v>POS</x:v>
      </x:c>
      <x:c r="P759" s="5" t="str">
        <x:v>Lunch</x:v>
      </x:c>
      <x:c r="Q759" s="48" t="n">
        <x:v>12</x:v>
      </x:c>
      <x:c r="R759" s="5" t="n">
        <x:v>4</x:v>
      </x:c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5" t="str">
        <x:v>ORD-00058</x:v>
      </x:c>
      <x:c r="B760" s="43" t="n">
        <x:v>46121</x:v>
      </x:c>
      <x:c r="C760" s="5" t="str">
        <x:v>CUST-0436</x:v>
      </x:c>
      <x:c r="D760" s="5" t="str">
        <x:v>FD003</x:v>
      </x:c>
      <x:c r="E760" s="5" t="str">
        <x:v>Fried Rice &amp; Chicken</x:v>
      </x:c>
      <x:c r="F760" s="5" t="str">
        <x:v>Rice Meals</x:v>
      </x:c>
      <x:c r="G760" s="44" t="n">
        <x:v>4</x:v>
      </x:c>
      <x:c r="H760" s="45" t="n">
        <x:v>3000</x:v>
      </x:c>
      <x:c r="I760" s="46" t="n">
        <x:v>0</x:v>
      </x:c>
      <x:c r="J760" s="47" t="n">
        <x:f>G760*H760*(1-I760)</x:f>
        <x:v>12000</x:v>
      </x:c>
      <x:c r="K760" s="47" t="n">
        <x:v>1580</x:v>
      </x:c>
      <x:c r="L760" s="47" t="n">
        <x:f>G760*K760</x:f>
        <x:v>6320</x:v>
      </x:c>
      <x:c r="M760" s="47" t="n">
        <x:f>J760-L760</x:f>
        <x:v>5680</x:v>
      </x:c>
      <x:c r="N760" s="5" t="str">
        <x:v>Walk-in</x:v>
      </x:c>
      <x:c r="O760" s="5" t="str">
        <x:v>Cash</x:v>
      </x:c>
      <x:c r="P760" s="5" t="str">
        <x:v>Lunch</x:v>
      </x:c>
      <x:c r="Q760" s="48" t="n">
        <x:v>12</x:v>
      </x:c>
      <x:c r="R760" s="5" t="n">
        <x:v>4</x:v>
      </x:c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5" t="str">
        <x:v>ORD-00065</x:v>
      </x:c>
      <x:c r="B761" s="43" t="n">
        <x:v>46121</x:v>
      </x:c>
      <x:c r="C761" s="5" t="str">
        <x:v>CUST-0321</x:v>
      </x:c>
      <x:c r="D761" s="5" t="str">
        <x:v>FD002</x:v>
      </x:c>
      <x:c r="E761" s="5" t="str">
        <x:v>Jollof Rice &amp; Chicken</x:v>
      </x:c>
      <x:c r="F761" s="5" t="str">
        <x:v>Rice Meals</x:v>
      </x:c>
      <x:c r="G761" s="44" t="n">
        <x:v>3</x:v>
      </x:c>
      <x:c r="H761" s="45" t="n">
        <x:v>2800</x:v>
      </x:c>
      <x:c r="I761" s="46" t="n">
        <x:v>0</x:v>
      </x:c>
      <x:c r="J761" s="47" t="n">
        <x:f>G761*H761*(1-I761)</x:f>
        <x:v>8400</x:v>
      </x:c>
      <x:c r="K761" s="47" t="n">
        <x:v>1450</x:v>
      </x:c>
      <x:c r="L761" s="47" t="n">
        <x:f>G761*K761</x:f>
        <x:v>4350</x:v>
      </x:c>
      <x:c r="M761" s="47" t="n">
        <x:f>J761-L761</x:f>
        <x:v>4050</x:v>
      </x:c>
      <x:c r="N761" s="5" t="str">
        <x:v>Walk-in</x:v>
      </x:c>
      <x:c r="O761" s="5" t="str">
        <x:v>Transfer</x:v>
      </x:c>
      <x:c r="P761" s="5" t="str">
        <x:v>Lunch</x:v>
      </x:c>
      <x:c r="Q761" s="48" t="n">
        <x:v>15</x:v>
      </x:c>
      <x:c r="R761" s="5" t="n">
        <x:v>4</x:v>
      </x:c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5" t="str">
        <x:v>ORD-00075</x:v>
      </x:c>
      <x:c r="B762" s="43" t="n">
        <x:v>46121</x:v>
      </x:c>
      <x:c r="C762" s="5" t="str">
        <x:v>CUST-0490</x:v>
      </x:c>
      <x:c r="D762" s="5" t="str">
        <x:v>FD004</x:v>
      </x:c>
      <x:c r="E762" s="5" t="str">
        <x:v>Beans &amp; Plantain</x:v>
      </x:c>
      <x:c r="F762" s="5" t="str">
        <x:v>Traditional Meals</x:v>
      </x:c>
      <x:c r="G762" s="44" t="n">
        <x:v>2</x:v>
      </x:c>
      <x:c r="H762" s="45" t="n">
        <x:v>2000</x:v>
      </x:c>
      <x:c r="I762" s="46" t="n">
        <x:v>0</x:v>
      </x:c>
      <x:c r="J762" s="47" t="n">
        <x:f>G762*H762*(1-I762)</x:f>
        <x:v>4000</x:v>
      </x:c>
      <x:c r="K762" s="47" t="n">
        <x:v>960</x:v>
      </x:c>
      <x:c r="L762" s="47" t="n">
        <x:f>G762*K762</x:f>
        <x:v>1920</x:v>
      </x:c>
      <x:c r="M762" s="47" t="n">
        <x:f>J762-L762</x:f>
        <x:v>2080</x:v>
      </x:c>
      <x:c r="N762" s="5" t="str">
        <x:v>Delivery</x:v>
      </x:c>
      <x:c r="O762" s="5" t="str">
        <x:v>POS</x:v>
      </x:c>
      <x:c r="P762" s="5" t="str">
        <x:v>Lunch</x:v>
      </x:c>
      <x:c r="Q762" s="48" t="n">
        <x:v>14</x:v>
      </x:c>
      <x:c r="R762" s="5" t="n">
        <x:v>4</x:v>
      </x:c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5" t="str">
        <x:v>ORD-00623</x:v>
      </x:c>
      <x:c r="B763" s="43" t="n">
        <x:v>46121</x:v>
      </x:c>
      <x:c r="C763" s="5" t="str">
        <x:v>CUST-0453</x:v>
      </x:c>
      <x:c r="D763" s="5" t="str">
        <x:v>FD002</x:v>
      </x:c>
      <x:c r="E763" s="5" t="str">
        <x:v>Jollof Rice &amp; Chicken</x:v>
      </x:c>
      <x:c r="F763" s="5" t="str">
        <x:v>Rice Meals</x:v>
      </x:c>
      <x:c r="G763" s="44" t="n">
        <x:v>1</x:v>
      </x:c>
      <x:c r="H763" s="45" t="n">
        <x:v>2800</x:v>
      </x:c>
      <x:c r="I763" s="46" t="n">
        <x:v>0</x:v>
      </x:c>
      <x:c r="J763" s="47" t="n">
        <x:f>G763*H763*(1-I763)</x:f>
        <x:v>2800</x:v>
      </x:c>
      <x:c r="K763" s="47" t="n">
        <x:v>1450</x:v>
      </x:c>
      <x:c r="L763" s="47" t="n">
        <x:f>G763*K763</x:f>
        <x:v>1450</x:v>
      </x:c>
      <x:c r="M763" s="47" t="n">
        <x:f>J763-L763</x:f>
        <x:v>1350</x:v>
      </x:c>
      <x:c r="N763" s="5" t="str">
        <x:v>Walk-in</x:v>
      </x:c>
      <x:c r="O763" s="5" t="str">
        <x:v>Transfer</x:v>
      </x:c>
      <x:c r="P763" s="5" t="str">
        <x:v>Dinner</x:v>
      </x:c>
      <x:c r="Q763" s="48" t="n">
        <x:v>17</x:v>
      </x:c>
      <x:c r="R763" s="5" t="n">
        <x:v>3</x:v>
      </x:c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5" t="str">
        <x:v>ORD-00626</x:v>
      </x:c>
      <x:c r="B764" s="43" t="n">
        <x:v>46121</x:v>
      </x:c>
      <x:c r="C764" s="5" t="str">
        <x:v>CUST-0553</x:v>
      </x:c>
      <x:c r="D764" s="5" t="str">
        <x:v>FD003</x:v>
      </x:c>
      <x:c r="E764" s="5" t="str">
        <x:v>Fried Rice &amp; Chicken</x:v>
      </x:c>
      <x:c r="F764" s="5" t="str">
        <x:v>Rice Meals</x:v>
      </x:c>
      <x:c r="G764" s="44" t="n">
        <x:v>3</x:v>
      </x:c>
      <x:c r="H764" s="45" t="n">
        <x:v>3000</x:v>
      </x:c>
      <x:c r="I764" s="46" t="n">
        <x:v>0</x:v>
      </x:c>
      <x:c r="J764" s="47" t="n">
        <x:f>G764*H764*(1-I764)</x:f>
        <x:v>9000</x:v>
      </x:c>
      <x:c r="K764" s="47" t="n">
        <x:v>1580</x:v>
      </x:c>
      <x:c r="L764" s="47" t="n">
        <x:f>G764*K764</x:f>
        <x:v>4740</x:v>
      </x:c>
      <x:c r="M764" s="47" t="n">
        <x:f>J764-L764</x:f>
        <x:v>4260</x:v>
      </x:c>
      <x:c r="N764" s="5" t="str">
        <x:v>Takeaway</x:v>
      </x:c>
      <x:c r="O764" s="5" t="str">
        <x:v>Cash</x:v>
      </x:c>
      <x:c r="P764" s="5" t="str">
        <x:v>Dinner</x:v>
      </x:c>
      <x:c r="Q764" s="48" t="n">
        <x:v>19</x:v>
      </x:c>
      <x:c r="R764" s="5" t="n">
        <x:v>5</x:v>
      </x:c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5" t="str">
        <x:v>ORD-01009</x:v>
      </x:c>
      <x:c r="B765" s="43" t="n">
        <x:v>46121</x:v>
      </x:c>
      <x:c r="C765" s="5" t="str">
        <x:v>CUST-0031</x:v>
      </x:c>
      <x:c r="D765" s="5" t="str">
        <x:v>FD004</x:v>
      </x:c>
      <x:c r="E765" s="5" t="str">
        <x:v>Beans &amp; Plantain</x:v>
      </x:c>
      <x:c r="F765" s="5" t="str">
        <x:v>Traditional Meals</x:v>
      </x:c>
      <x:c r="G765" s="44" t="n">
        <x:v>1</x:v>
      </x:c>
      <x:c r="H765" s="45" t="n">
        <x:v>2000</x:v>
      </x:c>
      <x:c r="I765" s="46" t="n">
        <x:v>0</x:v>
      </x:c>
      <x:c r="J765" s="47" t="n">
        <x:f>G765*H765*(1-I765)</x:f>
        <x:v>2000</x:v>
      </x:c>
      <x:c r="K765" s="47" t="n">
        <x:v>960</x:v>
      </x:c>
      <x:c r="L765" s="47" t="n">
        <x:f>G765*K765</x:f>
        <x:v>960</x:v>
      </x:c>
      <x:c r="M765" s="47" t="n">
        <x:f>J765-L765</x:f>
        <x:v>1040</x:v>
      </x:c>
      <x:c r="N765" s="5" t="str">
        <x:v>Walk-in</x:v>
      </x:c>
      <x:c r="O765" s="5" t="str">
        <x:v>Transfer</x:v>
      </x:c>
      <x:c r="P765" s="5" t="str">
        <x:v>Dinner</x:v>
      </x:c>
      <x:c r="Q765" s="48" t="n">
        <x:v>16</x:v>
      </x:c>
      <x:c r="R765" s="5" t="n">
        <x:v>4</x:v>
      </x:c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5" t="str">
        <x:v>ORD-01042</x:v>
      </x:c>
      <x:c r="B766" s="43" t="n">
        <x:v>46121</x:v>
      </x:c>
      <x:c r="C766" s="5" t="str">
        <x:v>CUST-0237</x:v>
      </x:c>
      <x:c r="D766" s="5" t="str">
        <x:v>FD006</x:v>
      </x:c>
      <x:c r="E766" s="5" t="str">
        <x:v>Eba &amp; Egusi Soup</x:v>
      </x:c>
      <x:c r="F766" s="5" t="str">
        <x:v>Swallow</x:v>
      </x:c>
      <x:c r="G766" s="44" t="n">
        <x:v>3</x:v>
      </x:c>
      <x:c r="H766" s="45" t="n">
        <x:v>2600</x:v>
      </x:c>
      <x:c r="I766" s="46" t="n">
        <x:v>0</x:v>
      </x:c>
      <x:c r="J766" s="47" t="n">
        <x:f>G766*H766*(1-I766)</x:f>
        <x:v>7800</x:v>
      </x:c>
      <x:c r="K766" s="47" t="n">
        <x:v>1320</x:v>
      </x:c>
      <x:c r="L766" s="47" t="n">
        <x:f>G766*K766</x:f>
        <x:v>3960</x:v>
      </x:c>
      <x:c r="M766" s="47" t="n">
        <x:f>J766-L766</x:f>
        <x:v>3840</x:v>
      </x:c>
      <x:c r="N766" s="5" t="str">
        <x:v>Delivery</x:v>
      </x:c>
      <x:c r="O766" s="5" t="str">
        <x:v>POS</x:v>
      </x:c>
      <x:c r="P766" s="5" t="str">
        <x:v>Lunch</x:v>
      </x:c>
      <x:c r="Q766" s="48" t="n">
        <x:v>13</x:v>
      </x:c>
      <x:c r="R766" s="5" t="n">
        <x:v>5</x:v>
      </x:c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5" t="str">
        <x:v>ORD-01079</x:v>
      </x:c>
      <x:c r="B767" s="43" t="n">
        <x:v>46121</x:v>
      </x:c>
      <x:c r="C767" s="5" t="str">
        <x:v>CUST-0588</x:v>
      </x:c>
      <x:c r="D767" s="5" t="str">
        <x:v>FD010</x:v>
      </x:c>
      <x:c r="E767" s="5" t="str">
        <x:v>Soft Drink</x:v>
      </x:c>
      <x:c r="F767" s="5" t="str">
        <x:v>Beverages</x:v>
      </x:c>
      <x:c r="G767" s="44" t="n">
        <x:v>2</x:v>
      </x:c>
      <x:c r="H767" s="45" t="n">
        <x:v>600</x:v>
      </x:c>
      <x:c r="I767" s="46" t="n">
        <x:v>0.05</x:v>
      </x:c>
      <x:c r="J767" s="47" t="n">
        <x:f>G767*H767*(1-I767)</x:f>
        <x:v>1140</x:v>
      </x:c>
      <x:c r="K767" s="47" t="n">
        <x:v>280</x:v>
      </x:c>
      <x:c r="L767" s="47" t="n">
        <x:f>G767*K767</x:f>
        <x:v>560</x:v>
      </x:c>
      <x:c r="M767" s="47" t="n">
        <x:f>J767-L767</x:f>
        <x:v>580</x:v>
      </x:c>
      <x:c r="N767" s="5" t="str">
        <x:v>Takeaway</x:v>
      </x:c>
      <x:c r="O767" s="5" t="str">
        <x:v>Cash</x:v>
      </x:c>
      <x:c r="P767" s="5" t="str">
        <x:v>Breakfast</x:v>
      </x:c>
      <x:c r="Q767" s="48" t="n">
        <x:v>10</x:v>
      </x:c>
      <x:c r="R767" s="5" t="n">
        <x:v>4</x:v>
      </x:c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5" t="str">
        <x:v>ORD-01424</x:v>
      </x:c>
      <x:c r="B768" s="43" t="n">
        <x:v>46121</x:v>
      </x:c>
      <x:c r="C768" s="5" t="str">
        <x:v>CUST-0014</x:v>
      </x:c>
      <x:c r="D768" s="5" t="str">
        <x:v>FD008</x:v>
      </x:c>
      <x:c r="E768" s="5" t="str">
        <x:v>Pounded Yam &amp; Vegetable Soup</x:v>
      </x:c>
      <x:c r="F768" s="5" t="str">
        <x:v>Swallow</x:v>
      </x:c>
      <x:c r="G768" s="44" t="n">
        <x:v>3</x:v>
      </x:c>
      <x:c r="H768" s="45" t="n">
        <x:v>3200</x:v>
      </x:c>
      <x:c r="I768" s="46" t="n">
        <x:v>0</x:v>
      </x:c>
      <x:c r="J768" s="47" t="n">
        <x:f>G768*H768*(1-I768)</x:f>
        <x:v>9600</x:v>
      </x:c>
      <x:c r="K768" s="47" t="n">
        <x:v>1710</x:v>
      </x:c>
      <x:c r="L768" s="47" t="n">
        <x:f>G768*K768</x:f>
        <x:v>5130</x:v>
      </x:c>
      <x:c r="M768" s="47" t="n">
        <x:f>J768-L768</x:f>
        <x:v>4470</x:v>
      </x:c>
      <x:c r="N768" s="5" t="str">
        <x:v>Takeaway</x:v>
      </x:c>
      <x:c r="O768" s="5" t="str">
        <x:v>Cash</x:v>
      </x:c>
      <x:c r="P768" s="5" t="str">
        <x:v>Lunch</x:v>
      </x:c>
      <x:c r="Q768" s="48" t="n">
        <x:v>12</x:v>
      </x:c>
      <x:c r="R768" s="5" t="n">
        <x:v>5</x:v>
      </x:c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5" t="str">
        <x:v>ORD-01465</x:v>
      </x:c>
      <x:c r="B769" s="43" t="n">
        <x:v>46121</x:v>
      </x:c>
      <x:c r="C769" s="5" t="str">
        <x:v>CUST-0554</x:v>
      </x:c>
      <x:c r="D769" s="5" t="str">
        <x:v>FD010</x:v>
      </x:c>
      <x:c r="E769" s="5" t="str">
        <x:v>Soft Drink</x:v>
      </x:c>
      <x:c r="F769" s="5" t="str">
        <x:v>Beverages</x:v>
      </x:c>
      <x:c r="G769" s="44" t="n">
        <x:v>1</x:v>
      </x:c>
      <x:c r="H769" s="45" t="n">
        <x:v>600</x:v>
      </x:c>
      <x:c r="I769" s="46" t="n">
        <x:v>0</x:v>
      </x:c>
      <x:c r="J769" s="47" t="n">
        <x:f>G769*H769*(1-I769)</x:f>
        <x:v>600</x:v>
      </x:c>
      <x:c r="K769" s="47" t="n">
        <x:v>280</x:v>
      </x:c>
      <x:c r="L769" s="47" t="n">
        <x:f>G769*K769</x:f>
        <x:v>280</x:v>
      </x:c>
      <x:c r="M769" s="47" t="n">
        <x:f>J769-L769</x:f>
        <x:v>320</x:v>
      </x:c>
      <x:c r="N769" s="5" t="str">
        <x:v>Takeaway</x:v>
      </x:c>
      <x:c r="O769" s="5" t="str">
        <x:v>POS</x:v>
      </x:c>
      <x:c r="P769" s="5" t="str">
        <x:v>Lunch</x:v>
      </x:c>
      <x:c r="Q769" s="48" t="n">
        <x:v>12</x:v>
      </x:c>
      <x:c r="R769" s="5" t="n">
        <x:v>4</x:v>
      </x:c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5" t="str">
        <x:v>ORD-01540</x:v>
      </x:c>
      <x:c r="B770" s="43" t="n">
        <x:v>46121</x:v>
      </x:c>
      <x:c r="C770" s="5" t="str">
        <x:v>CUST-0533</x:v>
      </x:c>
      <x:c r="D770" s="5" t="str">
        <x:v>FD002</x:v>
      </x:c>
      <x:c r="E770" s="5" t="str">
        <x:v>Jollof Rice &amp; Chicken</x:v>
      </x:c>
      <x:c r="F770" s="5" t="str">
        <x:v>Rice Meals</x:v>
      </x:c>
      <x:c r="G770" s="44" t="n">
        <x:v>2</x:v>
      </x:c>
      <x:c r="H770" s="45" t="n">
        <x:v>2800</x:v>
      </x:c>
      <x:c r="I770" s="46" t="n">
        <x:v>0</x:v>
      </x:c>
      <x:c r="J770" s="47" t="n">
        <x:f>G770*H770*(1-I770)</x:f>
        <x:v>5600</x:v>
      </x:c>
      <x:c r="K770" s="47" t="n">
        <x:v>1450</x:v>
      </x:c>
      <x:c r="L770" s="47" t="n">
        <x:f>G770*K770</x:f>
        <x:v>2900</x:v>
      </x:c>
      <x:c r="M770" s="47" t="n">
        <x:f>J770-L770</x:f>
        <x:v>2700</x:v>
      </x:c>
      <x:c r="N770" s="5" t="str">
        <x:v>Walk-in</x:v>
      </x:c>
      <x:c r="O770" s="5" t="str">
        <x:v>POS</x:v>
      </x:c>
      <x:c r="P770" s="5" t="str">
        <x:v>Lunch</x:v>
      </x:c>
      <x:c r="Q770" s="48" t="n">
        <x:v>15</x:v>
      </x:c>
      <x:c r="R770" s="5" t="n">
        <x:v>4</x:v>
      </x:c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5" t="str">
        <x:v>ORD-00112</x:v>
      </x:c>
      <x:c r="B771" s="43" t="n">
        <x:v>46122</x:v>
      </x:c>
      <x:c r="C771" s="5" t="str">
        <x:v>CUST-0629</x:v>
      </x:c>
      <x:c r="D771" s="5" t="str">
        <x:v>FD002</x:v>
      </x:c>
      <x:c r="E771" s="5" t="str">
        <x:v>Jollof Rice &amp; Chicken</x:v>
      </x:c>
      <x:c r="F771" s="5" t="str">
        <x:v>Rice Meals</x:v>
      </x:c>
      <x:c r="G771" s="44" t="n">
        <x:v>3</x:v>
      </x:c>
      <x:c r="H771" s="45" t="n">
        <x:v>2800</x:v>
      </x:c>
      <x:c r="I771" s="46" t="n">
        <x:v>0</x:v>
      </x:c>
      <x:c r="J771" s="47" t="n">
        <x:f>G771*H771*(1-I771)</x:f>
        <x:v>8400</x:v>
      </x:c>
      <x:c r="K771" s="47" t="n">
        <x:v>1450</x:v>
      </x:c>
      <x:c r="L771" s="47" t="n">
        <x:f>G771*K771</x:f>
        <x:v>4350</x:v>
      </x:c>
      <x:c r="M771" s="47" t="n">
        <x:f>J771-L771</x:f>
        <x:v>4050</x:v>
      </x:c>
      <x:c r="N771" s="5" t="str">
        <x:v>Walk-in</x:v>
      </x:c>
      <x:c r="O771" s="5" t="str">
        <x:v>Cash</x:v>
      </x:c>
      <x:c r="P771" s="5" t="str">
        <x:v>Dinner</x:v>
      </x:c>
      <x:c r="Q771" s="48" t="n">
        <x:v>18</x:v>
      </x:c>
      <x:c r="R771" s="5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5" t="str">
        <x:v>ORD-00209</x:v>
      </x:c>
      <x:c r="B772" s="43" t="n">
        <x:v>46122</x:v>
      </x:c>
      <x:c r="C772" s="5" t="str">
        <x:v>CUST-0032</x:v>
      </x:c>
      <x:c r="D772" s="5" t="str">
        <x:v>FD010</x:v>
      </x:c>
      <x:c r="E772" s="5" t="str">
        <x:v>Soft Drink</x:v>
      </x:c>
      <x:c r="F772" s="5" t="str">
        <x:v>Beverages</x:v>
      </x:c>
      <x:c r="G772" s="44" t="n">
        <x:v>3</x:v>
      </x:c>
      <x:c r="H772" s="45" t="n">
        <x:v>600</x:v>
      </x:c>
      <x:c r="I772" s="46" t="n">
        <x:v>0</x:v>
      </x:c>
      <x:c r="J772" s="47" t="n">
        <x:f>G772*H772*(1-I772)</x:f>
        <x:v>1800</x:v>
      </x:c>
      <x:c r="K772" s="47" t="n">
        <x:v>280</x:v>
      </x:c>
      <x:c r="L772" s="47" t="n">
        <x:f>G772*K772</x:f>
        <x:v>840</x:v>
      </x:c>
      <x:c r="M772" s="47" t="n">
        <x:f>J772-L772</x:f>
        <x:v>960</x:v>
      </x:c>
      <x:c r="N772" s="5" t="str">
        <x:v>Delivery</x:v>
      </x:c>
      <x:c r="O772" s="5" t="str">
        <x:v>Transfer</x:v>
      </x:c>
      <x:c r="P772" s="5" t="str">
        <x:v>Lunch</x:v>
      </x:c>
      <x:c r="Q772" s="48" t="n">
        <x:v>14</x:v>
      </x:c>
      <x:c r="R772" s="5" t="n">
        <x:v>4</x:v>
      </x:c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5" t="str">
        <x:v>ORD-00716</x:v>
      </x:c>
      <x:c r="B773" s="43" t="n">
        <x:v>46122</x:v>
      </x:c>
      <x:c r="C773" s="5" t="str">
        <x:v>CUST-0145</x:v>
      </x:c>
      <x:c r="D773" s="5" t="str">
        <x:v>FD001</x:v>
      </x:c>
      <x:c r="E773" s="5" t="str">
        <x:v>White Rice &amp; Stew</x:v>
      </x:c>
      <x:c r="F773" s="5" t="str">
        <x:v>Rice Meals</x:v>
      </x:c>
      <x:c r="G773" s="44" t="n">
        <x:v>3</x:v>
      </x:c>
      <x:c r="H773" s="45" t="n">
        <x:v>1800</x:v>
      </x:c>
      <x:c r="I773" s="46" t="n">
        <x:v>0</x:v>
      </x:c>
      <x:c r="J773" s="47" t="n">
        <x:f>G773*H773*(1-I773)</x:f>
        <x:v>5400</x:v>
      </x:c>
      <x:c r="K773" s="47" t="n">
        <x:v>820</x:v>
      </x:c>
      <x:c r="L773" s="47" t="n">
        <x:f>G773*K773</x:f>
        <x:v>2460</x:v>
      </x:c>
      <x:c r="M773" s="47" t="n">
        <x:f>J773-L773</x:f>
        <x:v>2940</x:v>
      </x:c>
      <x:c r="N773" s="5" t="str">
        <x:v>Takeaway</x:v>
      </x:c>
      <x:c r="O773" s="5" t="str">
        <x:v>Cash</x:v>
      </x:c>
      <x:c r="P773" s="5" t="str">
        <x:v>Lunch</x:v>
      </x:c>
      <x:c r="Q773" s="48" t="n">
        <x:v>15</x:v>
      </x:c>
      <x:c r="R773" s="5" t="n">
        <x:v>4</x:v>
      </x:c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5" t="str">
        <x:v>ORD-00964</x:v>
      </x:c>
      <x:c r="B774" s="43" t="n">
        <x:v>46122</x:v>
      </x:c>
      <x:c r="C774" s="5" t="str">
        <x:v>CUST-0279</x:v>
      </x:c>
      <x:c r="D774" s="5" t="str">
        <x:v>FD007</x:v>
      </x:c>
      <x:c r="E774" s="5" t="str">
        <x:v>Amala &amp; Ewedu</x:v>
      </x:c>
      <x:c r="F774" s="5" t="str">
        <x:v>Swallow</x:v>
      </x:c>
      <x:c r="G774" s="44" t="n">
        <x:v>1</x:v>
      </x:c>
      <x:c r="H774" s="45" t="n">
        <x:v>2500</x:v>
      </x:c>
      <x:c r="I774" s="46" t="n">
        <x:v>0</x:v>
      </x:c>
      <x:c r="J774" s="47" t="n">
        <x:f>G774*H774*(1-I774)</x:f>
        <x:v>2500</x:v>
      </x:c>
      <x:c r="K774" s="47" t="n">
        <x:v>1250</x:v>
      </x:c>
      <x:c r="L774" s="47" t="n">
        <x:f>G774*K774</x:f>
        <x:v>1250</x:v>
      </x:c>
      <x:c r="M774" s="47" t="n">
        <x:f>J774-L774</x:f>
        <x:v>1250</x:v>
      </x:c>
      <x:c r="N774" s="5" t="str">
        <x:v>Takeaway</x:v>
      </x:c>
      <x:c r="O774" s="5" t="str">
        <x:v>POS</x:v>
      </x:c>
      <x:c r="P774" s="5" t="str">
        <x:v>Dinner</x:v>
      </x:c>
      <x:c r="Q774" s="48" t="n">
        <x:v>18</x:v>
      </x:c>
      <x:c r="R774" s="5" t="n">
        <x:v>4</x:v>
      </x:c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5" t="str">
        <x:v>ORD-01044</x:v>
      </x:c>
      <x:c r="B775" s="43" t="n">
        <x:v>46122</x:v>
      </x:c>
      <x:c r="C775" s="5" t="str">
        <x:v>CUST-0117</x:v>
      </x:c>
      <x:c r="D775" s="5" t="str">
        <x:v>FD006</x:v>
      </x:c>
      <x:c r="E775" s="5" t="str">
        <x:v>Eba &amp; Egusi Soup</x:v>
      </x:c>
      <x:c r="F775" s="5" t="str">
        <x:v>Swallow</x:v>
      </x:c>
      <x:c r="G775" s="44" t="n">
        <x:v>2</x:v>
      </x:c>
      <x:c r="H775" s="45" t="n">
        <x:v>2600</x:v>
      </x:c>
      <x:c r="I775" s="46" t="n">
        <x:v>0</x:v>
      </x:c>
      <x:c r="J775" s="47" t="n">
        <x:f>G775*H775*(1-I775)</x:f>
        <x:v>5200</x:v>
      </x:c>
      <x:c r="K775" s="47" t="n">
        <x:v>1320</x:v>
      </x:c>
      <x:c r="L775" s="47" t="n">
        <x:f>G775*K775</x:f>
        <x:v>2640</x:v>
      </x:c>
      <x:c r="M775" s="47" t="n">
        <x:f>J775-L775</x:f>
        <x:v>2560</x:v>
      </x:c>
      <x:c r="N775" s="5" t="str">
        <x:v>Walk-in</x:v>
      </x:c>
      <x:c r="O775" s="5" t="str">
        <x:v>Transfer</x:v>
      </x:c>
      <x:c r="P775" s="5" t="str">
        <x:v>Lunch</x:v>
      </x:c>
      <x:c r="Q775" s="48" t="n">
        <x:v>13</x:v>
      </x:c>
      <x:c r="R775" s="5" t="n">
        <x:v>3</x:v>
      </x:c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5" t="str">
        <x:v>ORD-01305</x:v>
      </x:c>
      <x:c r="B776" s="43" t="n">
        <x:v>46122</x:v>
      </x:c>
      <x:c r="C776" s="5" t="str">
        <x:v>CUST-0426</x:v>
      </x:c>
      <x:c r="D776" s="5" t="str">
        <x:v>FD010</x:v>
      </x:c>
      <x:c r="E776" s="5" t="str">
        <x:v>Soft Drink</x:v>
      </x:c>
      <x:c r="F776" s="5" t="str">
        <x:v>Beverages</x:v>
      </x:c>
      <x:c r="G776" s="44" t="n">
        <x:v>3</x:v>
      </x:c>
      <x:c r="H776" s="45" t="n">
        <x:v>600</x:v>
      </x:c>
      <x:c r="I776" s="46" t="n">
        <x:v>0</x:v>
      </x:c>
      <x:c r="J776" s="47" t="n">
        <x:f>G776*H776*(1-I776)</x:f>
        <x:v>1800</x:v>
      </x:c>
      <x:c r="K776" s="47" t="n">
        <x:v>280</x:v>
      </x:c>
      <x:c r="L776" s="47" t="n">
        <x:f>G776*K776</x:f>
        <x:v>840</x:v>
      </x:c>
      <x:c r="M776" s="47" t="n">
        <x:f>J776-L776</x:f>
        <x:v>960</x:v>
      </x:c>
      <x:c r="N776" s="5" t="str">
        <x:v>Takeaway</x:v>
      </x:c>
      <x:c r="O776" s="5" t="str">
        <x:v>POS</x:v>
      </x:c>
      <x:c r="P776" s="5" t="str">
        <x:v>Dinner</x:v>
      </x:c>
      <x:c r="Q776" s="48" t="n">
        <x:v>19</x:v>
      </x:c>
      <x:c r="R776" s="5" t="n">
        <x:v>4</x:v>
      </x:c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5" t="str">
        <x:v>ORD-01515</x:v>
      </x:c>
      <x:c r="B777" s="43" t="n">
        <x:v>46122</x:v>
      </x:c>
      <x:c r="C777" s="5" t="str">
        <x:v>CUST-0459</x:v>
      </x:c>
      <x:c r="D777" s="5" t="str">
        <x:v>FD002</x:v>
      </x:c>
      <x:c r="E777" s="5" t="str">
        <x:v>Jollof Rice &amp; Chicken</x:v>
      </x:c>
      <x:c r="F777" s="5" t="str">
        <x:v>Rice Meals</x:v>
      </x:c>
      <x:c r="G777" s="44" t="n">
        <x:v>3</x:v>
      </x:c>
      <x:c r="H777" s="45" t="n">
        <x:v>2800</x:v>
      </x:c>
      <x:c r="I777" s="46" t="n">
        <x:v>0</x:v>
      </x:c>
      <x:c r="J777" s="47" t="n">
        <x:f>G777*H777*(1-I777)</x:f>
        <x:v>8400</x:v>
      </x:c>
      <x:c r="K777" s="47" t="n">
        <x:v>1450</x:v>
      </x:c>
      <x:c r="L777" s="47" t="n">
        <x:f>G777*K777</x:f>
        <x:v>4350</x:v>
      </x:c>
      <x:c r="M777" s="47" t="n">
        <x:f>J777-L777</x:f>
        <x:v>4050</x:v>
      </x:c>
      <x:c r="N777" s="5" t="str">
        <x:v>Delivery</x:v>
      </x:c>
      <x:c r="O777" s="5" t="str">
        <x:v>Transfer</x:v>
      </x:c>
      <x:c r="P777" s="5" t="str">
        <x:v>Lunch</x:v>
      </x:c>
      <x:c r="Q777" s="48" t="n">
        <x:v>11</x:v>
      </x:c>
      <x:c r="R777" s="5" t="n">
        <x:v>4</x:v>
      </x:c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5" t="str">
        <x:v>ORD-01552</x:v>
      </x:c>
      <x:c r="B778" s="43" t="n">
        <x:v>46122</x:v>
      </x:c>
      <x:c r="C778" s="5" t="str">
        <x:v>CUST-0235</x:v>
      </x:c>
      <x:c r="D778" s="5" t="str">
        <x:v>FD006</x:v>
      </x:c>
      <x:c r="E778" s="5" t="str">
        <x:v>Eba &amp; Egusi Soup</x:v>
      </x:c>
      <x:c r="F778" s="5" t="str">
        <x:v>Swallow</x:v>
      </x:c>
      <x:c r="G778" s="44" t="n">
        <x:v>3</x:v>
      </x:c>
      <x:c r="H778" s="45" t="n">
        <x:v>2600</x:v>
      </x:c>
      <x:c r="I778" s="46" t="n">
        <x:v>0</x:v>
      </x:c>
      <x:c r="J778" s="47" t="n">
        <x:f>G778*H778*(1-I778)</x:f>
        <x:v>7800</x:v>
      </x:c>
      <x:c r="K778" s="47" t="n">
        <x:v>1320</x:v>
      </x:c>
      <x:c r="L778" s="47" t="n">
        <x:f>G778*K778</x:f>
        <x:v>3960</x:v>
      </x:c>
      <x:c r="M778" s="47" t="n">
        <x:f>J778-L778</x:f>
        <x:v>3840</x:v>
      </x:c>
      <x:c r="N778" s="5" t="str">
        <x:v>Walk-in</x:v>
      </x:c>
      <x:c r="O778" s="5" t="str">
        <x:v>Transfer</x:v>
      </x:c>
      <x:c r="P778" s="5" t="str">
        <x:v>Lunch</x:v>
      </x:c>
      <x:c r="Q778" s="48" t="n">
        <x:v>13</x:v>
      </x:c>
      <x:c r="R778" s="5" t="n">
        <x:v>3</x:v>
      </x:c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5" t="str">
        <x:v>ORD-01558</x:v>
      </x:c>
      <x:c r="B779" s="43" t="n">
        <x:v>46122</x:v>
      </x:c>
      <x:c r="C779" s="5" t="str">
        <x:v>CUST-0413</x:v>
      </x:c>
      <x:c r="D779" s="5" t="str">
        <x:v>FD001</x:v>
      </x:c>
      <x:c r="E779" s="5" t="str">
        <x:v>White Rice &amp; Stew</x:v>
      </x:c>
      <x:c r="F779" s="5" t="str">
        <x:v>Rice Meals</x:v>
      </x:c>
      <x:c r="G779" s="44" t="n">
        <x:v>1</x:v>
      </x:c>
      <x:c r="H779" s="45" t="n">
        <x:v>1800</x:v>
      </x:c>
      <x:c r="I779" s="46" t="n">
        <x:v>0</x:v>
      </x:c>
      <x:c r="J779" s="47" t="n">
        <x:f>G779*H779*(1-I779)</x:f>
        <x:v>1800</x:v>
      </x:c>
      <x:c r="K779" s="47" t="n">
        <x:v>820</x:v>
      </x:c>
      <x:c r="L779" s="47" t="n">
        <x:f>G779*K779</x:f>
        <x:v>820</x:v>
      </x:c>
      <x:c r="M779" s="47" t="n">
        <x:f>J779-L779</x:f>
        <x:v>980</x:v>
      </x:c>
      <x:c r="N779" s="5" t="str">
        <x:v>Walk-in</x:v>
      </x:c>
      <x:c r="O779" s="5" t="str">
        <x:v>POS</x:v>
      </x:c>
      <x:c r="P779" s="5" t="str">
        <x:v>Breakfast</x:v>
      </x:c>
      <x:c r="Q779" s="48" t="n">
        <x:v>9</x:v>
      </x:c>
      <x:c r="R779" s="5" t="n">
        <x:v>4</x:v>
      </x:c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5" t="str">
        <x:v>ORD-00278</x:v>
      </x:c>
      <x:c r="B780" s="43" t="n">
        <x:v>46123</x:v>
      </x:c>
      <x:c r="C780" s="5" t="str">
        <x:v>CUST-0261</x:v>
      </x:c>
      <x:c r="D780" s="5" t="str">
        <x:v>FD008</x:v>
      </x:c>
      <x:c r="E780" s="5" t="str">
        <x:v>Pounded Yam &amp; Vegetable Soup</x:v>
      </x:c>
      <x:c r="F780" s="5" t="str">
        <x:v>Swallow</x:v>
      </x:c>
      <x:c r="G780" s="44" t="n">
        <x:v>2</x:v>
      </x:c>
      <x:c r="H780" s="45" t="n">
        <x:v>3200</x:v>
      </x:c>
      <x:c r="I780" s="46" t="n">
        <x:v>0</x:v>
      </x:c>
      <x:c r="J780" s="47" t="n">
        <x:f>G780*H780*(1-I780)</x:f>
        <x:v>6400</x:v>
      </x:c>
      <x:c r="K780" s="47" t="n">
        <x:v>1710</x:v>
      </x:c>
      <x:c r="L780" s="47" t="n">
        <x:f>G780*K780</x:f>
        <x:v>3420</x:v>
      </x:c>
      <x:c r="M780" s="47" t="n">
        <x:f>J780-L780</x:f>
        <x:v>2980</x:v>
      </x:c>
      <x:c r="N780" s="5" t="str">
        <x:v>Walk-in</x:v>
      </x:c>
      <x:c r="O780" s="5" t="str">
        <x:v>POS</x:v>
      </x:c>
      <x:c r="P780" s="5" t="str">
        <x:v>Lunch</x:v>
      </x:c>
      <x:c r="Q780" s="48" t="n">
        <x:v>15</x:v>
      </x:c>
      <x:c r="R780" s="5" t="n">
        <x:v>4</x:v>
      </x:c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5" t="str">
        <x:v>ORD-00454</x:v>
      </x:c>
      <x:c r="B781" s="43" t="n">
        <x:v>46123</x:v>
      </x:c>
      <x:c r="C781" s="5" t="str">
        <x:v>CUST-0234</x:v>
      </x:c>
      <x:c r="D781" s="5" t="str">
        <x:v>FD001</x:v>
      </x:c>
      <x:c r="E781" s="5" t="str">
        <x:v>White Rice &amp; Stew</x:v>
      </x:c>
      <x:c r="F781" s="5" t="str">
        <x:v>Rice Meals</x:v>
      </x:c>
      <x:c r="G781" s="44" t="n">
        <x:v>2</x:v>
      </x:c>
      <x:c r="H781" s="45" t="n">
        <x:v>1800</x:v>
      </x:c>
      <x:c r="I781" s="46" t="n">
        <x:v>0</x:v>
      </x:c>
      <x:c r="J781" s="47" t="n">
        <x:f>G781*H781*(1-I781)</x:f>
        <x:v>3600</x:v>
      </x:c>
      <x:c r="K781" s="47" t="n">
        <x:v>820</x:v>
      </x:c>
      <x:c r="L781" s="47" t="n">
        <x:f>G781*K781</x:f>
        <x:v>1640</x:v>
      </x:c>
      <x:c r="M781" s="47" t="n">
        <x:f>J781-L781</x:f>
        <x:v>1960</x:v>
      </x:c>
      <x:c r="N781" s="5" t="str">
        <x:v>Takeaway</x:v>
      </x:c>
      <x:c r="O781" s="5" t="str">
        <x:v>Cash</x:v>
      </x:c>
      <x:c r="P781" s="5" t="str">
        <x:v>Breakfast</x:v>
      </x:c>
      <x:c r="Q781" s="48" t="n">
        <x:v>9</x:v>
      </x:c>
      <x:c r="R781" s="5" t="n">
        <x:v>3</x:v>
      </x:c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5" t="str">
        <x:v>ORD-00854</x:v>
      </x:c>
      <x:c r="B782" s="43" t="n">
        <x:v>46123</x:v>
      </x:c>
      <x:c r="C782" s="5" t="str">
        <x:v>CUST-0561</x:v>
      </x:c>
      <x:c r="D782" s="5" t="str">
        <x:v>FD006</x:v>
      </x:c>
      <x:c r="E782" s="5" t="str">
        <x:v>Eba &amp; Egusi Soup</x:v>
      </x:c>
      <x:c r="F782" s="5" t="str">
        <x:v>Swallow</x:v>
      </x:c>
      <x:c r="G782" s="44" t="n">
        <x:v>1</x:v>
      </x:c>
      <x:c r="H782" s="45" t="n">
        <x:v>2600</x:v>
      </x:c>
      <x:c r="I782" s="46" t="n">
        <x:v>0</x:v>
      </x:c>
      <x:c r="J782" s="47" t="n">
        <x:f>G782*H782*(1-I782)</x:f>
        <x:v>2600</x:v>
      </x:c>
      <x:c r="K782" s="47" t="n">
        <x:v>1320</x:v>
      </x:c>
      <x:c r="L782" s="47" t="n">
        <x:f>G782*K782</x:f>
        <x:v>1320</x:v>
      </x:c>
      <x:c r="M782" s="47" t="n">
        <x:f>J782-L782</x:f>
        <x:v>1280</x:v>
      </x:c>
      <x:c r="N782" s="5" t="str">
        <x:v>Takeaway</x:v>
      </x:c>
      <x:c r="O782" s="5" t="str">
        <x:v>POS</x:v>
      </x:c>
      <x:c r="P782" s="5" t="str">
        <x:v>Lunch</x:v>
      </x:c>
      <x:c r="Q782" s="48" t="n">
        <x:v>12</x:v>
      </x:c>
      <x:c r="R782" s="5" t="n">
        <x:v>4</x:v>
      </x:c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5" t="str">
        <x:v>ORD-01082</x:v>
      </x:c>
      <x:c r="B783" s="43" t="n">
        <x:v>46123</x:v>
      </x:c>
      <x:c r="C783" s="5" t="str">
        <x:v>CUST-0268</x:v>
      </x:c>
      <x:c r="D783" s="5" t="str">
        <x:v>FD002</x:v>
      </x:c>
      <x:c r="E783" s="5" t="str">
        <x:v>Jollof Rice &amp; Chicken</x:v>
      </x:c>
      <x:c r="F783" s="5" t="str">
        <x:v>Rice Meals</x:v>
      </x:c>
      <x:c r="G783" s="44" t="n">
        <x:v>1</x:v>
      </x:c>
      <x:c r="H783" s="45" t="n">
        <x:v>2800</x:v>
      </x:c>
      <x:c r="I783" s="46" t="n">
        <x:v>0</x:v>
      </x:c>
      <x:c r="J783" s="47" t="n">
        <x:f>G783*H783*(1-I783)</x:f>
        <x:v>2800</x:v>
      </x:c>
      <x:c r="K783" s="47" t="n">
        <x:v>1450</x:v>
      </x:c>
      <x:c r="L783" s="47" t="n">
        <x:f>G783*K783</x:f>
        <x:v>1450</x:v>
      </x:c>
      <x:c r="M783" s="47" t="n">
        <x:f>J783-L783</x:f>
        <x:v>1350</x:v>
      </x:c>
      <x:c r="N783" s="5" t="str">
        <x:v>Walk-in</x:v>
      </x:c>
      <x:c r="O783" s="5" t="str">
        <x:v>POS</x:v>
      </x:c>
      <x:c r="P783" s="5" t="str">
        <x:v>Dinner</x:v>
      </x:c>
      <x:c r="Q783" s="48" t="n">
        <x:v>18</x:v>
      </x:c>
      <x:c r="R783" s="5" t="n">
        <x:v>3</x:v>
      </x:c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5" t="str">
        <x:v>ORD-01183</x:v>
      </x:c>
      <x:c r="B784" s="43" t="n">
        <x:v>46123</x:v>
      </x:c>
      <x:c r="C784" s="5" t="str">
        <x:v>CUST-0244</x:v>
      </x:c>
      <x:c r="D784" s="5" t="str">
        <x:v>FD006</x:v>
      </x:c>
      <x:c r="E784" s="5" t="str">
        <x:v>Eba &amp; Egusi Soup</x:v>
      </x:c>
      <x:c r="F784" s="5" t="str">
        <x:v>Swallow</x:v>
      </x:c>
      <x:c r="G784" s="44" t="n">
        <x:v>2</x:v>
      </x:c>
      <x:c r="H784" s="45" t="n">
        <x:v>2600</x:v>
      </x:c>
      <x:c r="I784" s="46" t="n">
        <x:v>0</x:v>
      </x:c>
      <x:c r="J784" s="47" t="n">
        <x:f>G784*H784*(1-I784)</x:f>
        <x:v>5200</x:v>
      </x:c>
      <x:c r="K784" s="47" t="n">
        <x:v>1320</x:v>
      </x:c>
      <x:c r="L784" s="47" t="n">
        <x:f>G784*K784</x:f>
        <x:v>2640</x:v>
      </x:c>
      <x:c r="M784" s="47" t="n">
        <x:f>J784-L784</x:f>
        <x:v>2560</x:v>
      </x:c>
      <x:c r="N784" s="5" t="str">
        <x:v>Takeaway</x:v>
      </x:c>
      <x:c r="O784" s="5" t="str">
        <x:v>Transfer</x:v>
      </x:c>
      <x:c r="P784" s="5" t="str">
        <x:v>Breakfast</x:v>
      </x:c>
      <x:c r="Q784" s="48" t="n">
        <x:v>8</x:v>
      </x:c>
      <x:c r="R784" s="5" t="n">
        <x:v>4</x:v>
      </x:c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5" t="str">
        <x:v>ORD-01377</x:v>
      </x:c>
      <x:c r="B785" s="43" t="n">
        <x:v>46123</x:v>
      </x:c>
      <x:c r="C785" s="5" t="str">
        <x:v>CUST-0137</x:v>
      </x:c>
      <x:c r="D785" s="5" t="str">
        <x:v>FD002</x:v>
      </x:c>
      <x:c r="E785" s="5" t="str">
        <x:v>Jollof Rice &amp; Chicken</x:v>
      </x:c>
      <x:c r="F785" s="5" t="str">
        <x:v>Rice Meals</x:v>
      </x:c>
      <x:c r="G785" s="44" t="n">
        <x:v>1</x:v>
      </x:c>
      <x:c r="H785" s="45" t="n">
        <x:v>2800</x:v>
      </x:c>
      <x:c r="I785" s="46" t="n">
        <x:v>0</x:v>
      </x:c>
      <x:c r="J785" s="47" t="n">
        <x:f>G785*H785*(1-I785)</x:f>
        <x:v>2800</x:v>
      </x:c>
      <x:c r="K785" s="47" t="n">
        <x:v>1450</x:v>
      </x:c>
      <x:c r="L785" s="47" t="n">
        <x:f>G785*K785</x:f>
        <x:v>1450</x:v>
      </x:c>
      <x:c r="M785" s="47" t="n">
        <x:f>J785-L785</x:f>
        <x:v>1350</x:v>
      </x:c>
      <x:c r="N785" s="5" t="str">
        <x:v>Walk-in</x:v>
      </x:c>
      <x:c r="O785" s="5" t="str">
        <x:v>Transfer</x:v>
      </x:c>
      <x:c r="P785" s="5" t="str">
        <x:v>Lunch</x:v>
      </x:c>
      <x:c r="Q785" s="48" t="n">
        <x:v>11</x:v>
      </x:c>
      <x:c r="R785" s="5" t="n">
        <x:v>4</x:v>
      </x:c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5" t="str">
        <x:v>ORD-00334</x:v>
      </x:c>
      <x:c r="B786" s="43" t="n">
        <x:v>46124</x:v>
      </x:c>
      <x:c r="C786" s="5" t="str">
        <x:v>CUST-0121</x:v>
      </x:c>
      <x:c r="D786" s="5" t="str">
        <x:v>FD003</x:v>
      </x:c>
      <x:c r="E786" s="5" t="str">
        <x:v>Fried Rice &amp; Chicken</x:v>
      </x:c>
      <x:c r="F786" s="5" t="str">
        <x:v>Rice Meals</x:v>
      </x:c>
      <x:c r="G786" s="44" t="n">
        <x:v>2</x:v>
      </x:c>
      <x:c r="H786" s="45" t="n">
        <x:v>3000</x:v>
      </x:c>
      <x:c r="I786" s="46" t="n">
        <x:v>0</x:v>
      </x:c>
      <x:c r="J786" s="47" t="n">
        <x:f>G786*H786*(1-I786)</x:f>
        <x:v>6000</x:v>
      </x:c>
      <x:c r="K786" s="47" t="n">
        <x:v>1580</x:v>
      </x:c>
      <x:c r="L786" s="47" t="n">
        <x:f>G786*K786</x:f>
        <x:v>3160</x:v>
      </x:c>
      <x:c r="M786" s="47" t="n">
        <x:f>J786-L786</x:f>
        <x:v>2840</x:v>
      </x:c>
      <x:c r="N786" s="5" t="str">
        <x:v>Walk-in</x:v>
      </x:c>
      <x:c r="O786" s="5" t="str">
        <x:v>Transfer</x:v>
      </x:c>
      <x:c r="P786" s="5" t="str">
        <x:v>Lunch</x:v>
      </x:c>
      <x:c r="Q786" s="48" t="n">
        <x:v>14</x:v>
      </x:c>
      <x:c r="R786" s="5" t="n">
        <x:v>5</x:v>
      </x:c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5" t="str">
        <x:v>ORD-00388</x:v>
      </x:c>
      <x:c r="B787" s="43" t="n">
        <x:v>46124</x:v>
      </x:c>
      <x:c r="C787" s="5" t="str">
        <x:v>CUST-0159</x:v>
      </x:c>
      <x:c r="D787" s="5" t="str">
        <x:v>FD007</x:v>
      </x:c>
      <x:c r="E787" s="5" t="str">
        <x:v>Amala &amp; Ewedu</x:v>
      </x:c>
      <x:c r="F787" s="5" t="str">
        <x:v>Swallow</x:v>
      </x:c>
      <x:c r="G787" s="44" t="n">
        <x:v>4</x:v>
      </x:c>
      <x:c r="H787" s="45" t="n">
        <x:v>2500</x:v>
      </x:c>
      <x:c r="I787" s="46" t="n">
        <x:v>0</x:v>
      </x:c>
      <x:c r="J787" s="47" t="n">
        <x:f>G787*H787*(1-I787)</x:f>
        <x:v>10000</x:v>
      </x:c>
      <x:c r="K787" s="47" t="n">
        <x:v>1250</x:v>
      </x:c>
      <x:c r="L787" s="47" t="n">
        <x:f>G787*K787</x:f>
        <x:v>5000</x:v>
      </x:c>
      <x:c r="M787" s="47" t="n">
        <x:f>J787-L787</x:f>
        <x:v>5000</x:v>
      </x:c>
      <x:c r="N787" s="5" t="str">
        <x:v>Delivery</x:v>
      </x:c>
      <x:c r="O787" s="5" t="str">
        <x:v>Transfer</x:v>
      </x:c>
      <x:c r="P787" s="5" t="str">
        <x:v>Lunch</x:v>
      </x:c>
      <x:c r="Q787" s="48" t="n">
        <x:v>13</x:v>
      </x:c>
      <x:c r="R787" s="5" t="n">
        <x:v>4</x:v>
      </x:c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5" t="str">
        <x:v>ORD-00780</x:v>
      </x:c>
      <x:c r="B788" s="43" t="n">
        <x:v>46124</x:v>
      </x:c>
      <x:c r="C788" s="5" t="str">
        <x:v>CUST-0211</x:v>
      </x:c>
      <x:c r="D788" s="5" t="str">
        <x:v>FD007</x:v>
      </x:c>
      <x:c r="E788" s="5" t="str">
        <x:v>Amala &amp; Ewedu</x:v>
      </x:c>
      <x:c r="F788" s="5" t="str">
        <x:v>Swallow</x:v>
      </x:c>
      <x:c r="G788" s="44" t="n">
        <x:v>4</x:v>
      </x:c>
      <x:c r="H788" s="45" t="n">
        <x:v>2500</x:v>
      </x:c>
      <x:c r="I788" s="46" t="n">
        <x:v>0.05</x:v>
      </x:c>
      <x:c r="J788" s="47" t="n">
        <x:f>G788*H788*(1-I788)</x:f>
        <x:v>9500</x:v>
      </x:c>
      <x:c r="K788" s="47" t="n">
        <x:v>1250</x:v>
      </x:c>
      <x:c r="L788" s="47" t="n">
        <x:f>G788*K788</x:f>
        <x:v>5000</x:v>
      </x:c>
      <x:c r="M788" s="47" t="n">
        <x:f>J788-L788</x:f>
        <x:v>4500</x:v>
      </x:c>
      <x:c r="N788" s="5" t="str">
        <x:v>Walk-in</x:v>
      </x:c>
      <x:c r="O788" s="5" t="str">
        <x:v>Transfer</x:v>
      </x:c>
      <x:c r="P788" s="5" t="str">
        <x:v>Lunch</x:v>
      </x:c>
      <x:c r="Q788" s="48" t="n">
        <x:v>14</x:v>
      </x:c>
      <x:c r="R788" s="5" t="n">
        <x:v>5</x:v>
      </x:c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5" t="str">
        <x:v>ORD-01629</x:v>
      </x:c>
      <x:c r="B789" s="43" t="n">
        <x:v>46124</x:v>
      </x:c>
      <x:c r="C789" s="5" t="str">
        <x:v>CUST-0184</x:v>
      </x:c>
      <x:c r="D789" s="5" t="str">
        <x:v>FD002</x:v>
      </x:c>
      <x:c r="E789" s="5" t="str">
        <x:v>Jollof Rice &amp; Chicken</x:v>
      </x:c>
      <x:c r="F789" s="5" t="str">
        <x:v>Rice Meals</x:v>
      </x:c>
      <x:c r="G789" s="44" t="n">
        <x:v>3</x:v>
      </x:c>
      <x:c r="H789" s="45" t="n">
        <x:v>2800</x:v>
      </x:c>
      <x:c r="I789" s="46" t="n">
        <x:v>0</x:v>
      </x:c>
      <x:c r="J789" s="47" t="n">
        <x:f>G789*H789*(1-I789)</x:f>
        <x:v>8400</x:v>
      </x:c>
      <x:c r="K789" s="47" t="n">
        <x:v>1450</x:v>
      </x:c>
      <x:c r="L789" s="47" t="n">
        <x:f>G789*K789</x:f>
        <x:v>4350</x:v>
      </x:c>
      <x:c r="M789" s="47" t="n">
        <x:f>J789-L789</x:f>
        <x:v>4050</x:v>
      </x:c>
      <x:c r="N789" s="5" t="str">
        <x:v>Delivery</x:v>
      </x:c>
      <x:c r="O789" s="5" t="str">
        <x:v>Transfer</x:v>
      </x:c>
      <x:c r="P789" s="5" t="str">
        <x:v>Dinner</x:v>
      </x:c>
      <x:c r="Q789" s="48" t="n">
        <x:v>19</x:v>
      </x:c>
      <x:c r="R789" s="5" t="n">
        <x:v>4</x:v>
      </x:c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5" t="str">
        <x:v>ORD-00247</x:v>
      </x:c>
      <x:c r="B790" s="43" t="n">
        <x:v>46125</x:v>
      </x:c>
      <x:c r="C790" s="5" t="str">
        <x:v>CUST-0443</x:v>
      </x:c>
      <x:c r="D790" s="5" t="str">
        <x:v>FD001</x:v>
      </x:c>
      <x:c r="E790" s="5" t="str">
        <x:v>White Rice &amp; Stew</x:v>
      </x:c>
      <x:c r="F790" s="5" t="str">
        <x:v>Rice Meals</x:v>
      </x:c>
      <x:c r="G790" s="44" t="n">
        <x:v>3</x:v>
      </x:c>
      <x:c r="H790" s="45" t="n">
        <x:v>1800</x:v>
      </x:c>
      <x:c r="I790" s="46" t="n">
        <x:v>0</x:v>
      </x:c>
      <x:c r="J790" s="47" t="n">
        <x:f>G790*H790*(1-I790)</x:f>
        <x:v>5400</x:v>
      </x:c>
      <x:c r="K790" s="47" t="n">
        <x:v>820</x:v>
      </x:c>
      <x:c r="L790" s="47" t="n">
        <x:f>G790*K790</x:f>
        <x:v>2460</x:v>
      </x:c>
      <x:c r="M790" s="47" t="n">
        <x:f>J790-L790</x:f>
        <x:v>2940</x:v>
      </x:c>
      <x:c r="N790" s="5" t="str">
        <x:v>Delivery</x:v>
      </x:c>
      <x:c r="O790" s="5" t="str">
        <x:v>POS</x:v>
      </x:c>
      <x:c r="P790" s="5" t="str">
        <x:v>Lunch</x:v>
      </x:c>
      <x:c r="Q790" s="48" t="n">
        <x:v>15</x:v>
      </x:c>
      <x:c r="R790" s="5" t="n">
        <x:v>4</x:v>
      </x:c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5" t="str">
        <x:v>ORD-00276</x:v>
      </x:c>
      <x:c r="B791" s="43" t="n">
        <x:v>46125</x:v>
      </x:c>
      <x:c r="C791" s="5" t="str">
        <x:v>CUST-0144</x:v>
      </x:c>
      <x:c r="D791" s="5" t="str">
        <x:v>FD004</x:v>
      </x:c>
      <x:c r="E791" s="5" t="str">
        <x:v>Beans &amp; Plantain</x:v>
      </x:c>
      <x:c r="F791" s="5" t="str">
        <x:v>Traditional Meals</x:v>
      </x:c>
      <x:c r="G791" s="44" t="n">
        <x:v>4</x:v>
      </x:c>
      <x:c r="H791" s="45" t="n">
        <x:v>2000</x:v>
      </x:c>
      <x:c r="I791" s="46" t="n">
        <x:v>0</x:v>
      </x:c>
      <x:c r="J791" s="47" t="n">
        <x:f>G791*H791*(1-I791)</x:f>
        <x:v>8000</x:v>
      </x:c>
      <x:c r="K791" s="47" t="n">
        <x:v>960</x:v>
      </x:c>
      <x:c r="L791" s="47" t="n">
        <x:f>G791*K791</x:f>
        <x:v>3840</x:v>
      </x:c>
      <x:c r="M791" s="47" t="n">
        <x:f>J791-L791</x:f>
        <x:v>4160</x:v>
      </x:c>
      <x:c r="N791" s="5" t="str">
        <x:v>Takeaway</x:v>
      </x:c>
      <x:c r="O791" s="5" t="str">
        <x:v>POS</x:v>
      </x:c>
      <x:c r="P791" s="5" t="str">
        <x:v>Lunch</x:v>
      </x:c>
      <x:c r="Q791" s="48" t="n">
        <x:v>14</x:v>
      </x:c>
      <x:c r="R791" s="5" t="n">
        <x:v>3</x:v>
      </x:c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5" t="str">
        <x:v>ORD-00420</x:v>
      </x:c>
      <x:c r="B792" s="43" t="n">
        <x:v>46125</x:v>
      </x:c>
      <x:c r="C792" s="5" t="str">
        <x:v>CUST-0633</x:v>
      </x:c>
      <x:c r="D792" s="5" t="str">
        <x:v>FD007</x:v>
      </x:c>
      <x:c r="E792" s="5" t="str">
        <x:v>Amala &amp; Ewedu</x:v>
      </x:c>
      <x:c r="F792" s="5" t="str">
        <x:v>Swallow</x:v>
      </x:c>
      <x:c r="G792" s="44" t="n">
        <x:v>2</x:v>
      </x:c>
      <x:c r="H792" s="45" t="n">
        <x:v>2500</x:v>
      </x:c>
      <x:c r="I792" s="46" t="n">
        <x:v>0</x:v>
      </x:c>
      <x:c r="J792" s="47" t="n">
        <x:f>G792*H792*(1-I792)</x:f>
        <x:v>5000</x:v>
      </x:c>
      <x:c r="K792" s="47" t="n">
        <x:v>1250</x:v>
      </x:c>
      <x:c r="L792" s="47" t="n">
        <x:f>G792*K792</x:f>
        <x:v>2500</x:v>
      </x:c>
      <x:c r="M792" s="47" t="n">
        <x:f>J792-L792</x:f>
        <x:v>2500</x:v>
      </x:c>
      <x:c r="N792" s="5" t="str">
        <x:v>Walk-in</x:v>
      </x:c>
      <x:c r="O792" s="5" t="str">
        <x:v>Cash</x:v>
      </x:c>
      <x:c r="P792" s="5" t="str">
        <x:v>Dinner</x:v>
      </x:c>
      <x:c r="Q792" s="48" t="n">
        <x:v>16</x:v>
      </x:c>
      <x:c r="R792" s="5" t="n">
        <x:v>5</x:v>
      </x:c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5" t="str">
        <x:v>ORD-00748</x:v>
      </x:c>
      <x:c r="B793" s="43" t="n">
        <x:v>46125</x:v>
      </x:c>
      <x:c r="C793" s="5" t="str">
        <x:v>CUST-0336</x:v>
      </x:c>
      <x:c r="D793" s="5" t="str">
        <x:v>FD004</x:v>
      </x:c>
      <x:c r="E793" s="5" t="str">
        <x:v>Beans &amp; Plantain</x:v>
      </x:c>
      <x:c r="F793" s="5" t="str">
        <x:v>Traditional Meals</x:v>
      </x:c>
      <x:c r="G793" s="44" t="n">
        <x:v>3</x:v>
      </x:c>
      <x:c r="H793" s="45" t="n">
        <x:v>2000</x:v>
      </x:c>
      <x:c r="I793" s="46" t="n">
        <x:v>0</x:v>
      </x:c>
      <x:c r="J793" s="47" t="n">
        <x:f>G793*H793*(1-I793)</x:f>
        <x:v>6000</x:v>
      </x:c>
      <x:c r="K793" s="47" t="n">
        <x:v>960</x:v>
      </x:c>
      <x:c r="L793" s="47" t="n">
        <x:f>G793*K793</x:f>
        <x:v>2880</x:v>
      </x:c>
      <x:c r="M793" s="47" t="n">
        <x:f>J793-L793</x:f>
        <x:v>3120</x:v>
      </x:c>
      <x:c r="N793" s="5" t="str">
        <x:v>Walk-in</x:v>
      </x:c>
      <x:c r="O793" s="5" t="str">
        <x:v>Transfer</x:v>
      </x:c>
      <x:c r="P793" s="5" t="str">
        <x:v>Lunch</x:v>
      </x:c>
      <x:c r="Q793" s="48" t="n">
        <x:v>12</x:v>
      </x:c>
      <x:c r="R793" s="5" t="n">
        <x:v>5</x:v>
      </x:c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5" t="str">
        <x:v>ORD-00803</x:v>
      </x:c>
      <x:c r="B794" s="43" t="n">
        <x:v>46125</x:v>
      </x:c>
      <x:c r="C794" s="5" t="str">
        <x:v>CUST-0353</x:v>
      </x:c>
      <x:c r="D794" s="5" t="str">
        <x:v>FD002</x:v>
      </x:c>
      <x:c r="E794" s="5" t="str">
        <x:v>Jollof Rice &amp; Chicken</x:v>
      </x:c>
      <x:c r="F794" s="5" t="str">
        <x:v>Rice Meals</x:v>
      </x:c>
      <x:c r="G794" s="44" t="n">
        <x:v>4</x:v>
      </x:c>
      <x:c r="H794" s="45" t="n">
        <x:v>2800</x:v>
      </x:c>
      <x:c r="I794" s="46" t="n">
        <x:v>0</x:v>
      </x:c>
      <x:c r="J794" s="47" t="n">
        <x:f>G794*H794*(1-I794)</x:f>
        <x:v>11200</x:v>
      </x:c>
      <x:c r="K794" s="47" t="n">
        <x:v>1450</x:v>
      </x:c>
      <x:c r="L794" s="47" t="n">
        <x:f>G794*K794</x:f>
        <x:v>5800</x:v>
      </x:c>
      <x:c r="M794" s="47" t="n">
        <x:f>J794-L794</x:f>
        <x:v>5400</x:v>
      </x:c>
      <x:c r="N794" s="5" t="str">
        <x:v>Takeaway</x:v>
      </x:c>
      <x:c r="O794" s="5" t="str">
        <x:v>POS</x:v>
      </x:c>
      <x:c r="P794" s="5" t="str">
        <x:v>Lunch</x:v>
      </x:c>
      <x:c r="Q794" s="48" t="n">
        <x:v>13</x:v>
      </x:c>
      <x:c r="R794" s="5" t="n">
        <x:v>4</x:v>
      </x:c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5" t="str">
        <x:v>ORD-01429</x:v>
      </x:c>
      <x:c r="B795" s="43" t="n">
        <x:v>46125</x:v>
      </x:c>
      <x:c r="C795" s="5" t="str">
        <x:v>CUST-0464</x:v>
      </x:c>
      <x:c r="D795" s="5" t="str">
        <x:v>FD012</x:v>
      </x:c>
      <x:c r="E795" s="5" t="str">
        <x:v>Fried Plantain</x:v>
      </x:c>
      <x:c r="F795" s="5" t="str">
        <x:v>Sides</x:v>
      </x:c>
      <x:c r="G795" s="44" t="n">
        <x:v>3</x:v>
      </x:c>
      <x:c r="H795" s="45" t="n">
        <x:v>700</x:v>
      </x:c>
      <x:c r="I795" s="46" t="n">
        <x:v>0</x:v>
      </x:c>
      <x:c r="J795" s="47" t="n">
        <x:f>G795*H795*(1-I795)</x:f>
        <x:v>2100</x:v>
      </x:c>
      <x:c r="K795" s="47" t="n">
        <x:v>300</x:v>
      </x:c>
      <x:c r="L795" s="47" t="n">
        <x:f>G795*K795</x:f>
        <x:v>900</x:v>
      </x:c>
      <x:c r="M795" s="47" t="n">
        <x:f>J795-L795</x:f>
        <x:v>1200</x:v>
      </x:c>
      <x:c r="N795" s="5" t="str">
        <x:v>Walk-in</x:v>
      </x:c>
      <x:c r="O795" s="5" t="str">
        <x:v>POS</x:v>
      </x:c>
      <x:c r="P795" s="5" t="str">
        <x:v>Breakfast</x:v>
      </x:c>
      <x:c r="Q795" s="48" t="n">
        <x:v>10</x:v>
      </x:c>
      <x:c r="R795" s="5" t="n">
        <x:v>4</x:v>
      </x:c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5" t="str">
        <x:v>ORD-01454</x:v>
      </x:c>
      <x:c r="B796" s="43" t="n">
        <x:v>46125</x:v>
      </x:c>
      <x:c r="C796" s="5" t="str">
        <x:v>CUST-0634</x:v>
      </x:c>
      <x:c r="D796" s="5" t="str">
        <x:v>FD009</x:v>
      </x:c>
      <x:c r="E796" s="5" t="str">
        <x:v>Moi Moi</x:v>
      </x:c>
      <x:c r="F796" s="5" t="str">
        <x:v>Sides</x:v>
      </x:c>
      <x:c r="G796" s="44" t="n">
        <x:v>3</x:v>
      </x:c>
      <x:c r="H796" s="45" t="n">
        <x:v>900</x:v>
      </x:c>
      <x:c r="I796" s="46" t="n">
        <x:v>0.05</x:v>
      </x:c>
      <x:c r="J796" s="47" t="n">
        <x:f>G796*H796*(1-I796)</x:f>
        <x:v>2565</x:v>
      </x:c>
      <x:c r="K796" s="47" t="n">
        <x:v>380</x:v>
      </x:c>
      <x:c r="L796" s="47" t="n">
        <x:f>G796*K796</x:f>
        <x:v>1140</x:v>
      </x:c>
      <x:c r="M796" s="47" t="n">
        <x:f>J796-L796</x:f>
        <x:v>1425</x:v>
      </x:c>
      <x:c r="N796" s="5" t="str">
        <x:v>Delivery</x:v>
      </x:c>
      <x:c r="O796" s="5" t="str">
        <x:v>POS</x:v>
      </x:c>
      <x:c r="P796" s="5" t="str">
        <x:v>Lunch</x:v>
      </x:c>
      <x:c r="Q796" s="48" t="n">
        <x:v>11</x:v>
      </x:c>
      <x:c r="R796" s="5" t="n">
        <x:v>5</x:v>
      </x:c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5" t="str">
        <x:v>ORD-01693</x:v>
      </x:c>
      <x:c r="B797" s="43" t="n">
        <x:v>46125</x:v>
      </x:c>
      <x:c r="C797" s="5" t="str">
        <x:v>CUST-0449</x:v>
      </x:c>
      <x:c r="D797" s="5" t="str">
        <x:v>FD001</x:v>
      </x:c>
      <x:c r="E797" s="5" t="str">
        <x:v>White Rice &amp; Stew</x:v>
      </x:c>
      <x:c r="F797" s="5" t="str">
        <x:v>Rice Meals</x:v>
      </x:c>
      <x:c r="G797" s="44" t="n">
        <x:v>1</x:v>
      </x:c>
      <x:c r="H797" s="45" t="n">
        <x:v>1800</x:v>
      </x:c>
      <x:c r="I797" s="46" t="n">
        <x:v>0</x:v>
      </x:c>
      <x:c r="J797" s="47" t="n">
        <x:f>G797*H797*(1-I797)</x:f>
        <x:v>1800</x:v>
      </x:c>
      <x:c r="K797" s="47" t="n">
        <x:v>820</x:v>
      </x:c>
      <x:c r="L797" s="47" t="n">
        <x:f>G797*K797</x:f>
        <x:v>820</x:v>
      </x:c>
      <x:c r="M797" s="47" t="n">
        <x:f>J797-L797</x:f>
        <x:v>980</x:v>
      </x:c>
      <x:c r="N797" s="5" t="str">
        <x:v>Walk-in</x:v>
      </x:c>
      <x:c r="O797" s="5" t="str">
        <x:v>Cash</x:v>
      </x:c>
      <x:c r="P797" s="5" t="str">
        <x:v>Dinner</x:v>
      </x:c>
      <x:c r="Q797" s="48" t="n">
        <x:v>16</x:v>
      </x:c>
      <x:c r="R797" s="5" t="n">
        <x:v>5</x:v>
      </x:c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5" t="str">
        <x:v>ORD-01769</x:v>
      </x:c>
      <x:c r="B798" s="43" t="n">
        <x:v>46125</x:v>
      </x:c>
      <x:c r="C798" s="5" t="str">
        <x:v>CUST-0485</x:v>
      </x:c>
      <x:c r="D798" s="5" t="str">
        <x:v>FD003</x:v>
      </x:c>
      <x:c r="E798" s="5" t="str">
        <x:v>Fried Rice &amp; Chicken</x:v>
      </x:c>
      <x:c r="F798" s="5" t="str">
        <x:v>Rice Meals</x:v>
      </x:c>
      <x:c r="G798" s="44" t="n">
        <x:v>2</x:v>
      </x:c>
      <x:c r="H798" s="45" t="n">
        <x:v>3000</x:v>
      </x:c>
      <x:c r="I798" s="46" t="n">
        <x:v>0</x:v>
      </x:c>
      <x:c r="J798" s="47" t="n">
        <x:f>G798*H798*(1-I798)</x:f>
        <x:v>6000</x:v>
      </x:c>
      <x:c r="K798" s="47" t="n">
        <x:v>1580</x:v>
      </x:c>
      <x:c r="L798" s="47" t="n">
        <x:f>G798*K798</x:f>
        <x:v>3160</x:v>
      </x:c>
      <x:c r="M798" s="47" t="n">
        <x:f>J798-L798</x:f>
        <x:v>2840</x:v>
      </x:c>
      <x:c r="N798" s="5" t="str">
        <x:v>Delivery</x:v>
      </x:c>
      <x:c r="O798" s="5" t="str">
        <x:v>Cash</x:v>
      </x:c>
      <x:c r="P798" s="5" t="str">
        <x:v>Lunch</x:v>
      </x:c>
      <x:c r="Q798" s="48" t="n">
        <x:v>12</x:v>
      </x:c>
      <x:c r="R798" s="5" t="n">
        <x:v>4</x:v>
      </x:c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5" t="str">
        <x:v>ORD-01785</x:v>
      </x:c>
      <x:c r="B799" s="43" t="n">
        <x:v>46125</x:v>
      </x:c>
      <x:c r="C799" s="5" t="str">
        <x:v>CUST-0476</x:v>
      </x:c>
      <x:c r="D799" s="5" t="str">
        <x:v>FD005</x:v>
      </x:c>
      <x:c r="E799" s="5" t="str">
        <x:v>Yam Porridge</x:v>
      </x:c>
      <x:c r="F799" s="5" t="str">
        <x:v>Traditional Meals</x:v>
      </x:c>
      <x:c r="G799" s="44" t="n">
        <x:v>2</x:v>
      </x:c>
      <x:c r="H799" s="45" t="n">
        <x:v>2200</x:v>
      </x:c>
      <x:c r="I799" s="46" t="n">
        <x:v>0</x:v>
      </x:c>
      <x:c r="J799" s="47" t="n">
        <x:f>G799*H799*(1-I799)</x:f>
        <x:v>4400</x:v>
      </x:c>
      <x:c r="K799" s="47" t="n">
        <x:v>1050</x:v>
      </x:c>
      <x:c r="L799" s="47" t="n">
        <x:f>G799*K799</x:f>
        <x:v>2100</x:v>
      </x:c>
      <x:c r="M799" s="47" t="n">
        <x:f>J799-L799</x:f>
        <x:v>2300</x:v>
      </x:c>
      <x:c r="N799" s="5" t="str">
        <x:v>Walk-in</x:v>
      </x:c>
      <x:c r="O799" s="5" t="str">
        <x:v>POS</x:v>
      </x:c>
      <x:c r="P799" s="5" t="str">
        <x:v>Lunch</x:v>
      </x:c>
      <x:c r="Q799" s="48" t="n">
        <x:v>11</x:v>
      </x:c>
      <x:c r="R799" s="5" t="n">
        <x:v>4</x:v>
      </x:c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5" t="str">
        <x:v>ORD-00055</x:v>
      </x:c>
      <x:c r="B800" s="43" t="n">
        <x:v>46126</x:v>
      </x:c>
      <x:c r="C800" s="5" t="str">
        <x:v>CUST-0441</x:v>
      </x:c>
      <x:c r="D800" s="5" t="str">
        <x:v>FD002</x:v>
      </x:c>
      <x:c r="E800" s="5" t="str">
        <x:v>Jollof Rice &amp; Chicken</x:v>
      </x:c>
      <x:c r="F800" s="5" t="str">
        <x:v>Rice Meals</x:v>
      </x:c>
      <x:c r="G800" s="44" t="n">
        <x:v>1</x:v>
      </x:c>
      <x:c r="H800" s="45" t="n">
        <x:v>2800</x:v>
      </x:c>
      <x:c r="I800" s="46" t="n">
        <x:v>0.05</x:v>
      </x:c>
      <x:c r="J800" s="47" t="n">
        <x:f>G800*H800*(1-I800)</x:f>
        <x:v>2660</x:v>
      </x:c>
      <x:c r="K800" s="47" t="n">
        <x:v>1450</x:v>
      </x:c>
      <x:c r="L800" s="47" t="n">
        <x:f>G800*K800</x:f>
        <x:v>1450</x:v>
      </x:c>
      <x:c r="M800" s="47" t="n">
        <x:f>J800-L800</x:f>
        <x:v>1210</x:v>
      </x:c>
      <x:c r="N800" s="5" t="str">
        <x:v>Takeaway</x:v>
      </x:c>
      <x:c r="O800" s="5" t="str">
        <x:v>POS</x:v>
      </x:c>
      <x:c r="P800" s="5" t="str">
        <x:v>Lunch</x:v>
      </x:c>
      <x:c r="Q800" s="48" t="n">
        <x:v>14</x:v>
      </x:c>
      <x:c r="R800" s="5" t="n">
        <x:v>5</x:v>
      </x:c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5" t="str">
        <x:v>ORD-00162</x:v>
      </x:c>
      <x:c r="B801" s="43" t="n">
        <x:v>46126</x:v>
      </x:c>
      <x:c r="C801" s="5" t="str">
        <x:v>CUST-0175</x:v>
      </x:c>
      <x:c r="D801" s="5" t="str">
        <x:v>FD004</x:v>
      </x:c>
      <x:c r="E801" s="5" t="str">
        <x:v>Beans &amp; Plantain</x:v>
      </x:c>
      <x:c r="F801" s="5" t="str">
        <x:v>Traditional Meals</x:v>
      </x:c>
      <x:c r="G801" s="44" t="n">
        <x:v>2</x:v>
      </x:c>
      <x:c r="H801" s="45" t="n">
        <x:v>2000</x:v>
      </x:c>
      <x:c r="I801" s="46" t="n">
        <x:v>0</x:v>
      </x:c>
      <x:c r="J801" s="47" t="n">
        <x:f>G801*H801*(1-I801)</x:f>
        <x:v>4000</x:v>
      </x:c>
      <x:c r="K801" s="47" t="n">
        <x:v>960</x:v>
      </x:c>
      <x:c r="L801" s="47" t="n">
        <x:f>G801*K801</x:f>
        <x:v>1920</x:v>
      </x:c>
      <x:c r="M801" s="47" t="n">
        <x:f>J801-L801</x:f>
        <x:v>2080</x:v>
      </x:c>
      <x:c r="N801" s="5" t="str">
        <x:v>Takeaway</x:v>
      </x:c>
      <x:c r="O801" s="5" t="str">
        <x:v>Transfer</x:v>
      </x:c>
      <x:c r="P801" s="5" t="str">
        <x:v>Lunch</x:v>
      </x:c>
      <x:c r="Q801" s="48" t="n">
        <x:v>12</x:v>
      </x:c>
      <x:c r="R801" s="5" t="n">
        <x:v>4</x:v>
      </x:c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5" t="str">
        <x:v>ORD-00431</x:v>
      </x:c>
      <x:c r="B802" s="43" t="n">
        <x:v>46126</x:v>
      </x:c>
      <x:c r="C802" s="5" t="str">
        <x:v>CUST-0608</x:v>
      </x:c>
      <x:c r="D802" s="5" t="str">
        <x:v>FD001</x:v>
      </x:c>
      <x:c r="E802" s="5" t="str">
        <x:v>White Rice &amp; Stew</x:v>
      </x:c>
      <x:c r="F802" s="5" t="str">
        <x:v>Rice Meals</x:v>
      </x:c>
      <x:c r="G802" s="44" t="n">
        <x:v>4</x:v>
      </x:c>
      <x:c r="H802" s="45" t="n">
        <x:v>1800</x:v>
      </x:c>
      <x:c r="I802" s="46" t="n">
        <x:v>0</x:v>
      </x:c>
      <x:c r="J802" s="47" t="n">
        <x:f>G802*H802*(1-I802)</x:f>
        <x:v>7200</x:v>
      </x:c>
      <x:c r="K802" s="47" t="n">
        <x:v>820</x:v>
      </x:c>
      <x:c r="L802" s="47" t="n">
        <x:f>G802*K802</x:f>
        <x:v>3280</x:v>
      </x:c>
      <x:c r="M802" s="47" t="n">
        <x:f>J802-L802</x:f>
        <x:v>3920</x:v>
      </x:c>
      <x:c r="N802" s="5" t="str">
        <x:v>Walk-in</x:v>
      </x:c>
      <x:c r="O802" s="5" t="str">
        <x:v>Cash</x:v>
      </x:c>
      <x:c r="P802" s="5" t="str">
        <x:v>Breakfast</x:v>
      </x:c>
      <x:c r="Q802" s="48" t="n">
        <x:v>9</x:v>
      </x:c>
      <x:c r="R802" s="5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5" t="str">
        <x:v>ORD-00828</x:v>
      </x:c>
      <x:c r="B803" s="43" t="n">
        <x:v>46126</x:v>
      </x:c>
      <x:c r="C803" s="5" t="str">
        <x:v>CUST-0312</x:v>
      </x:c>
      <x:c r="D803" s="5" t="str">
        <x:v>FD011</x:v>
      </x:c>
      <x:c r="E803" s="5" t="str">
        <x:v>Bottled Water</x:v>
      </x:c>
      <x:c r="F803" s="5" t="str">
        <x:v>Beverages</x:v>
      </x:c>
      <x:c r="G803" s="44" t="n">
        <x:v>4</x:v>
      </x:c>
      <x:c r="H803" s="45" t="n">
        <x:v>300</x:v>
      </x:c>
      <x:c r="I803" s="46" t="n">
        <x:v>0</x:v>
      </x:c>
      <x:c r="J803" s="47" t="n">
        <x:f>G803*H803*(1-I803)</x:f>
        <x:v>1200</x:v>
      </x:c>
      <x:c r="K803" s="47" t="n">
        <x:v>120</x:v>
      </x:c>
      <x:c r="L803" s="47" t="n">
        <x:f>G803*K803</x:f>
        <x:v>480</x:v>
      </x:c>
      <x:c r="M803" s="47" t="n">
        <x:f>J803-L803</x:f>
        <x:v>720</x:v>
      </x:c>
      <x:c r="N803" s="5" t="str">
        <x:v>Walk-in</x:v>
      </x:c>
      <x:c r="O803" s="5" t="str">
        <x:v>Transfer</x:v>
      </x:c>
      <x:c r="P803" s="5" t="str">
        <x:v>Lunch</x:v>
      </x:c>
      <x:c r="Q803" s="48" t="n">
        <x:v>11</x:v>
      </x:c>
      <x:c r="R803" s="5" t="n">
        <x:v>4</x:v>
      </x:c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5" t="str">
        <x:v>ORD-01710</x:v>
      </x:c>
      <x:c r="B804" s="43" t="n">
        <x:v>46126</x:v>
      </x:c>
      <x:c r="C804" s="5" t="str">
        <x:v>CUST-0368</x:v>
      </x:c>
      <x:c r="D804" s="5" t="str">
        <x:v>FD001</x:v>
      </x:c>
      <x:c r="E804" s="5" t="str">
        <x:v>White Rice &amp; Stew</x:v>
      </x:c>
      <x:c r="F804" s="5" t="str">
        <x:v>Rice Meals</x:v>
      </x:c>
      <x:c r="G804" s="44" t="n">
        <x:v>3</x:v>
      </x:c>
      <x:c r="H804" s="45" t="n">
        <x:v>1800</x:v>
      </x:c>
      <x:c r="I804" s="46" t="n">
        <x:v>0</x:v>
      </x:c>
      <x:c r="J804" s="47" t="n">
        <x:f>G804*H804*(1-I804)</x:f>
        <x:v>5400</x:v>
      </x:c>
      <x:c r="K804" s="47" t="n">
        <x:v>820</x:v>
      </x:c>
      <x:c r="L804" s="47" t="n">
        <x:f>G804*K804</x:f>
        <x:v>2460</x:v>
      </x:c>
      <x:c r="M804" s="47" t="n">
        <x:f>J804-L804</x:f>
        <x:v>2940</x:v>
      </x:c>
      <x:c r="N804" s="5" t="str">
        <x:v>Walk-in</x:v>
      </x:c>
      <x:c r="O804" s="5" t="str">
        <x:v>Cash</x:v>
      </x:c>
      <x:c r="P804" s="5" t="str">
        <x:v>Lunch</x:v>
      </x:c>
      <x:c r="Q804" s="48" t="n">
        <x:v>15</x:v>
      </x:c>
      <x:c r="R804" s="5" t="n">
        <x:v>4</x:v>
      </x:c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5" t="str">
        <x:v>ORD-00228</x:v>
      </x:c>
      <x:c r="B805" s="43" t="n">
        <x:v>46127</x:v>
      </x:c>
      <x:c r="C805" s="5" t="str">
        <x:v>CUST-0193</x:v>
      </x:c>
      <x:c r="D805" s="5" t="str">
        <x:v>FD005</x:v>
      </x:c>
      <x:c r="E805" s="5" t="str">
        <x:v>Yam Porridge</x:v>
      </x:c>
      <x:c r="F805" s="5" t="str">
        <x:v>Traditional Meals</x:v>
      </x:c>
      <x:c r="G805" s="44" t="n">
        <x:v>4</x:v>
      </x:c>
      <x:c r="H805" s="45" t="n">
        <x:v>2200</x:v>
      </x:c>
      <x:c r="I805" s="46" t="n">
        <x:v>0</x:v>
      </x:c>
      <x:c r="J805" s="47" t="n">
        <x:f>G805*H805*(1-I805)</x:f>
        <x:v>8800</x:v>
      </x:c>
      <x:c r="K805" s="47" t="n">
        <x:v>1050</x:v>
      </x:c>
      <x:c r="L805" s="47" t="n">
        <x:f>G805*K805</x:f>
        <x:v>4200</x:v>
      </x:c>
      <x:c r="M805" s="47" t="n">
        <x:f>J805-L805</x:f>
        <x:v>4600</x:v>
      </x:c>
      <x:c r="N805" s="5" t="str">
        <x:v>Delivery</x:v>
      </x:c>
      <x:c r="O805" s="5" t="str">
        <x:v>Transfer</x:v>
      </x:c>
      <x:c r="P805" s="5" t="str">
        <x:v>Lunch</x:v>
      </x:c>
      <x:c r="Q805" s="48" t="n">
        <x:v>14</x:v>
      </x:c>
      <x:c r="R805" s="5" t="n">
        <x:v>4</x:v>
      </x:c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5" t="str">
        <x:v>ORD-00390</x:v>
      </x:c>
      <x:c r="B806" s="43" t="n">
        <x:v>46127</x:v>
      </x:c>
      <x:c r="C806" s="5" t="str">
        <x:v>CUST-0007</x:v>
      </x:c>
      <x:c r="D806" s="5" t="str">
        <x:v>FD005</x:v>
      </x:c>
      <x:c r="E806" s="5" t="str">
        <x:v>Yam Porridge</x:v>
      </x:c>
      <x:c r="F806" s="5" t="str">
        <x:v>Traditional Meals</x:v>
      </x:c>
      <x:c r="G806" s="44" t="n">
        <x:v>4</x:v>
      </x:c>
      <x:c r="H806" s="45" t="n">
        <x:v>2200</x:v>
      </x:c>
      <x:c r="I806" s="46" t="n">
        <x:v>0</x:v>
      </x:c>
      <x:c r="J806" s="47" t="n">
        <x:f>G806*H806*(1-I806)</x:f>
        <x:v>8800</x:v>
      </x:c>
      <x:c r="K806" s="47" t="n">
        <x:v>1050</x:v>
      </x:c>
      <x:c r="L806" s="47" t="n">
        <x:f>G806*K806</x:f>
        <x:v>4200</x:v>
      </x:c>
      <x:c r="M806" s="47" t="n">
        <x:f>J806-L806</x:f>
        <x:v>4600</x:v>
      </x:c>
      <x:c r="N806" s="5" t="str">
        <x:v>Takeaway</x:v>
      </x:c>
      <x:c r="O806" s="5" t="str">
        <x:v>POS</x:v>
      </x:c>
      <x:c r="P806" s="5" t="str">
        <x:v>Lunch</x:v>
      </x:c>
      <x:c r="Q806" s="48" t="n">
        <x:v>15</x:v>
      </x:c>
      <x:c r="R806" s="5" t="n">
        <x:v>5</x:v>
      </x:c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5" t="str">
        <x:v>ORD-00688</x:v>
      </x:c>
      <x:c r="B807" s="43" t="n">
        <x:v>46127</x:v>
      </x:c>
      <x:c r="C807" s="5" t="str">
        <x:v>CUST-0640</x:v>
      </x:c>
      <x:c r="D807" s="5" t="str">
        <x:v>FD005</x:v>
      </x:c>
      <x:c r="E807" s="5" t="str">
        <x:v>Yam Porridge</x:v>
      </x:c>
      <x:c r="F807" s="5" t="str">
        <x:v>Traditional Meals</x:v>
      </x:c>
      <x:c r="G807" s="44" t="n">
        <x:v>1</x:v>
      </x:c>
      <x:c r="H807" s="45" t="n">
        <x:v>2200</x:v>
      </x:c>
      <x:c r="I807" s="46" t="n">
        <x:v>0.05</x:v>
      </x:c>
      <x:c r="J807" s="47" t="n">
        <x:f>G807*H807*(1-I807)</x:f>
        <x:v>2090</x:v>
      </x:c>
      <x:c r="K807" s="47" t="n">
        <x:v>1050</x:v>
      </x:c>
      <x:c r="L807" s="47" t="n">
        <x:f>G807*K807</x:f>
        <x:v>1050</x:v>
      </x:c>
      <x:c r="M807" s="47" t="n">
        <x:f>J807-L807</x:f>
        <x:v>1040</x:v>
      </x:c>
      <x:c r="N807" s="5" t="str">
        <x:v>Takeaway</x:v>
      </x:c>
      <x:c r="O807" s="5" t="str">
        <x:v>Cash</x:v>
      </x:c>
      <x:c r="P807" s="5" t="str">
        <x:v>Dinner</x:v>
      </x:c>
      <x:c r="Q807" s="48" t="n">
        <x:v>18</x:v>
      </x:c>
      <x:c r="R807" s="5" t="n">
        <x:v>3</x:v>
      </x:c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5" t="str">
        <x:v>ORD-00754</x:v>
      </x:c>
      <x:c r="B808" s="43" t="n">
        <x:v>46127</x:v>
      </x:c>
      <x:c r="C808" s="5" t="str">
        <x:v>CUST-0522</x:v>
      </x:c>
      <x:c r="D808" s="5" t="str">
        <x:v>FD003</x:v>
      </x:c>
      <x:c r="E808" s="5" t="str">
        <x:v>Fried Rice &amp; Chicken</x:v>
      </x:c>
      <x:c r="F808" s="5" t="str">
        <x:v>Rice Meals</x:v>
      </x:c>
      <x:c r="G808" s="44" t="n">
        <x:v>2</x:v>
      </x:c>
      <x:c r="H808" s="45" t="n">
        <x:v>3000</x:v>
      </x:c>
      <x:c r="I808" s="46" t="n">
        <x:v>0</x:v>
      </x:c>
      <x:c r="J808" s="47" t="n">
        <x:f>G808*H808*(1-I808)</x:f>
        <x:v>6000</x:v>
      </x:c>
      <x:c r="K808" s="47" t="n">
        <x:v>1580</x:v>
      </x:c>
      <x:c r="L808" s="47" t="n">
        <x:f>G808*K808</x:f>
        <x:v>3160</x:v>
      </x:c>
      <x:c r="M808" s="47" t="n">
        <x:f>J808-L808</x:f>
        <x:v>2840</x:v>
      </x:c>
      <x:c r="N808" s="5" t="str">
        <x:v>Delivery</x:v>
      </x:c>
      <x:c r="O808" s="5" t="str">
        <x:v>POS</x:v>
      </x:c>
      <x:c r="P808" s="5" t="str">
        <x:v>Dinner</x:v>
      </x:c>
      <x:c r="Q808" s="48" t="n">
        <x:v>19</x:v>
      </x:c>
      <x:c r="R808" s="5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5" t="str">
        <x:v>ORD-01097</x:v>
      </x:c>
      <x:c r="B809" s="43" t="n">
        <x:v>46127</x:v>
      </x:c>
      <x:c r="C809" s="5" t="str">
        <x:v>CUST-0404</x:v>
      </x:c>
      <x:c r="D809" s="5" t="str">
        <x:v>FD006</x:v>
      </x:c>
      <x:c r="E809" s="5" t="str">
        <x:v>Eba &amp; Egusi Soup</x:v>
      </x:c>
      <x:c r="F809" s="5" t="str">
        <x:v>Swallow</x:v>
      </x:c>
      <x:c r="G809" s="44" t="n">
        <x:v>2</x:v>
      </x:c>
      <x:c r="H809" s="45" t="n">
        <x:v>2600</x:v>
      </x:c>
      <x:c r="I809" s="46" t="n">
        <x:v>0</x:v>
      </x:c>
      <x:c r="J809" s="47" t="n">
        <x:f>G809*H809*(1-I809)</x:f>
        <x:v>5200</x:v>
      </x:c>
      <x:c r="K809" s="47" t="n">
        <x:v>1320</x:v>
      </x:c>
      <x:c r="L809" s="47" t="n">
        <x:f>G809*K809</x:f>
        <x:v>2640</x:v>
      </x:c>
      <x:c r="M809" s="47" t="n">
        <x:f>J809-L809</x:f>
        <x:v>2560</x:v>
      </x:c>
      <x:c r="N809" s="5" t="str">
        <x:v>Takeaway</x:v>
      </x:c>
      <x:c r="O809" s="5" t="str">
        <x:v>Transfer</x:v>
      </x:c>
      <x:c r="P809" s="5" t="str">
        <x:v>Lunch</x:v>
      </x:c>
      <x:c r="Q809" s="48" t="n">
        <x:v>13</x:v>
      </x:c>
      <x:c r="R809" s="5" t="n">
        <x:v>4</x:v>
      </x:c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5" t="str">
        <x:v>ORD-01663</x:v>
      </x:c>
      <x:c r="B810" s="43" t="n">
        <x:v>46127</x:v>
      </x:c>
      <x:c r="C810" s="5" t="str">
        <x:v>CUST-0206</x:v>
      </x:c>
      <x:c r="D810" s="5" t="str">
        <x:v>FD001</x:v>
      </x:c>
      <x:c r="E810" s="5" t="str">
        <x:v>White Rice &amp; Stew</x:v>
      </x:c>
      <x:c r="F810" s="5" t="str">
        <x:v>Rice Meals</x:v>
      </x:c>
      <x:c r="G810" s="44" t="n">
        <x:v>2</x:v>
      </x:c>
      <x:c r="H810" s="45" t="n">
        <x:v>1800</x:v>
      </x:c>
      <x:c r="I810" s="46" t="n">
        <x:v>0</x:v>
      </x:c>
      <x:c r="J810" s="47" t="n">
        <x:f>G810*H810*(1-I810)</x:f>
        <x:v>3600</x:v>
      </x:c>
      <x:c r="K810" s="47" t="n">
        <x:v>820</x:v>
      </x:c>
      <x:c r="L810" s="47" t="n">
        <x:f>G810*K810</x:f>
        <x:v>1640</x:v>
      </x:c>
      <x:c r="M810" s="47" t="n">
        <x:f>J810-L810</x:f>
        <x:v>1960</x:v>
      </x:c>
      <x:c r="N810" s="5" t="str">
        <x:v>Delivery</x:v>
      </x:c>
      <x:c r="O810" s="5" t="str">
        <x:v>POS</x:v>
      </x:c>
      <x:c r="P810" s="5" t="str">
        <x:v>Lunch</x:v>
      </x:c>
      <x:c r="Q810" s="48" t="n">
        <x:v>15</x:v>
      </x:c>
      <x:c r="R810" s="5" t="n">
        <x:v>4</x:v>
      </x:c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5" t="str">
        <x:v>ORD-00398</x:v>
      </x:c>
      <x:c r="B811" s="43" t="n">
        <x:v>46128</x:v>
      </x:c>
      <x:c r="C811" s="5" t="str">
        <x:v>CUST-0509</x:v>
      </x:c>
      <x:c r="D811" s="5" t="str">
        <x:v>FD007</x:v>
      </x:c>
      <x:c r="E811" s="5" t="str">
        <x:v>Amala &amp; Ewedu</x:v>
      </x:c>
      <x:c r="F811" s="5" t="str">
        <x:v>Swallow</x:v>
      </x:c>
      <x:c r="G811" s="44" t="n">
        <x:v>1</x:v>
      </x:c>
      <x:c r="H811" s="45" t="n">
        <x:v>2500</x:v>
      </x:c>
      <x:c r="I811" s="46" t="n">
        <x:v>0</x:v>
      </x:c>
      <x:c r="J811" s="47" t="n">
        <x:f>G811*H811*(1-I811)</x:f>
        <x:v>2500</x:v>
      </x:c>
      <x:c r="K811" s="47" t="n">
        <x:v>1250</x:v>
      </x:c>
      <x:c r="L811" s="47" t="n">
        <x:f>G811*K811</x:f>
        <x:v>1250</x:v>
      </x:c>
      <x:c r="M811" s="47" t="n">
        <x:f>J811-L811</x:f>
        <x:v>1250</x:v>
      </x:c>
      <x:c r="N811" s="5" t="str">
        <x:v>Walk-in</x:v>
      </x:c>
      <x:c r="O811" s="5" t="str">
        <x:v>Cash</x:v>
      </x:c>
      <x:c r="P811" s="5" t="str">
        <x:v>Lunch</x:v>
      </x:c>
      <x:c r="Q811" s="48" t="n">
        <x:v>14</x:v>
      </x:c>
      <x:c r="R811" s="5" t="n">
        <x:v>5</x:v>
      </x:c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5" t="str">
        <x:v>ORD-00732</x:v>
      </x:c>
      <x:c r="B812" s="43" t="n">
        <x:v>46128</x:v>
      </x:c>
      <x:c r="C812" s="5" t="str">
        <x:v>CUST-0545</x:v>
      </x:c>
      <x:c r="D812" s="5" t="str">
        <x:v>FD001</x:v>
      </x:c>
      <x:c r="E812" s="5" t="str">
        <x:v>White Rice &amp; Stew</x:v>
      </x:c>
      <x:c r="F812" s="5" t="str">
        <x:v>Rice Meals</x:v>
      </x:c>
      <x:c r="G812" s="44" t="n">
        <x:v>1</x:v>
      </x:c>
      <x:c r="H812" s="45" t="n">
        <x:v>1800</x:v>
      </x:c>
      <x:c r="I812" s="46" t="n">
        <x:v>0</x:v>
      </x:c>
      <x:c r="J812" s="47" t="n">
        <x:f>G812*H812*(1-I812)</x:f>
        <x:v>1800</x:v>
      </x:c>
      <x:c r="K812" s="47" t="n">
        <x:v>820</x:v>
      </x:c>
      <x:c r="L812" s="47" t="n">
        <x:f>G812*K812</x:f>
        <x:v>820</x:v>
      </x:c>
      <x:c r="M812" s="47" t="n">
        <x:f>J812-L812</x:f>
        <x:v>980</x:v>
      </x:c>
      <x:c r="N812" s="5" t="str">
        <x:v>Walk-in</x:v>
      </x:c>
      <x:c r="O812" s="5" t="str">
        <x:v>Cash</x:v>
      </x:c>
      <x:c r="P812" s="5" t="str">
        <x:v>Lunch</x:v>
      </x:c>
      <x:c r="Q812" s="48" t="n">
        <x:v>12</x:v>
      </x:c>
      <x:c r="R812" s="5" t="n">
        <x:v>3</x:v>
      </x:c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5" t="str">
        <x:v>ORD-00976</x:v>
      </x:c>
      <x:c r="B813" s="43" t="n">
        <x:v>46128</x:v>
      </x:c>
      <x:c r="C813" s="5" t="str">
        <x:v>CUST-0527</x:v>
      </x:c>
      <x:c r="D813" s="5" t="str">
        <x:v>FD002</x:v>
      </x:c>
      <x:c r="E813" s="5" t="str">
        <x:v>Jollof Rice &amp; Chicken</x:v>
      </x:c>
      <x:c r="F813" s="5" t="str">
        <x:v>Rice Meals</x:v>
      </x:c>
      <x:c r="G813" s="44" t="n">
        <x:v>1</x:v>
      </x:c>
      <x:c r="H813" s="45" t="n">
        <x:v>2800</x:v>
      </x:c>
      <x:c r="I813" s="46" t="n">
        <x:v>0</x:v>
      </x:c>
      <x:c r="J813" s="47" t="n">
        <x:f>G813*H813*(1-I813)</x:f>
        <x:v>2800</x:v>
      </x:c>
      <x:c r="K813" s="47" t="n">
        <x:v>1450</x:v>
      </x:c>
      <x:c r="L813" s="47" t="n">
        <x:f>G813*K813</x:f>
        <x:v>1450</x:v>
      </x:c>
      <x:c r="M813" s="47" t="n">
        <x:f>J813-L813</x:f>
        <x:v>1350</x:v>
      </x:c>
      <x:c r="N813" s="5" t="str">
        <x:v>Walk-in</x:v>
      </x:c>
      <x:c r="O813" s="5" t="str">
        <x:v>POS</x:v>
      </x:c>
      <x:c r="P813" s="5" t="str">
        <x:v>Dinner</x:v>
      </x:c>
      <x:c r="Q813" s="48" t="n">
        <x:v>19</x:v>
      </x:c>
      <x:c r="R813" s="5" t="n">
        <x:v>4</x:v>
      </x:c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5" t="str">
        <x:v>ORD-01005</x:v>
      </x:c>
      <x:c r="B814" s="43" t="n">
        <x:v>46128</x:v>
      </x:c>
      <x:c r="C814" s="5" t="str">
        <x:v>CUST-0308</x:v>
      </x:c>
      <x:c r="D814" s="5" t="str">
        <x:v>FD001</x:v>
      </x:c>
      <x:c r="E814" s="5" t="str">
        <x:v>White Rice &amp; Stew</x:v>
      </x:c>
      <x:c r="F814" s="5" t="str">
        <x:v>Rice Meals</x:v>
      </x:c>
      <x:c r="G814" s="44" t="n">
        <x:v>3</x:v>
      </x:c>
      <x:c r="H814" s="45" t="n">
        <x:v>1800</x:v>
      </x:c>
      <x:c r="I814" s="46" t="n">
        <x:v>0</x:v>
      </x:c>
      <x:c r="J814" s="47" t="n">
        <x:f>G814*H814*(1-I814)</x:f>
        <x:v>5400</x:v>
      </x:c>
      <x:c r="K814" s="47" t="n">
        <x:v>820</x:v>
      </x:c>
      <x:c r="L814" s="47" t="n">
        <x:f>G814*K814</x:f>
        <x:v>2460</x:v>
      </x:c>
      <x:c r="M814" s="47" t="n">
        <x:f>J814-L814</x:f>
        <x:v>2940</x:v>
      </x:c>
      <x:c r="N814" s="5" t="str">
        <x:v>Walk-in</x:v>
      </x:c>
      <x:c r="O814" s="5" t="str">
        <x:v>POS</x:v>
      </x:c>
      <x:c r="P814" s="5" t="str">
        <x:v>Dinner</x:v>
      </x:c>
      <x:c r="Q814" s="48" t="n">
        <x:v>18</x:v>
      </x:c>
      <x:c r="R814" s="5" t="n">
        <x:v>4</x:v>
      </x:c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5" t="str">
        <x:v>ORD-01201</x:v>
      </x:c>
      <x:c r="B815" s="43" t="n">
        <x:v>46128</x:v>
      </x:c>
      <x:c r="C815" s="5" t="str">
        <x:v>CUST-0238</x:v>
      </x:c>
      <x:c r="D815" s="5" t="str">
        <x:v>FD004</x:v>
      </x:c>
      <x:c r="E815" s="5" t="str">
        <x:v>Beans &amp; Plantain</x:v>
      </x:c>
      <x:c r="F815" s="5" t="str">
        <x:v>Traditional Meals</x:v>
      </x:c>
      <x:c r="G815" s="44" t="n">
        <x:v>2</x:v>
      </x:c>
      <x:c r="H815" s="45" t="n">
        <x:v>2000</x:v>
      </x:c>
      <x:c r="I815" s="46" t="n">
        <x:v>0</x:v>
      </x:c>
      <x:c r="J815" s="47" t="n">
        <x:f>G815*H815*(1-I815)</x:f>
        <x:v>4000</x:v>
      </x:c>
      <x:c r="K815" s="47" t="n">
        <x:v>960</x:v>
      </x:c>
      <x:c r="L815" s="47" t="n">
        <x:f>G815*K815</x:f>
        <x:v>1920</x:v>
      </x:c>
      <x:c r="M815" s="47" t="n">
        <x:f>J815-L815</x:f>
        <x:v>2080</x:v>
      </x:c>
      <x:c r="N815" s="5" t="str">
        <x:v>Walk-in</x:v>
      </x:c>
      <x:c r="O815" s="5" t="str">
        <x:v>Transfer</x:v>
      </x:c>
      <x:c r="P815" s="5" t="str">
        <x:v>Dinner</x:v>
      </x:c>
      <x:c r="Q815" s="48" t="n">
        <x:v>16</x:v>
      </x:c>
      <x:c r="R815" s="5" t="n">
        <x:v>5</x:v>
      </x:c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5" t="str">
        <x:v>ORD-01225</x:v>
      </x:c>
      <x:c r="B816" s="43" t="n">
        <x:v>46128</x:v>
      </x:c>
      <x:c r="C816" s="5" t="str">
        <x:v>CUST-0181</x:v>
      </x:c>
      <x:c r="D816" s="5" t="str">
        <x:v>FD001</x:v>
      </x:c>
      <x:c r="E816" s="5" t="str">
        <x:v>White Rice &amp; Stew</x:v>
      </x:c>
      <x:c r="F816" s="5" t="str">
        <x:v>Rice Meals</x:v>
      </x:c>
      <x:c r="G816" s="44" t="n">
        <x:v>1</x:v>
      </x:c>
      <x:c r="H816" s="45" t="n">
        <x:v>1800</x:v>
      </x:c>
      <x:c r="I816" s="46" t="n">
        <x:v>0</x:v>
      </x:c>
      <x:c r="J816" s="47" t="n">
        <x:f>G816*H816*(1-I816)</x:f>
        <x:v>1800</x:v>
      </x:c>
      <x:c r="K816" s="47" t="n">
        <x:v>820</x:v>
      </x:c>
      <x:c r="L816" s="47" t="n">
        <x:f>G816*K816</x:f>
        <x:v>820</x:v>
      </x:c>
      <x:c r="M816" s="47" t="n">
        <x:f>J816-L816</x:f>
        <x:v>980</x:v>
      </x:c>
      <x:c r="N816" s="5" t="str">
        <x:v>Walk-in</x:v>
      </x:c>
      <x:c r="O816" s="5" t="str">
        <x:v>Transfer</x:v>
      </x:c>
      <x:c r="P816" s="5" t="str">
        <x:v>Breakfast</x:v>
      </x:c>
      <x:c r="Q816" s="48" t="n">
        <x:v>10</x:v>
      </x:c>
      <x:c r="R816" s="5" t="n">
        <x:v>5</x:v>
      </x:c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5" t="str">
        <x:v>ORD-01632</x:v>
      </x:c>
      <x:c r="B817" s="43" t="n">
        <x:v>46128</x:v>
      </x:c>
      <x:c r="C817" s="5" t="str">
        <x:v>CUST-0440</x:v>
      </x:c>
      <x:c r="D817" s="5" t="str">
        <x:v>FD003</x:v>
      </x:c>
      <x:c r="E817" s="5" t="str">
        <x:v>Fried Rice &amp; Chicken</x:v>
      </x:c>
      <x:c r="F817" s="5" t="str">
        <x:v>Rice Meals</x:v>
      </x:c>
      <x:c r="G817" s="44" t="n">
        <x:v>3</x:v>
      </x:c>
      <x:c r="H817" s="45" t="n">
        <x:v>3000</x:v>
      </x:c>
      <x:c r="I817" s="46" t="n">
        <x:v>0.05</x:v>
      </x:c>
      <x:c r="J817" s="47" t="n">
        <x:f>G817*H817*(1-I817)</x:f>
        <x:v>8550</x:v>
      </x:c>
      <x:c r="K817" s="47" t="n">
        <x:v>1580</x:v>
      </x:c>
      <x:c r="L817" s="47" t="n">
        <x:f>G817*K817</x:f>
        <x:v>4740</x:v>
      </x:c>
      <x:c r="M817" s="47" t="n">
        <x:f>J817-L817</x:f>
        <x:v>3810</x:v>
      </x:c>
      <x:c r="N817" s="5" t="str">
        <x:v>Takeaway</x:v>
      </x:c>
      <x:c r="O817" s="5" t="str">
        <x:v>Cash</x:v>
      </x:c>
      <x:c r="P817" s="5" t="str">
        <x:v>Lunch</x:v>
      </x:c>
      <x:c r="Q817" s="48" t="n">
        <x:v>11</x:v>
      </x:c>
      <x:c r="R817" s="5" t="n">
        <x:v>5</x:v>
      </x:c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5" t="str">
        <x:v>ORD-00262</x:v>
      </x:c>
      <x:c r="B818" s="43" t="n">
        <x:v>46129</x:v>
      </x:c>
      <x:c r="C818" s="5" t="str">
        <x:v>CUST-0176</x:v>
      </x:c>
      <x:c r="D818" s="5" t="str">
        <x:v>FD005</x:v>
      </x:c>
      <x:c r="E818" s="5" t="str">
        <x:v>Yam Porridge</x:v>
      </x:c>
      <x:c r="F818" s="5" t="str">
        <x:v>Traditional Meals</x:v>
      </x:c>
      <x:c r="G818" s="44" t="n">
        <x:v>1</x:v>
      </x:c>
      <x:c r="H818" s="45" t="n">
        <x:v>2200</x:v>
      </x:c>
      <x:c r="I818" s="46" t="n">
        <x:v>0</x:v>
      </x:c>
      <x:c r="J818" s="47" t="n">
        <x:f>G818*H818*(1-I818)</x:f>
        <x:v>2200</x:v>
      </x:c>
      <x:c r="K818" s="47" t="n">
        <x:v>1050</x:v>
      </x:c>
      <x:c r="L818" s="47" t="n">
        <x:f>G818*K818</x:f>
        <x:v>1050</x:v>
      </x:c>
      <x:c r="M818" s="47" t="n">
        <x:f>J818-L818</x:f>
        <x:v>1150</x:v>
      </x:c>
      <x:c r="N818" s="5" t="str">
        <x:v>Walk-in</x:v>
      </x:c>
      <x:c r="O818" s="5" t="str">
        <x:v>Cash</x:v>
      </x:c>
      <x:c r="P818" s="5" t="str">
        <x:v>Lunch</x:v>
      </x:c>
      <x:c r="Q818" s="48" t="n">
        <x:v>15</x:v>
      </x:c>
      <x:c r="R818" s="5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5" t="str">
        <x:v>ORD-00409</x:v>
      </x:c>
      <x:c r="B819" s="43" t="n">
        <x:v>46129</x:v>
      </x:c>
      <x:c r="C819" s="5" t="str">
        <x:v>CUST-0389</x:v>
      </x:c>
      <x:c r="D819" s="5" t="str">
        <x:v>FD004</x:v>
      </x:c>
      <x:c r="E819" s="5" t="str">
        <x:v>Beans &amp; Plantain</x:v>
      </x:c>
      <x:c r="F819" s="5" t="str">
        <x:v>Traditional Meals</x:v>
      </x:c>
      <x:c r="G819" s="44" t="n">
        <x:v>4</x:v>
      </x:c>
      <x:c r="H819" s="45" t="n">
        <x:v>2000</x:v>
      </x:c>
      <x:c r="I819" s="46" t="n">
        <x:v>0</x:v>
      </x:c>
      <x:c r="J819" s="47" t="n">
        <x:f>G819*H819*(1-I819)</x:f>
        <x:v>8000</x:v>
      </x:c>
      <x:c r="K819" s="47" t="n">
        <x:v>960</x:v>
      </x:c>
      <x:c r="L819" s="47" t="n">
        <x:f>G819*K819</x:f>
        <x:v>3840</x:v>
      </x:c>
      <x:c r="M819" s="47" t="n">
        <x:f>J819-L819</x:f>
        <x:v>4160</x:v>
      </x:c>
      <x:c r="N819" s="5" t="str">
        <x:v>Takeaway</x:v>
      </x:c>
      <x:c r="O819" s="5" t="str">
        <x:v>POS</x:v>
      </x:c>
      <x:c r="P819" s="5" t="str">
        <x:v>Dinner</x:v>
      </x:c>
      <x:c r="Q819" s="48" t="n">
        <x:v>16</x:v>
      </x:c>
      <x:c r="R819" s="5" t="n">
        <x:v>4</x:v>
      </x:c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5" t="str">
        <x:v>ORD-00563</x:v>
      </x:c>
      <x:c r="B820" s="43" t="n">
        <x:v>46129</x:v>
      </x:c>
      <x:c r="C820" s="5" t="str">
        <x:v>CUST-0324</x:v>
      </x:c>
      <x:c r="D820" s="5" t="str">
        <x:v>FD003</x:v>
      </x:c>
      <x:c r="E820" s="5" t="str">
        <x:v>Fried Rice &amp; Chicken</x:v>
      </x:c>
      <x:c r="F820" s="5" t="str">
        <x:v>Rice Meals</x:v>
      </x:c>
      <x:c r="G820" s="44" t="n">
        <x:v>2</x:v>
      </x:c>
      <x:c r="H820" s="45" t="n">
        <x:v>3000</x:v>
      </x:c>
      <x:c r="I820" s="46" t="n">
        <x:v>0</x:v>
      </x:c>
      <x:c r="J820" s="47" t="n">
        <x:f>G820*H820*(1-I820)</x:f>
        <x:v>6000</x:v>
      </x:c>
      <x:c r="K820" s="47" t="n">
        <x:v>1580</x:v>
      </x:c>
      <x:c r="L820" s="47" t="n">
        <x:f>G820*K820</x:f>
        <x:v>3160</x:v>
      </x:c>
      <x:c r="M820" s="47" t="n">
        <x:f>J820-L820</x:f>
        <x:v>2840</x:v>
      </x:c>
      <x:c r="N820" s="5" t="str">
        <x:v>Delivery</x:v>
      </x:c>
      <x:c r="O820" s="5" t="str">
        <x:v>Transfer</x:v>
      </x:c>
      <x:c r="P820" s="5" t="str">
        <x:v>Lunch</x:v>
      </x:c>
      <x:c r="Q820" s="48" t="n">
        <x:v>11</x:v>
      </x:c>
      <x:c r="R820" s="5" t="n">
        <x:v>4</x:v>
      </x:c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5" t="str">
        <x:v>ORD-01092</x:v>
      </x:c>
      <x:c r="B821" s="43" t="n">
        <x:v>46129</x:v>
      </x:c>
      <x:c r="C821" s="5" t="str">
        <x:v>CUST-0491</x:v>
      </x:c>
      <x:c r="D821" s="5" t="str">
        <x:v>FD012</x:v>
      </x:c>
      <x:c r="E821" s="5" t="str">
        <x:v>Fried Plantain</x:v>
      </x:c>
      <x:c r="F821" s="5" t="str">
        <x:v>Sides</x:v>
      </x:c>
      <x:c r="G821" s="44" t="n">
        <x:v>3</x:v>
      </x:c>
      <x:c r="H821" s="45" t="n">
        <x:v>700</x:v>
      </x:c>
      <x:c r="I821" s="46" t="n">
        <x:v>0</x:v>
      </x:c>
      <x:c r="J821" s="47" t="n">
        <x:f>G821*H821*(1-I821)</x:f>
        <x:v>2100</x:v>
      </x:c>
      <x:c r="K821" s="47" t="n">
        <x:v>300</x:v>
      </x:c>
      <x:c r="L821" s="47" t="n">
        <x:f>G821*K821</x:f>
        <x:v>900</x:v>
      </x:c>
      <x:c r="M821" s="47" t="n">
        <x:f>J821-L821</x:f>
        <x:v>1200</x:v>
      </x:c>
      <x:c r="N821" s="5" t="str">
        <x:v>Walk-in</x:v>
      </x:c>
      <x:c r="O821" s="5" t="str">
        <x:v>POS</x:v>
      </x:c>
      <x:c r="P821" s="5" t="str">
        <x:v>Dinner</x:v>
      </x:c>
      <x:c r="Q821" s="48" t="n">
        <x:v>20</x:v>
      </x:c>
      <x:c r="R821" s="5" t="n">
        <x:v>5</x:v>
      </x:c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5" t="str">
        <x:v>ORD-01114</x:v>
      </x:c>
      <x:c r="B822" s="43" t="n">
        <x:v>46129</x:v>
      </x:c>
      <x:c r="C822" s="5" t="str">
        <x:v>CUST-0088</x:v>
      </x:c>
      <x:c r="D822" s="5" t="str">
        <x:v>FD004</x:v>
      </x:c>
      <x:c r="E822" s="5" t="str">
        <x:v>Beans &amp; Plantain</x:v>
      </x:c>
      <x:c r="F822" s="5" t="str">
        <x:v>Traditional Meals</x:v>
      </x:c>
      <x:c r="G822" s="44" t="n">
        <x:v>3</x:v>
      </x:c>
      <x:c r="H822" s="45" t="n">
        <x:v>2000</x:v>
      </x:c>
      <x:c r="I822" s="46" t="n">
        <x:v>0</x:v>
      </x:c>
      <x:c r="J822" s="47" t="n">
        <x:f>G822*H822*(1-I822)</x:f>
        <x:v>6000</x:v>
      </x:c>
      <x:c r="K822" s="47" t="n">
        <x:v>960</x:v>
      </x:c>
      <x:c r="L822" s="47" t="n">
        <x:f>G822*K822</x:f>
        <x:v>2880</x:v>
      </x:c>
      <x:c r="M822" s="47" t="n">
        <x:f>J822-L822</x:f>
        <x:v>3120</x:v>
      </x:c>
      <x:c r="N822" s="5" t="str">
        <x:v>Delivery</x:v>
      </x:c>
      <x:c r="O822" s="5" t="str">
        <x:v>Cash</x:v>
      </x:c>
      <x:c r="P822" s="5" t="str">
        <x:v>Lunch</x:v>
      </x:c>
      <x:c r="Q822" s="48" t="n">
        <x:v>15</x:v>
      </x:c>
      <x:c r="R822" s="5" t="n">
        <x:v>5</x:v>
      </x:c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5" t="str">
        <x:v>ORD-01144</x:v>
      </x:c>
      <x:c r="B823" s="43" t="n">
        <x:v>46129</x:v>
      </x:c>
      <x:c r="C823" s="5" t="str">
        <x:v>CUST-0581</x:v>
      </x:c>
      <x:c r="D823" s="5" t="str">
        <x:v>FD006</x:v>
      </x:c>
      <x:c r="E823" s="5" t="str">
        <x:v>Eba &amp; Egusi Soup</x:v>
      </x:c>
      <x:c r="F823" s="5" t="str">
        <x:v>Swallow</x:v>
      </x:c>
      <x:c r="G823" s="44" t="n">
        <x:v>1</x:v>
      </x:c>
      <x:c r="H823" s="45" t="n">
        <x:v>2600</x:v>
      </x:c>
      <x:c r="I823" s="46" t="n">
        <x:v>0</x:v>
      </x:c>
      <x:c r="J823" s="47" t="n">
        <x:f>G823*H823*(1-I823)</x:f>
        <x:v>2600</x:v>
      </x:c>
      <x:c r="K823" s="47" t="n">
        <x:v>1320</x:v>
      </x:c>
      <x:c r="L823" s="47" t="n">
        <x:f>G823*K823</x:f>
        <x:v>1320</x:v>
      </x:c>
      <x:c r="M823" s="47" t="n">
        <x:f>J823-L823</x:f>
        <x:v>1280</x:v>
      </x:c>
      <x:c r="N823" s="5" t="str">
        <x:v>Walk-in</x:v>
      </x:c>
      <x:c r="O823" s="5" t="str">
        <x:v>Transfer</x:v>
      </x:c>
      <x:c r="P823" s="5" t="str">
        <x:v>Lunch</x:v>
      </x:c>
      <x:c r="Q823" s="48" t="n">
        <x:v>13</x:v>
      </x:c>
      <x:c r="R823" s="5" t="n">
        <x:v>5</x:v>
      </x:c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5" t="str">
        <x:v>ORD-01409</x:v>
      </x:c>
      <x:c r="B824" s="43" t="n">
        <x:v>46129</x:v>
      </x:c>
      <x:c r="C824" s="5" t="str">
        <x:v>CUST-0532</x:v>
      </x:c>
      <x:c r="D824" s="5" t="str">
        <x:v>FD002</x:v>
      </x:c>
      <x:c r="E824" s="5" t="str">
        <x:v>Jollof Rice &amp; Chicken</x:v>
      </x:c>
      <x:c r="F824" s="5" t="str">
        <x:v>Rice Meals</x:v>
      </x:c>
      <x:c r="G824" s="44" t="n">
        <x:v>3</x:v>
      </x:c>
      <x:c r="H824" s="45" t="n">
        <x:v>2800</x:v>
      </x:c>
      <x:c r="I824" s="46" t="n">
        <x:v>0</x:v>
      </x:c>
      <x:c r="J824" s="47" t="n">
        <x:f>G824*H824*(1-I824)</x:f>
        <x:v>8400</x:v>
      </x:c>
      <x:c r="K824" s="47" t="n">
        <x:v>1450</x:v>
      </x:c>
      <x:c r="L824" s="47" t="n">
        <x:f>G824*K824</x:f>
        <x:v>4350</x:v>
      </x:c>
      <x:c r="M824" s="47" t="n">
        <x:f>J824-L824</x:f>
        <x:v>4050</x:v>
      </x:c>
      <x:c r="N824" s="5" t="str">
        <x:v>Walk-in</x:v>
      </x:c>
      <x:c r="O824" s="5" t="str">
        <x:v>Transfer</x:v>
      </x:c>
      <x:c r="P824" s="5" t="str">
        <x:v>Dinner</x:v>
      </x:c>
      <x:c r="Q824" s="48" t="n">
        <x:v>18</x:v>
      </x:c>
      <x:c r="R824" s="5" t="n">
        <x:v>3</x:v>
      </x:c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5" t="str">
        <x:v>ORD-01723</x:v>
      </x:c>
      <x:c r="B825" s="43" t="n">
        <x:v>46129</x:v>
      </x:c>
      <x:c r="C825" s="5" t="str">
        <x:v>CUST-0427</x:v>
      </x:c>
      <x:c r="D825" s="5" t="str">
        <x:v>FD005</x:v>
      </x:c>
      <x:c r="E825" s="5" t="str">
        <x:v>Yam Porridge</x:v>
      </x:c>
      <x:c r="F825" s="5" t="str">
        <x:v>Traditional Meals</x:v>
      </x:c>
      <x:c r="G825" s="44" t="n">
        <x:v>1</x:v>
      </x:c>
      <x:c r="H825" s="45" t="n">
        <x:v>2200</x:v>
      </x:c>
      <x:c r="I825" s="46" t="n">
        <x:v>0</x:v>
      </x:c>
      <x:c r="J825" s="47" t="n">
        <x:f>G825*H825*(1-I825)</x:f>
        <x:v>2200</x:v>
      </x:c>
      <x:c r="K825" s="47" t="n">
        <x:v>1050</x:v>
      </x:c>
      <x:c r="L825" s="47" t="n">
        <x:f>G825*K825</x:f>
        <x:v>1050</x:v>
      </x:c>
      <x:c r="M825" s="47" t="n">
        <x:f>J825-L825</x:f>
        <x:v>1150</x:v>
      </x:c>
      <x:c r="N825" s="5" t="str">
        <x:v>Walk-in</x:v>
      </x:c>
      <x:c r="O825" s="5" t="str">
        <x:v>Cash</x:v>
      </x:c>
      <x:c r="P825" s="5" t="str">
        <x:v>Lunch</x:v>
      </x:c>
      <x:c r="Q825" s="48" t="n">
        <x:v>13</x:v>
      </x:c>
      <x:c r="R825" s="5" t="n">
        <x:v>5</x:v>
      </x:c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5" t="str">
        <x:v>ORD-00191</x:v>
      </x:c>
      <x:c r="B826" s="43" t="n">
        <x:v>46130</x:v>
      </x:c>
      <x:c r="C826" s="5" t="str">
        <x:v>CUST-0094</x:v>
      </x:c>
      <x:c r="D826" s="5" t="str">
        <x:v>FD006</x:v>
      </x:c>
      <x:c r="E826" s="5" t="str">
        <x:v>Eba &amp; Egusi Soup</x:v>
      </x:c>
      <x:c r="F826" s="5" t="str">
        <x:v>Swallow</x:v>
      </x:c>
      <x:c r="G826" s="44" t="n">
        <x:v>4</x:v>
      </x:c>
      <x:c r="H826" s="45" t="n">
        <x:v>2600</x:v>
      </x:c>
      <x:c r="I826" s="46" t="n">
        <x:v>0</x:v>
      </x:c>
      <x:c r="J826" s="47" t="n">
        <x:f>G826*H826*(1-I826)</x:f>
        <x:v>10400</x:v>
      </x:c>
      <x:c r="K826" s="47" t="n">
        <x:v>1320</x:v>
      </x:c>
      <x:c r="L826" s="47" t="n">
        <x:f>G826*K826</x:f>
        <x:v>5280</x:v>
      </x:c>
      <x:c r="M826" s="47" t="n">
        <x:f>J826-L826</x:f>
        <x:v>5120</x:v>
      </x:c>
      <x:c r="N826" s="5" t="str">
        <x:v>Walk-in</x:v>
      </x:c>
      <x:c r="O826" s="5" t="str">
        <x:v>Cash</x:v>
      </x:c>
      <x:c r="P826" s="5" t="str">
        <x:v>Lunch</x:v>
      </x:c>
      <x:c r="Q826" s="48" t="n">
        <x:v>12</x:v>
      </x:c>
      <x:c r="R826" s="5" t="n">
        <x:v>5</x:v>
      </x:c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5" t="str">
        <x:v>ORD-00264</x:v>
      </x:c>
      <x:c r="B827" s="43" t="n">
        <x:v>46130</x:v>
      </x:c>
      <x:c r="C827" s="5" t="str">
        <x:v>CUST-0251</x:v>
      </x:c>
      <x:c r="D827" s="5" t="str">
        <x:v>FD005</x:v>
      </x:c>
      <x:c r="E827" s="5" t="str">
        <x:v>Yam Porridge</x:v>
      </x:c>
      <x:c r="F827" s="5" t="str">
        <x:v>Traditional Meals</x:v>
      </x:c>
      <x:c r="G827" s="44" t="n">
        <x:v>1</x:v>
      </x:c>
      <x:c r="H827" s="45" t="n">
        <x:v>2200</x:v>
      </x:c>
      <x:c r="I827" s="46" t="n">
        <x:v>0</x:v>
      </x:c>
      <x:c r="J827" s="47" t="n">
        <x:f>G827*H827*(1-I827)</x:f>
        <x:v>2200</x:v>
      </x:c>
      <x:c r="K827" s="47" t="n">
        <x:v>1050</x:v>
      </x:c>
      <x:c r="L827" s="47" t="n">
        <x:f>G827*K827</x:f>
        <x:v>1050</x:v>
      </x:c>
      <x:c r="M827" s="47" t="n">
        <x:f>J827-L827</x:f>
        <x:v>1150</x:v>
      </x:c>
      <x:c r="N827" s="5" t="str">
        <x:v>Walk-in</x:v>
      </x:c>
      <x:c r="O827" s="5" t="str">
        <x:v>POS</x:v>
      </x:c>
      <x:c r="P827" s="5" t="str">
        <x:v>Breakfast</x:v>
      </x:c>
      <x:c r="Q827" s="48" t="n">
        <x:v>10</x:v>
      </x:c>
      <x:c r="R827" s="5" t="n">
        <x:v>4</x:v>
      </x:c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5" t="str">
        <x:v>ORD-00558</x:v>
      </x:c>
      <x:c r="B828" s="43" t="n">
        <x:v>46130</x:v>
      </x:c>
      <x:c r="C828" s="5" t="str">
        <x:v>CUST-0008</x:v>
      </x:c>
      <x:c r="D828" s="5" t="str">
        <x:v>FD004</x:v>
      </x:c>
      <x:c r="E828" s="5" t="str">
        <x:v>Beans &amp; Plantain</x:v>
      </x:c>
      <x:c r="F828" s="5" t="str">
        <x:v>Traditional Meals</x:v>
      </x:c>
      <x:c r="G828" s="44" t="n">
        <x:v>4</x:v>
      </x:c>
      <x:c r="H828" s="45" t="n">
        <x:v>2000</x:v>
      </x:c>
      <x:c r="I828" s="46" t="n">
        <x:v>0</x:v>
      </x:c>
      <x:c r="J828" s="47" t="n">
        <x:f>G828*H828*(1-I828)</x:f>
        <x:v>8000</x:v>
      </x:c>
      <x:c r="K828" s="47" t="n">
        <x:v>960</x:v>
      </x:c>
      <x:c r="L828" s="47" t="n">
        <x:f>G828*K828</x:f>
        <x:v>3840</x:v>
      </x:c>
      <x:c r="M828" s="47" t="n">
        <x:f>J828-L828</x:f>
        <x:v>4160</x:v>
      </x:c>
      <x:c r="N828" s="5" t="str">
        <x:v>Walk-in</x:v>
      </x:c>
      <x:c r="O828" s="5" t="str">
        <x:v>POS</x:v>
      </x:c>
      <x:c r="P828" s="5" t="str">
        <x:v>Lunch</x:v>
      </x:c>
      <x:c r="Q828" s="48" t="n">
        <x:v>14</x:v>
      </x:c>
      <x:c r="R828" s="5" t="n">
        <x:v>3</x:v>
      </x:c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5" t="str">
        <x:v>ORD-00604</x:v>
      </x:c>
      <x:c r="B829" s="43" t="n">
        <x:v>46130</x:v>
      </x:c>
      <x:c r="C829" s="5" t="str">
        <x:v>CUST-0411</x:v>
      </x:c>
      <x:c r="D829" s="5" t="str">
        <x:v>FD002</x:v>
      </x:c>
      <x:c r="E829" s="5" t="str">
        <x:v>Jollof Rice &amp; Chicken</x:v>
      </x:c>
      <x:c r="F829" s="5" t="str">
        <x:v>Rice Meals</x:v>
      </x:c>
      <x:c r="G829" s="44" t="n">
        <x:v>3</x:v>
      </x:c>
      <x:c r="H829" s="45" t="n">
        <x:v>2800</x:v>
      </x:c>
      <x:c r="I829" s="46" t="n">
        <x:v>0</x:v>
      </x:c>
      <x:c r="J829" s="47" t="n">
        <x:f>G829*H829*(1-I829)</x:f>
        <x:v>8400</x:v>
      </x:c>
      <x:c r="K829" s="47" t="n">
        <x:v>1450</x:v>
      </x:c>
      <x:c r="L829" s="47" t="n">
        <x:f>G829*K829</x:f>
        <x:v>4350</x:v>
      </x:c>
      <x:c r="M829" s="47" t="n">
        <x:f>J829-L829</x:f>
        <x:v>4050</x:v>
      </x:c>
      <x:c r="N829" s="5" t="str">
        <x:v>Walk-in</x:v>
      </x:c>
      <x:c r="O829" s="5" t="str">
        <x:v>Transfer</x:v>
      </x:c>
      <x:c r="P829" s="5" t="str">
        <x:v>Lunch</x:v>
      </x:c>
      <x:c r="Q829" s="48" t="n">
        <x:v>15</x:v>
      </x:c>
      <x:c r="R829" s="5" t="n">
        <x:v>4</x:v>
      </x:c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5" t="str">
        <x:v>ORD-00710</x:v>
      </x:c>
      <x:c r="B830" s="43" t="n">
        <x:v>46130</x:v>
      </x:c>
      <x:c r="C830" s="5" t="str">
        <x:v>CUST-0520</x:v>
      </x:c>
      <x:c r="D830" s="5" t="str">
        <x:v>FD003</x:v>
      </x:c>
      <x:c r="E830" s="5" t="str">
        <x:v>Fried Rice &amp; Chicken</x:v>
      </x:c>
      <x:c r="F830" s="5" t="str">
        <x:v>Rice Meals</x:v>
      </x:c>
      <x:c r="G830" s="44" t="n">
        <x:v>3</x:v>
      </x:c>
      <x:c r="H830" s="45" t="n">
        <x:v>3000</x:v>
      </x:c>
      <x:c r="I830" s="46" t="n">
        <x:v>0</x:v>
      </x:c>
      <x:c r="J830" s="47" t="n">
        <x:f>G830*H830*(1-I830)</x:f>
        <x:v>9000</x:v>
      </x:c>
      <x:c r="K830" s="47" t="n">
        <x:v>1580</x:v>
      </x:c>
      <x:c r="L830" s="47" t="n">
        <x:f>G830*K830</x:f>
        <x:v>4740</x:v>
      </x:c>
      <x:c r="M830" s="47" t="n">
        <x:f>J830-L830</x:f>
        <x:v>4260</x:v>
      </x:c>
      <x:c r="N830" s="5" t="str">
        <x:v>Delivery</x:v>
      </x:c>
      <x:c r="O830" s="5" t="str">
        <x:v>Cash</x:v>
      </x:c>
      <x:c r="P830" s="5" t="str">
        <x:v>Lunch</x:v>
      </x:c>
      <x:c r="Q830" s="48" t="n">
        <x:v>15</x:v>
      </x:c>
      <x:c r="R830" s="5" t="n">
        <x:v>4</x:v>
      </x:c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5" t="str">
        <x:v>ORD-00832</x:v>
      </x:c>
      <x:c r="B831" s="43" t="n">
        <x:v>46130</x:v>
      </x:c>
      <x:c r="C831" s="5" t="str">
        <x:v>CUST-0122</x:v>
      </x:c>
      <x:c r="D831" s="5" t="str">
        <x:v>FD007</x:v>
      </x:c>
      <x:c r="E831" s="5" t="str">
        <x:v>Amala &amp; Ewedu</x:v>
      </x:c>
      <x:c r="F831" s="5" t="str">
        <x:v>Swallow</x:v>
      </x:c>
      <x:c r="G831" s="44" t="n">
        <x:v>1</x:v>
      </x:c>
      <x:c r="H831" s="45" t="n">
        <x:v>2500</x:v>
      </x:c>
      <x:c r="I831" s="46" t="n">
        <x:v>0</x:v>
      </x:c>
      <x:c r="J831" s="47" t="n">
        <x:f>G831*H831*(1-I831)</x:f>
        <x:v>2500</x:v>
      </x:c>
      <x:c r="K831" s="47" t="n">
        <x:v>1250</x:v>
      </x:c>
      <x:c r="L831" s="47" t="n">
        <x:f>G831*K831</x:f>
        <x:v>1250</x:v>
      </x:c>
      <x:c r="M831" s="47" t="n">
        <x:f>J831-L831</x:f>
        <x:v>1250</x:v>
      </x:c>
      <x:c r="N831" s="5" t="str">
        <x:v>Walk-in</x:v>
      </x:c>
      <x:c r="O831" s="5" t="str">
        <x:v>POS</x:v>
      </x:c>
      <x:c r="P831" s="5" t="str">
        <x:v>Lunch</x:v>
      </x:c>
      <x:c r="Q831" s="48" t="n">
        <x:v>15</x:v>
      </x:c>
      <x:c r="R831" s="5" t="n">
        <x:v>4</x:v>
      </x:c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5" t="str">
        <x:v>ORD-00888</x:v>
      </x:c>
      <x:c r="B832" s="43" t="n">
        <x:v>46130</x:v>
      </x:c>
      <x:c r="C832" s="5" t="str">
        <x:v>CUST-0066</x:v>
      </x:c>
      <x:c r="D832" s="5" t="str">
        <x:v>FD012</x:v>
      </x:c>
      <x:c r="E832" s="5" t="str">
        <x:v>Fried Plantain</x:v>
      </x:c>
      <x:c r="F832" s="5" t="str">
        <x:v>Sides</x:v>
      </x:c>
      <x:c r="G832" s="44" t="n">
        <x:v>2</x:v>
      </x:c>
      <x:c r="H832" s="45" t="n">
        <x:v>700</x:v>
      </x:c>
      <x:c r="I832" s="46" t="n">
        <x:v>0</x:v>
      </x:c>
      <x:c r="J832" s="47" t="n">
        <x:f>G832*H832*(1-I832)</x:f>
        <x:v>1400</x:v>
      </x:c>
      <x:c r="K832" s="47" t="n">
        <x:v>300</x:v>
      </x:c>
      <x:c r="L832" s="47" t="n">
        <x:f>G832*K832</x:f>
        <x:v>600</x:v>
      </x:c>
      <x:c r="M832" s="47" t="n">
        <x:f>J832-L832</x:f>
        <x:v>800</x:v>
      </x:c>
      <x:c r="N832" s="5" t="str">
        <x:v>Takeaway</x:v>
      </x:c>
      <x:c r="O832" s="5" t="str">
        <x:v>POS</x:v>
      </x:c>
      <x:c r="P832" s="5" t="str">
        <x:v>Lunch</x:v>
      </x:c>
      <x:c r="Q832" s="48" t="n">
        <x:v>14</x:v>
      </x:c>
      <x:c r="R832" s="5" t="n">
        <x:v>4</x:v>
      </x:c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5" t="str">
        <x:v>ORD-00963</x:v>
      </x:c>
      <x:c r="B833" s="43" t="n">
        <x:v>46130</x:v>
      </x:c>
      <x:c r="C833" s="5" t="str">
        <x:v>CUST-0384</x:v>
      </x:c>
      <x:c r="D833" s="5" t="str">
        <x:v>FD009</x:v>
      </x:c>
      <x:c r="E833" s="5" t="str">
        <x:v>Moi Moi</x:v>
      </x:c>
      <x:c r="F833" s="5" t="str">
        <x:v>Sides</x:v>
      </x:c>
      <x:c r="G833" s="44" t="n">
        <x:v>4</x:v>
      </x:c>
      <x:c r="H833" s="45" t="n">
        <x:v>900</x:v>
      </x:c>
      <x:c r="I833" s="46" t="n">
        <x:v>0</x:v>
      </x:c>
      <x:c r="J833" s="47" t="n">
        <x:f>G833*H833*(1-I833)</x:f>
        <x:v>3600</x:v>
      </x:c>
      <x:c r="K833" s="47" t="n">
        <x:v>380</x:v>
      </x:c>
      <x:c r="L833" s="47" t="n">
        <x:f>G833*K833</x:f>
        <x:v>1520</x:v>
      </x:c>
      <x:c r="M833" s="47" t="n">
        <x:f>J833-L833</x:f>
        <x:v>2080</x:v>
      </x:c>
      <x:c r="N833" s="5" t="str">
        <x:v>Walk-in</x:v>
      </x:c>
      <x:c r="O833" s="5" t="str">
        <x:v>POS</x:v>
      </x:c>
      <x:c r="P833" s="5" t="str">
        <x:v>Breakfast</x:v>
      </x:c>
      <x:c r="Q833" s="48" t="n">
        <x:v>10</x:v>
      </x:c>
      <x:c r="R833" s="5" t="n">
        <x:v>4</x:v>
      </x:c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5" t="str">
        <x:v>ORD-01099</x:v>
      </x:c>
      <x:c r="B834" s="43" t="n">
        <x:v>46130</x:v>
      </x:c>
      <x:c r="C834" s="5" t="str">
        <x:v>CUST-0541</x:v>
      </x:c>
      <x:c r="D834" s="5" t="str">
        <x:v>FD005</x:v>
      </x:c>
      <x:c r="E834" s="5" t="str">
        <x:v>Yam Porridge</x:v>
      </x:c>
      <x:c r="F834" s="5" t="str">
        <x:v>Traditional Meals</x:v>
      </x:c>
      <x:c r="G834" s="44" t="n">
        <x:v>1</x:v>
      </x:c>
      <x:c r="H834" s="45" t="n">
        <x:v>2200</x:v>
      </x:c>
      <x:c r="I834" s="46" t="n">
        <x:v>0.05</x:v>
      </x:c>
      <x:c r="J834" s="47" t="n">
        <x:f>G834*H834*(1-I834)</x:f>
        <x:v>2090</x:v>
      </x:c>
      <x:c r="K834" s="47" t="n">
        <x:v>1050</x:v>
      </x:c>
      <x:c r="L834" s="47" t="n">
        <x:f>G834*K834</x:f>
        <x:v>1050</x:v>
      </x:c>
      <x:c r="M834" s="47" t="n">
        <x:f>J834-L834</x:f>
        <x:v>1040</x:v>
      </x:c>
      <x:c r="N834" s="5" t="str">
        <x:v>Takeaway</x:v>
      </x:c>
      <x:c r="O834" s="5" t="str">
        <x:v>Transfer</x:v>
      </x:c>
      <x:c r="P834" s="5" t="str">
        <x:v>Lunch</x:v>
      </x:c>
      <x:c r="Q834" s="48" t="n">
        <x:v>12</x:v>
      </x:c>
      <x:c r="R834" s="5" t="n">
        <x:v>4</x:v>
      </x:c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5" t="str">
        <x:v>ORD-01244</x:v>
      </x:c>
      <x:c r="B835" s="43" t="n">
        <x:v>46130</x:v>
      </x:c>
      <x:c r="C835" s="5" t="str">
        <x:v>CUST-0315</x:v>
      </x:c>
      <x:c r="D835" s="5" t="str">
        <x:v>FD004</x:v>
      </x:c>
      <x:c r="E835" s="5" t="str">
        <x:v>Beans &amp; Plantain</x:v>
      </x:c>
      <x:c r="F835" s="5" t="str">
        <x:v>Traditional Meals</x:v>
      </x:c>
      <x:c r="G835" s="44" t="n">
        <x:v>4</x:v>
      </x:c>
      <x:c r="H835" s="45" t="n">
        <x:v>2000</x:v>
      </x:c>
      <x:c r="I835" s="46" t="n">
        <x:v>0</x:v>
      </x:c>
      <x:c r="J835" s="47" t="n">
        <x:f>G835*H835*(1-I835)</x:f>
        <x:v>8000</x:v>
      </x:c>
      <x:c r="K835" s="47" t="n">
        <x:v>960</x:v>
      </x:c>
      <x:c r="L835" s="47" t="n">
        <x:f>G835*K835</x:f>
        <x:v>3840</x:v>
      </x:c>
      <x:c r="M835" s="47" t="n">
        <x:f>J835-L835</x:f>
        <x:v>4160</x:v>
      </x:c>
      <x:c r="N835" s="5" t="str">
        <x:v>Walk-in</x:v>
      </x:c>
      <x:c r="O835" s="5" t="str">
        <x:v>Cash</x:v>
      </x:c>
      <x:c r="P835" s="5" t="str">
        <x:v>Breakfast</x:v>
      </x:c>
      <x:c r="Q835" s="48" t="n">
        <x:v>8</x:v>
      </x:c>
      <x:c r="R835" s="5" t="n">
        <x:v>4</x:v>
      </x:c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5" t="str">
        <x:v>ORD-01588</x:v>
      </x:c>
      <x:c r="B836" s="43" t="n">
        <x:v>46130</x:v>
      </x:c>
      <x:c r="C836" s="5" t="str">
        <x:v>CUST-0081</x:v>
      </x:c>
      <x:c r="D836" s="5" t="str">
        <x:v>FD007</x:v>
      </x:c>
      <x:c r="E836" s="5" t="str">
        <x:v>Amala &amp; Ewedu</x:v>
      </x:c>
      <x:c r="F836" s="5" t="str">
        <x:v>Swallow</x:v>
      </x:c>
      <x:c r="G836" s="44" t="n">
        <x:v>1</x:v>
      </x:c>
      <x:c r="H836" s="45" t="n">
        <x:v>2500</x:v>
      </x:c>
      <x:c r="I836" s="46" t="n">
        <x:v>0</x:v>
      </x:c>
      <x:c r="J836" s="47" t="n">
        <x:f>G836*H836*(1-I836)</x:f>
        <x:v>2500</x:v>
      </x:c>
      <x:c r="K836" s="47" t="n">
        <x:v>1250</x:v>
      </x:c>
      <x:c r="L836" s="47" t="n">
        <x:f>G836*K836</x:f>
        <x:v>1250</x:v>
      </x:c>
      <x:c r="M836" s="47" t="n">
        <x:f>J836-L836</x:f>
        <x:v>1250</x:v>
      </x:c>
      <x:c r="N836" s="5" t="str">
        <x:v>Walk-in</x:v>
      </x:c>
      <x:c r="O836" s="5" t="str">
        <x:v>Cash</x:v>
      </x:c>
      <x:c r="P836" s="5" t="str">
        <x:v>Lunch</x:v>
      </x:c>
      <x:c r="Q836" s="48" t="n">
        <x:v>14</x:v>
      </x:c>
      <x:c r="R836" s="5" t="n">
        <x:v>4</x:v>
      </x:c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5" t="str">
        <x:v>ORD-01618</x:v>
      </x:c>
      <x:c r="B837" s="43" t="n">
        <x:v>46130</x:v>
      </x:c>
      <x:c r="C837" s="5" t="str">
        <x:v>CUST-0065</x:v>
      </x:c>
      <x:c r="D837" s="5" t="str">
        <x:v>FD002</x:v>
      </x:c>
      <x:c r="E837" s="5" t="str">
        <x:v>Jollof Rice &amp; Chicken</x:v>
      </x:c>
      <x:c r="F837" s="5" t="str">
        <x:v>Rice Meals</x:v>
      </x:c>
      <x:c r="G837" s="44" t="n">
        <x:v>3</x:v>
      </x:c>
      <x:c r="H837" s="45" t="n">
        <x:v>2800</x:v>
      </x:c>
      <x:c r="I837" s="46" t="n">
        <x:v>0</x:v>
      </x:c>
      <x:c r="J837" s="47" t="n">
        <x:f>G837*H837*(1-I837)</x:f>
        <x:v>8400</x:v>
      </x:c>
      <x:c r="K837" s="47" t="n">
        <x:v>1450</x:v>
      </x:c>
      <x:c r="L837" s="47" t="n">
        <x:f>G837*K837</x:f>
        <x:v>4350</x:v>
      </x:c>
      <x:c r="M837" s="47" t="n">
        <x:f>J837-L837</x:f>
        <x:v>4050</x:v>
      </x:c>
      <x:c r="N837" s="5" t="str">
        <x:v>Delivery</x:v>
      </x:c>
      <x:c r="O837" s="5" t="str">
        <x:v>Transfer</x:v>
      </x:c>
      <x:c r="P837" s="5" t="str">
        <x:v>Breakfast</x:v>
      </x:c>
      <x:c r="Q837" s="48" t="n">
        <x:v>9</x:v>
      </x:c>
      <x:c r="R837" s="5" t="n">
        <x:v>4</x:v>
      </x:c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5" t="str">
        <x:v>ORD-00111</x:v>
      </x:c>
      <x:c r="B838" s="43" t="n">
        <x:v>46131</x:v>
      </x:c>
      <x:c r="C838" s="5" t="str">
        <x:v>CUST-0240</x:v>
      </x:c>
      <x:c r="D838" s="5" t="str">
        <x:v>FD004</x:v>
      </x:c>
      <x:c r="E838" s="5" t="str">
        <x:v>Beans &amp; Plantain</x:v>
      </x:c>
      <x:c r="F838" s="5" t="str">
        <x:v>Traditional Meals</x:v>
      </x:c>
      <x:c r="G838" s="44" t="n">
        <x:v>2</x:v>
      </x:c>
      <x:c r="H838" s="45" t="n">
        <x:v>2000</x:v>
      </x:c>
      <x:c r="I838" s="46" t="n">
        <x:v>0.05</x:v>
      </x:c>
      <x:c r="J838" s="47" t="n">
        <x:f>G838*H838*(1-I838)</x:f>
        <x:v>3800</x:v>
      </x:c>
      <x:c r="K838" s="47" t="n">
        <x:v>960</x:v>
      </x:c>
      <x:c r="L838" s="47" t="n">
        <x:f>G838*K838</x:f>
        <x:v>1920</x:v>
      </x:c>
      <x:c r="M838" s="47" t="n">
        <x:f>J838-L838</x:f>
        <x:v>1880</x:v>
      </x:c>
      <x:c r="N838" s="5" t="str">
        <x:v>Delivery</x:v>
      </x:c>
      <x:c r="O838" s="5" t="str">
        <x:v>Cash</x:v>
      </x:c>
      <x:c r="P838" s="5" t="str">
        <x:v>Lunch</x:v>
      </x:c>
      <x:c r="Q838" s="48" t="n">
        <x:v>13</x:v>
      </x:c>
      <x:c r="R838" s="5" t="n">
        <x:v>4</x:v>
      </x:c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5" t="str">
        <x:v>ORD-00113</x:v>
      </x:c>
      <x:c r="B839" s="43" t="n">
        <x:v>46131</x:v>
      </x:c>
      <x:c r="C839" s="5" t="str">
        <x:v>CUST-0430</x:v>
      </x:c>
      <x:c r="D839" s="5" t="str">
        <x:v>FD003</x:v>
      </x:c>
      <x:c r="E839" s="5" t="str">
        <x:v>Fried Rice &amp; Chicken</x:v>
      </x:c>
      <x:c r="F839" s="5" t="str">
        <x:v>Rice Meals</x:v>
      </x:c>
      <x:c r="G839" s="44" t="n">
        <x:v>3</x:v>
      </x:c>
      <x:c r="H839" s="45" t="n">
        <x:v>3000</x:v>
      </x:c>
      <x:c r="I839" s="46" t="n">
        <x:v>0</x:v>
      </x:c>
      <x:c r="J839" s="47" t="n">
        <x:f>G839*H839*(1-I839)</x:f>
        <x:v>9000</x:v>
      </x:c>
      <x:c r="K839" s="47" t="n">
        <x:v>1580</x:v>
      </x:c>
      <x:c r="L839" s="47" t="n">
        <x:f>G839*K839</x:f>
        <x:v>4740</x:v>
      </x:c>
      <x:c r="M839" s="47" t="n">
        <x:f>J839-L839</x:f>
        <x:v>4260</x:v>
      </x:c>
      <x:c r="N839" s="5" t="str">
        <x:v>Walk-in</x:v>
      </x:c>
      <x:c r="O839" s="5" t="str">
        <x:v>POS</x:v>
      </x:c>
      <x:c r="P839" s="5" t="str">
        <x:v>Dinner</x:v>
      </x:c>
      <x:c r="Q839" s="48" t="n">
        <x:v>16</x:v>
      </x:c>
      <x:c r="R839" s="5" t="n">
        <x:v>4</x:v>
      </x:c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5" t="str">
        <x:v>ORD-00618</x:v>
      </x:c>
      <x:c r="B840" s="43" t="n">
        <x:v>46131</x:v>
      </x:c>
      <x:c r="C840" s="5" t="str">
        <x:v>CUST-0084</x:v>
      </x:c>
      <x:c r="D840" s="5" t="str">
        <x:v>FD006</x:v>
      </x:c>
      <x:c r="E840" s="5" t="str">
        <x:v>Eba &amp; Egusi Soup</x:v>
      </x:c>
      <x:c r="F840" s="5" t="str">
        <x:v>Swallow</x:v>
      </x:c>
      <x:c r="G840" s="44" t="n">
        <x:v>4</x:v>
      </x:c>
      <x:c r="H840" s="45" t="n">
        <x:v>2600</x:v>
      </x:c>
      <x:c r="I840" s="46" t="n">
        <x:v>0</x:v>
      </x:c>
      <x:c r="J840" s="47" t="n">
        <x:f>G840*H840*(1-I840)</x:f>
        <x:v>10400</x:v>
      </x:c>
      <x:c r="K840" s="47" t="n">
        <x:v>1320</x:v>
      </x:c>
      <x:c r="L840" s="47" t="n">
        <x:f>G840*K840</x:f>
        <x:v>5280</x:v>
      </x:c>
      <x:c r="M840" s="47" t="n">
        <x:f>J840-L840</x:f>
        <x:v>5120</x:v>
      </x:c>
      <x:c r="N840" s="5" t="str">
        <x:v>Takeaway</x:v>
      </x:c>
      <x:c r="O840" s="5" t="str">
        <x:v>Transfer</x:v>
      </x:c>
      <x:c r="P840" s="5" t="str">
        <x:v>Breakfast</x:v>
      </x:c>
      <x:c r="Q840" s="48" t="n">
        <x:v>9</x:v>
      </x:c>
      <x:c r="R840" s="5" t="n">
        <x:v>4</x:v>
      </x:c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5" t="str">
        <x:v>ORD-00059</x:v>
      </x:c>
      <x:c r="B841" s="43" t="n">
        <x:v>46132</x:v>
      </x:c>
      <x:c r="C841" s="5" t="str">
        <x:v>CUST-0624</x:v>
      </x:c>
      <x:c r="D841" s="5" t="str">
        <x:v>FD002</x:v>
      </x:c>
      <x:c r="E841" s="5" t="str">
        <x:v>Jollof Rice &amp; Chicken</x:v>
      </x:c>
      <x:c r="F841" s="5" t="str">
        <x:v>Rice Meals</x:v>
      </x:c>
      <x:c r="G841" s="44" t="n">
        <x:v>1</x:v>
      </x:c>
      <x:c r="H841" s="45" t="n">
        <x:v>2800</x:v>
      </x:c>
      <x:c r="I841" s="46" t="n">
        <x:v>0</x:v>
      </x:c>
      <x:c r="J841" s="47" t="n">
        <x:f>G841*H841*(1-I841)</x:f>
        <x:v>2800</x:v>
      </x:c>
      <x:c r="K841" s="47" t="n">
        <x:v>1450</x:v>
      </x:c>
      <x:c r="L841" s="47" t="n">
        <x:f>G841*K841</x:f>
        <x:v>1450</x:v>
      </x:c>
      <x:c r="M841" s="47" t="n">
        <x:f>J841-L841</x:f>
        <x:v>1350</x:v>
      </x:c>
      <x:c r="N841" s="5" t="str">
        <x:v>Walk-in</x:v>
      </x:c>
      <x:c r="O841" s="5" t="str">
        <x:v>Cash</x:v>
      </x:c>
      <x:c r="P841" s="5" t="str">
        <x:v>Lunch</x:v>
      </x:c>
      <x:c r="Q841" s="48" t="n">
        <x:v>13</x:v>
      </x:c>
      <x:c r="R841" s="5" t="n">
        <x:v>5</x:v>
      </x:c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5" t="str">
        <x:v>ORD-00109</x:v>
      </x:c>
      <x:c r="B842" s="43" t="n">
        <x:v>46132</x:v>
      </x:c>
      <x:c r="C842" s="5" t="str">
        <x:v>CUST-0562</x:v>
      </x:c>
      <x:c r="D842" s="5" t="str">
        <x:v>FD006</x:v>
      </x:c>
      <x:c r="E842" s="5" t="str">
        <x:v>Eba &amp; Egusi Soup</x:v>
      </x:c>
      <x:c r="F842" s="5" t="str">
        <x:v>Swallow</x:v>
      </x:c>
      <x:c r="G842" s="44" t="n">
        <x:v>2</x:v>
      </x:c>
      <x:c r="H842" s="45" t="n">
        <x:v>2600</x:v>
      </x:c>
      <x:c r="I842" s="46" t="n">
        <x:v>0</x:v>
      </x:c>
      <x:c r="J842" s="47" t="n">
        <x:f>G842*H842*(1-I842)</x:f>
        <x:v>5200</x:v>
      </x:c>
      <x:c r="K842" s="47" t="n">
        <x:v>1320</x:v>
      </x:c>
      <x:c r="L842" s="47" t="n">
        <x:f>G842*K842</x:f>
        <x:v>2640</x:v>
      </x:c>
      <x:c r="M842" s="47" t="n">
        <x:f>J842-L842</x:f>
        <x:v>2560</x:v>
      </x:c>
      <x:c r="N842" s="5" t="str">
        <x:v>Delivery</x:v>
      </x:c>
      <x:c r="O842" s="5" t="str">
        <x:v>Cash</x:v>
      </x:c>
      <x:c r="P842" s="5" t="str">
        <x:v>Lunch</x:v>
      </x:c>
      <x:c r="Q842" s="48" t="n">
        <x:v>14</x:v>
      </x:c>
      <x:c r="R842" s="5" t="n">
        <x:v>5</x:v>
      </x:c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5" t="str">
        <x:v>ORD-00346</x:v>
      </x:c>
      <x:c r="B843" s="43" t="n">
        <x:v>46132</x:v>
      </x:c>
      <x:c r="C843" s="5" t="str">
        <x:v>CUST-0415</x:v>
      </x:c>
      <x:c r="D843" s="5" t="str">
        <x:v>FD006</x:v>
      </x:c>
      <x:c r="E843" s="5" t="str">
        <x:v>Eba &amp; Egusi Soup</x:v>
      </x:c>
      <x:c r="F843" s="5" t="str">
        <x:v>Swallow</x:v>
      </x:c>
      <x:c r="G843" s="44" t="n">
        <x:v>4</x:v>
      </x:c>
      <x:c r="H843" s="45" t="n">
        <x:v>2600</x:v>
      </x:c>
      <x:c r="I843" s="46" t="n">
        <x:v>0</x:v>
      </x:c>
      <x:c r="J843" s="47" t="n">
        <x:f>G843*H843*(1-I843)</x:f>
        <x:v>10400</x:v>
      </x:c>
      <x:c r="K843" s="47" t="n">
        <x:v>1320</x:v>
      </x:c>
      <x:c r="L843" s="47" t="n">
        <x:f>G843*K843</x:f>
        <x:v>5280</x:v>
      </x:c>
      <x:c r="M843" s="47" t="n">
        <x:f>J843-L843</x:f>
        <x:v>5120</x:v>
      </x:c>
      <x:c r="N843" s="5" t="str">
        <x:v>Delivery</x:v>
      </x:c>
      <x:c r="O843" s="5" t="str">
        <x:v>Transfer</x:v>
      </x:c>
      <x:c r="P843" s="5" t="str">
        <x:v>Dinner</x:v>
      </x:c>
      <x:c r="Q843" s="48" t="n">
        <x:v>20</x:v>
      </x:c>
      <x:c r="R843" s="5" t="n">
        <x:v>5</x:v>
      </x:c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5" t="str">
        <x:v>ORD-00371</x:v>
      </x:c>
      <x:c r="B844" s="43" t="n">
        <x:v>46132</x:v>
      </x:c>
      <x:c r="C844" s="5" t="str">
        <x:v>CUST-0579</x:v>
      </x:c>
      <x:c r="D844" s="5" t="str">
        <x:v>FD002</x:v>
      </x:c>
      <x:c r="E844" s="5" t="str">
        <x:v>Jollof Rice &amp; Chicken</x:v>
      </x:c>
      <x:c r="F844" s="5" t="str">
        <x:v>Rice Meals</x:v>
      </x:c>
      <x:c r="G844" s="44" t="n">
        <x:v>4</x:v>
      </x:c>
      <x:c r="H844" s="45" t="n">
        <x:v>2800</x:v>
      </x:c>
      <x:c r="I844" s="46" t="n">
        <x:v>0</x:v>
      </x:c>
      <x:c r="J844" s="47" t="n">
        <x:f>G844*H844*(1-I844)</x:f>
        <x:v>11200</x:v>
      </x:c>
      <x:c r="K844" s="47" t="n">
        <x:v>1450</x:v>
      </x:c>
      <x:c r="L844" s="47" t="n">
        <x:f>G844*K844</x:f>
        <x:v>5800</x:v>
      </x:c>
      <x:c r="M844" s="47" t="n">
        <x:f>J844-L844</x:f>
        <x:v>5400</x:v>
      </x:c>
      <x:c r="N844" s="5" t="str">
        <x:v>Takeaway</x:v>
      </x:c>
      <x:c r="O844" s="5" t="str">
        <x:v>Cash</x:v>
      </x:c>
      <x:c r="P844" s="5" t="str">
        <x:v>Dinner</x:v>
      </x:c>
      <x:c r="Q844" s="48" t="n">
        <x:v>18</x:v>
      </x:c>
      <x:c r="R844" s="5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5" t="str">
        <x:v>ORD-00532</x:v>
      </x:c>
      <x:c r="B845" s="43" t="n">
        <x:v>46132</x:v>
      </x:c>
      <x:c r="C845" s="5" t="str">
        <x:v>CUST-0021</x:v>
      </x:c>
      <x:c r="D845" s="5" t="str">
        <x:v>FD006</x:v>
      </x:c>
      <x:c r="E845" s="5" t="str">
        <x:v>Eba &amp; Egusi Soup</x:v>
      </x:c>
      <x:c r="F845" s="5" t="str">
        <x:v>Swallow</x:v>
      </x:c>
      <x:c r="G845" s="44" t="n">
        <x:v>1</x:v>
      </x:c>
      <x:c r="H845" s="45" t="n">
        <x:v>2600</x:v>
      </x:c>
      <x:c r="I845" s="46" t="n">
        <x:v>0</x:v>
      </x:c>
      <x:c r="J845" s="47" t="n">
        <x:f>G845*H845*(1-I845)</x:f>
        <x:v>2600</x:v>
      </x:c>
      <x:c r="K845" s="47" t="n">
        <x:v>1320</x:v>
      </x:c>
      <x:c r="L845" s="47" t="n">
        <x:f>G845*K845</x:f>
        <x:v>1320</x:v>
      </x:c>
      <x:c r="M845" s="47" t="n">
        <x:f>J845-L845</x:f>
        <x:v>1280</x:v>
      </x:c>
      <x:c r="N845" s="5" t="str">
        <x:v>Walk-in</x:v>
      </x:c>
      <x:c r="O845" s="5" t="str">
        <x:v>Transfer</x:v>
      </x:c>
      <x:c r="P845" s="5" t="str">
        <x:v>Dinner</x:v>
      </x:c>
      <x:c r="Q845" s="48" t="n">
        <x:v>16</x:v>
      </x:c>
      <x:c r="R845" s="5" t="n">
        <x:v>4</x:v>
      </x:c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5" t="str">
        <x:v>ORD-00692</x:v>
      </x:c>
      <x:c r="B846" s="43" t="n">
        <x:v>46132</x:v>
      </x:c>
      <x:c r="C846" s="5" t="str">
        <x:v>CUST-0011</x:v>
      </x:c>
      <x:c r="D846" s="5" t="str">
        <x:v>FD008</x:v>
      </x:c>
      <x:c r="E846" s="5" t="str">
        <x:v>Pounded Yam &amp; Vegetable Soup</x:v>
      </x:c>
      <x:c r="F846" s="5" t="str">
        <x:v>Swallow</x:v>
      </x:c>
      <x:c r="G846" s="44" t="n">
        <x:v>1</x:v>
      </x:c>
      <x:c r="H846" s="45" t="n">
        <x:v>3200</x:v>
      </x:c>
      <x:c r="I846" s="46" t="n">
        <x:v>0.05</x:v>
      </x:c>
      <x:c r="J846" s="47" t="n">
        <x:f>G846*H846*(1-I846)</x:f>
        <x:v>3040</x:v>
      </x:c>
      <x:c r="K846" s="47" t="n">
        <x:v>1710</x:v>
      </x:c>
      <x:c r="L846" s="47" t="n">
        <x:f>G846*K846</x:f>
        <x:v>1710</x:v>
      </x:c>
      <x:c r="M846" s="47" t="n">
        <x:f>J846-L846</x:f>
        <x:v>1330</x:v>
      </x:c>
      <x:c r="N846" s="5" t="str">
        <x:v>Walk-in</x:v>
      </x:c>
      <x:c r="O846" s="5" t="str">
        <x:v>Cash</x:v>
      </x:c>
      <x:c r="P846" s="5" t="str">
        <x:v>Breakfast</x:v>
      </x:c>
      <x:c r="Q846" s="48" t="n">
        <x:v>9</x:v>
      </x:c>
      <x:c r="R846" s="5" t="n">
        <x:v>3</x:v>
      </x:c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5" t="str">
        <x:v>ORD-00723</x:v>
      </x:c>
      <x:c r="B847" s="43" t="n">
        <x:v>46132</x:v>
      </x:c>
      <x:c r="C847" s="5" t="str">
        <x:v>CUST-0020</x:v>
      </x:c>
      <x:c r="D847" s="5" t="str">
        <x:v>FD003</x:v>
      </x:c>
      <x:c r="E847" s="5" t="str">
        <x:v>Fried Rice &amp; Chicken</x:v>
      </x:c>
      <x:c r="F847" s="5" t="str">
        <x:v>Rice Meals</x:v>
      </x:c>
      <x:c r="G847" s="44" t="n">
        <x:v>1</x:v>
      </x:c>
      <x:c r="H847" s="45" t="n">
        <x:v>3000</x:v>
      </x:c>
      <x:c r="I847" s="46" t="n">
        <x:v>0</x:v>
      </x:c>
      <x:c r="J847" s="47" t="n">
        <x:f>G847*H847*(1-I847)</x:f>
        <x:v>3000</x:v>
      </x:c>
      <x:c r="K847" s="47" t="n">
        <x:v>1580</x:v>
      </x:c>
      <x:c r="L847" s="47" t="n">
        <x:f>G847*K847</x:f>
        <x:v>1580</x:v>
      </x:c>
      <x:c r="M847" s="47" t="n">
        <x:f>J847-L847</x:f>
        <x:v>1420</x:v>
      </x:c>
      <x:c r="N847" s="5" t="str">
        <x:v>Takeaway</x:v>
      </x:c>
      <x:c r="O847" s="5" t="str">
        <x:v>Transfer</x:v>
      </x:c>
      <x:c r="P847" s="5" t="str">
        <x:v>Breakfast</x:v>
      </x:c>
      <x:c r="Q847" s="48" t="n">
        <x:v>9</x:v>
      </x:c>
      <x:c r="R847" s="5" t="n">
        <x:v>3</x:v>
      </x:c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5" t="str">
        <x:v>ORD-01130</x:v>
      </x:c>
      <x:c r="B848" s="43" t="n">
        <x:v>46132</x:v>
      </x:c>
      <x:c r="C848" s="5" t="str">
        <x:v>CUST-0121</x:v>
      </x:c>
      <x:c r="D848" s="5" t="str">
        <x:v>FD006</x:v>
      </x:c>
      <x:c r="E848" s="5" t="str">
        <x:v>Eba &amp; Egusi Soup</x:v>
      </x:c>
      <x:c r="F848" s="5" t="str">
        <x:v>Swallow</x:v>
      </x:c>
      <x:c r="G848" s="44" t="n">
        <x:v>1</x:v>
      </x:c>
      <x:c r="H848" s="45" t="n">
        <x:v>2600</x:v>
      </x:c>
      <x:c r="I848" s="46" t="n">
        <x:v>0</x:v>
      </x:c>
      <x:c r="J848" s="47" t="n">
        <x:f>G848*H848*(1-I848)</x:f>
        <x:v>2600</x:v>
      </x:c>
      <x:c r="K848" s="47" t="n">
        <x:v>1320</x:v>
      </x:c>
      <x:c r="L848" s="47" t="n">
        <x:f>G848*K848</x:f>
        <x:v>1320</x:v>
      </x:c>
      <x:c r="M848" s="47" t="n">
        <x:f>J848-L848</x:f>
        <x:v>1280</x:v>
      </x:c>
      <x:c r="N848" s="5" t="str">
        <x:v>Delivery</x:v>
      </x:c>
      <x:c r="O848" s="5" t="str">
        <x:v>Cash</x:v>
      </x:c>
      <x:c r="P848" s="5" t="str">
        <x:v>Lunch</x:v>
      </x:c>
      <x:c r="Q848" s="48" t="n">
        <x:v>13</x:v>
      </x:c>
      <x:c r="R848" s="5" t="n">
        <x:v>4</x:v>
      </x:c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5" t="str">
        <x:v>ORD-01152</x:v>
      </x:c>
      <x:c r="B849" s="43" t="n">
        <x:v>46132</x:v>
      </x:c>
      <x:c r="C849" s="5" t="str">
        <x:v>CUST-0135</x:v>
      </x:c>
      <x:c r="D849" s="5" t="str">
        <x:v>FD006</x:v>
      </x:c>
      <x:c r="E849" s="5" t="str">
        <x:v>Eba &amp; Egusi Soup</x:v>
      </x:c>
      <x:c r="F849" s="5" t="str">
        <x:v>Swallow</x:v>
      </x:c>
      <x:c r="G849" s="44" t="n">
        <x:v>3</x:v>
      </x:c>
      <x:c r="H849" s="45" t="n">
        <x:v>2600</x:v>
      </x:c>
      <x:c r="I849" s="46" t="n">
        <x:v>0</x:v>
      </x:c>
      <x:c r="J849" s="47" t="n">
        <x:f>G849*H849*(1-I849)</x:f>
        <x:v>7800</x:v>
      </x:c>
      <x:c r="K849" s="47" t="n">
        <x:v>1320</x:v>
      </x:c>
      <x:c r="L849" s="47" t="n">
        <x:f>G849*K849</x:f>
        <x:v>3960</x:v>
      </x:c>
      <x:c r="M849" s="47" t="n">
        <x:f>J849-L849</x:f>
        <x:v>3840</x:v>
      </x:c>
      <x:c r="N849" s="5" t="str">
        <x:v>Takeaway</x:v>
      </x:c>
      <x:c r="O849" s="5" t="str">
        <x:v>Transfer</x:v>
      </x:c>
      <x:c r="P849" s="5" t="str">
        <x:v>Lunch</x:v>
      </x:c>
      <x:c r="Q849" s="48" t="n">
        <x:v>12</x:v>
      </x:c>
      <x:c r="R849" s="5" t="n">
        <x:v>4</x:v>
      </x:c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5" t="str">
        <x:v>ORD-01214</x:v>
      </x:c>
      <x:c r="B850" s="43" t="n">
        <x:v>46132</x:v>
      </x:c>
      <x:c r="C850" s="5" t="str">
        <x:v>CUST-0283</x:v>
      </x:c>
      <x:c r="D850" s="5" t="str">
        <x:v>FD001</x:v>
      </x:c>
      <x:c r="E850" s="5" t="str">
        <x:v>White Rice &amp; Stew</x:v>
      </x:c>
      <x:c r="F850" s="5" t="str">
        <x:v>Rice Meals</x:v>
      </x:c>
      <x:c r="G850" s="44" t="n">
        <x:v>3</x:v>
      </x:c>
      <x:c r="H850" s="45" t="n">
        <x:v>1800</x:v>
      </x:c>
      <x:c r="I850" s="46" t="n">
        <x:v>0</x:v>
      </x:c>
      <x:c r="J850" s="47" t="n">
        <x:f>G850*H850*(1-I850)</x:f>
        <x:v>5400</x:v>
      </x:c>
      <x:c r="K850" s="47" t="n">
        <x:v>820</x:v>
      </x:c>
      <x:c r="L850" s="47" t="n">
        <x:f>G850*K850</x:f>
        <x:v>2460</x:v>
      </x:c>
      <x:c r="M850" s="47" t="n">
        <x:f>J850-L850</x:f>
        <x:v>2940</x:v>
      </x:c>
      <x:c r="N850" s="5" t="str">
        <x:v>Delivery</x:v>
      </x:c>
      <x:c r="O850" s="5" t="str">
        <x:v>POS</x:v>
      </x:c>
      <x:c r="P850" s="5" t="str">
        <x:v>Lunch</x:v>
      </x:c>
      <x:c r="Q850" s="48" t="n">
        <x:v>14</x:v>
      </x:c>
      <x:c r="R850" s="5" t="n">
        <x:v>5</x:v>
      </x:c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5" t="str">
        <x:v>ORD-01349</x:v>
      </x:c>
      <x:c r="B851" s="43" t="n">
        <x:v>46132</x:v>
      </x:c>
      <x:c r="C851" s="5" t="str">
        <x:v>CUST-0578</x:v>
      </x:c>
      <x:c r="D851" s="5" t="str">
        <x:v>FD003</x:v>
      </x:c>
      <x:c r="E851" s="5" t="str">
        <x:v>Fried Rice &amp; Chicken</x:v>
      </x:c>
      <x:c r="F851" s="5" t="str">
        <x:v>Rice Meals</x:v>
      </x:c>
      <x:c r="G851" s="44" t="n">
        <x:v>2</x:v>
      </x:c>
      <x:c r="H851" s="45" t="n">
        <x:v>3000</x:v>
      </x:c>
      <x:c r="I851" s="46" t="n">
        <x:v>0</x:v>
      </x:c>
      <x:c r="J851" s="47" t="n">
        <x:f>G851*H851*(1-I851)</x:f>
        <x:v>6000</x:v>
      </x:c>
      <x:c r="K851" s="47" t="n">
        <x:v>1580</x:v>
      </x:c>
      <x:c r="L851" s="47" t="n">
        <x:f>G851*K851</x:f>
        <x:v>3160</x:v>
      </x:c>
      <x:c r="M851" s="47" t="n">
        <x:f>J851-L851</x:f>
        <x:v>2840</x:v>
      </x:c>
      <x:c r="N851" s="5" t="str">
        <x:v>Walk-in</x:v>
      </x:c>
      <x:c r="O851" s="5" t="str">
        <x:v>Transfer</x:v>
      </x:c>
      <x:c r="P851" s="5" t="str">
        <x:v>Dinner</x:v>
      </x:c>
      <x:c r="Q851" s="48" t="n">
        <x:v>20</x:v>
      </x:c>
      <x:c r="R851" s="5" t="n">
        <x:v>3</x:v>
      </x:c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5" t="str">
        <x:v>ORD-01434</x:v>
      </x:c>
      <x:c r="B852" s="43" t="n">
        <x:v>46132</x:v>
      </x:c>
      <x:c r="C852" s="5" t="str">
        <x:v>CUST-0576</x:v>
      </x:c>
      <x:c r="D852" s="5" t="str">
        <x:v>FD002</x:v>
      </x:c>
      <x:c r="E852" s="5" t="str">
        <x:v>Jollof Rice &amp; Chicken</x:v>
      </x:c>
      <x:c r="F852" s="5" t="str">
        <x:v>Rice Meals</x:v>
      </x:c>
      <x:c r="G852" s="44" t="n">
        <x:v>2</x:v>
      </x:c>
      <x:c r="H852" s="45" t="n">
        <x:v>2800</x:v>
      </x:c>
      <x:c r="I852" s="46" t="n">
        <x:v>0</x:v>
      </x:c>
      <x:c r="J852" s="47" t="n">
        <x:f>G852*H852*(1-I852)</x:f>
        <x:v>5600</x:v>
      </x:c>
      <x:c r="K852" s="47" t="n">
        <x:v>1450</x:v>
      </x:c>
      <x:c r="L852" s="47" t="n">
        <x:f>G852*K852</x:f>
        <x:v>2900</x:v>
      </x:c>
      <x:c r="M852" s="47" t="n">
        <x:f>J852-L852</x:f>
        <x:v>2700</x:v>
      </x:c>
      <x:c r="N852" s="5" t="str">
        <x:v>Takeaway</x:v>
      </x:c>
      <x:c r="O852" s="5" t="str">
        <x:v>Cash</x:v>
      </x:c>
      <x:c r="P852" s="5" t="str">
        <x:v>Lunch</x:v>
      </x:c>
      <x:c r="Q852" s="48" t="n">
        <x:v>13</x:v>
      </x:c>
      <x:c r="R852" s="5" t="n">
        <x:v>5</x:v>
      </x:c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5" t="str">
        <x:v>ORD-01716</x:v>
      </x:c>
      <x:c r="B853" s="43" t="n">
        <x:v>46132</x:v>
      </x:c>
      <x:c r="C853" s="5" t="str">
        <x:v>CUST-0254</x:v>
      </x:c>
      <x:c r="D853" s="5" t="str">
        <x:v>FD005</x:v>
      </x:c>
      <x:c r="E853" s="5" t="str">
        <x:v>Yam Porridge</x:v>
      </x:c>
      <x:c r="F853" s="5" t="str">
        <x:v>Traditional Meals</x:v>
      </x:c>
      <x:c r="G853" s="44" t="n">
        <x:v>3</x:v>
      </x:c>
      <x:c r="H853" s="45" t="n">
        <x:v>2200</x:v>
      </x:c>
      <x:c r="I853" s="46" t="n">
        <x:v>0</x:v>
      </x:c>
      <x:c r="J853" s="47" t="n">
        <x:f>G853*H853*(1-I853)</x:f>
        <x:v>6600</x:v>
      </x:c>
      <x:c r="K853" s="47" t="n">
        <x:v>1050</x:v>
      </x:c>
      <x:c r="L853" s="47" t="n">
        <x:f>G853*K853</x:f>
        <x:v>3150</x:v>
      </x:c>
      <x:c r="M853" s="47" t="n">
        <x:f>J853-L853</x:f>
        <x:v>3450</x:v>
      </x:c>
      <x:c r="N853" s="5" t="str">
        <x:v>Walk-in</x:v>
      </x:c>
      <x:c r="O853" s="5" t="str">
        <x:v>POS</x:v>
      </x:c>
      <x:c r="P853" s="5" t="str">
        <x:v>Lunch</x:v>
      </x:c>
      <x:c r="Q853" s="48" t="n">
        <x:v>15</x:v>
      </x:c>
      <x:c r="R853" s="5" t="n">
        <x:v>5</x:v>
      </x:c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5" t="str">
        <x:v>ORD-01760</x:v>
      </x:c>
      <x:c r="B854" s="43" t="n">
        <x:v>46132</x:v>
      </x:c>
      <x:c r="C854" s="5" t="str">
        <x:v>CUST-0366</x:v>
      </x:c>
      <x:c r="D854" s="5" t="str">
        <x:v>FD001</x:v>
      </x:c>
      <x:c r="E854" s="5" t="str">
        <x:v>White Rice &amp; Stew</x:v>
      </x:c>
      <x:c r="F854" s="5" t="str">
        <x:v>Rice Meals</x:v>
      </x:c>
      <x:c r="G854" s="44" t="n">
        <x:v>4</x:v>
      </x:c>
      <x:c r="H854" s="45" t="n">
        <x:v>1800</x:v>
      </x:c>
      <x:c r="I854" s="46" t="n">
        <x:v>0</x:v>
      </x:c>
      <x:c r="J854" s="47" t="n">
        <x:f>G854*H854*(1-I854)</x:f>
        <x:v>7200</x:v>
      </x:c>
      <x:c r="K854" s="47" t="n">
        <x:v>820</x:v>
      </x:c>
      <x:c r="L854" s="47" t="n">
        <x:f>G854*K854</x:f>
        <x:v>3280</x:v>
      </x:c>
      <x:c r="M854" s="47" t="n">
        <x:f>J854-L854</x:f>
        <x:v>3920</x:v>
      </x:c>
      <x:c r="N854" s="5" t="str">
        <x:v>Walk-in</x:v>
      </x:c>
      <x:c r="O854" s="5" t="str">
        <x:v>Transfer</x:v>
      </x:c>
      <x:c r="P854" s="5" t="str">
        <x:v>Lunch</x:v>
      </x:c>
      <x:c r="Q854" s="48" t="n">
        <x:v>13</x:v>
      </x:c>
      <x:c r="R854" s="5" t="n">
        <x:v>4</x:v>
      </x:c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5" t="str">
        <x:v>ORD-00185</x:v>
      </x:c>
      <x:c r="B855" s="43" t="n">
        <x:v>46133</x:v>
      </x:c>
      <x:c r="C855" s="5" t="str">
        <x:v>CUST-0134</x:v>
      </x:c>
      <x:c r="D855" s="5" t="str">
        <x:v>FD003</x:v>
      </x:c>
      <x:c r="E855" s="5" t="str">
        <x:v>Fried Rice &amp; Chicken</x:v>
      </x:c>
      <x:c r="F855" s="5" t="str">
        <x:v>Rice Meals</x:v>
      </x:c>
      <x:c r="G855" s="44" t="n">
        <x:v>4</x:v>
      </x:c>
      <x:c r="H855" s="45" t="n">
        <x:v>3000</x:v>
      </x:c>
      <x:c r="I855" s="46" t="n">
        <x:v>0</x:v>
      </x:c>
      <x:c r="J855" s="47" t="n">
        <x:f>G855*H855*(1-I855)</x:f>
        <x:v>12000</x:v>
      </x:c>
      <x:c r="K855" s="47" t="n">
        <x:v>1580</x:v>
      </x:c>
      <x:c r="L855" s="47" t="n">
        <x:f>G855*K855</x:f>
        <x:v>6320</x:v>
      </x:c>
      <x:c r="M855" s="47" t="n">
        <x:f>J855-L855</x:f>
        <x:v>5680</x:v>
      </x:c>
      <x:c r="N855" s="5" t="str">
        <x:v>Delivery</x:v>
      </x:c>
      <x:c r="O855" s="5" t="str">
        <x:v>POS</x:v>
      </x:c>
      <x:c r="P855" s="5" t="str">
        <x:v>Dinner</x:v>
      </x:c>
      <x:c r="Q855" s="48" t="n">
        <x:v>19</x:v>
      </x:c>
      <x:c r="R855" s="5" t="n">
        <x:v>5</x:v>
      </x:c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5" t="str">
        <x:v>ORD-00225</x:v>
      </x:c>
      <x:c r="B856" s="43" t="n">
        <x:v>46133</x:v>
      </x:c>
      <x:c r="C856" s="5" t="str">
        <x:v>CUST-0463</x:v>
      </x:c>
      <x:c r="D856" s="5" t="str">
        <x:v>FD001</x:v>
      </x:c>
      <x:c r="E856" s="5" t="str">
        <x:v>White Rice &amp; Stew</x:v>
      </x:c>
      <x:c r="F856" s="5" t="str">
        <x:v>Rice Meals</x:v>
      </x:c>
      <x:c r="G856" s="44" t="n">
        <x:v>2</x:v>
      </x:c>
      <x:c r="H856" s="45" t="n">
        <x:v>1800</x:v>
      </x:c>
      <x:c r="I856" s="46" t="n">
        <x:v>0</x:v>
      </x:c>
      <x:c r="J856" s="47" t="n">
        <x:f>G856*H856*(1-I856)</x:f>
        <x:v>3600</x:v>
      </x:c>
      <x:c r="K856" s="47" t="n">
        <x:v>820</x:v>
      </x:c>
      <x:c r="L856" s="47" t="n">
        <x:f>G856*K856</x:f>
        <x:v>1640</x:v>
      </x:c>
      <x:c r="M856" s="47" t="n">
        <x:f>J856-L856</x:f>
        <x:v>1960</x:v>
      </x:c>
      <x:c r="N856" s="5" t="str">
        <x:v>Walk-in</x:v>
      </x:c>
      <x:c r="O856" s="5" t="str">
        <x:v>Cash</x:v>
      </x:c>
      <x:c r="P856" s="5" t="str">
        <x:v>Dinner</x:v>
      </x:c>
      <x:c r="Q856" s="48" t="n">
        <x:v>19</x:v>
      </x:c>
      <x:c r="R856" s="5" t="n">
        <x:v>5</x:v>
      </x:c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5" t="str">
        <x:v>ORD-00453</x:v>
      </x:c>
      <x:c r="B857" s="43" t="n">
        <x:v>46133</x:v>
      </x:c>
      <x:c r="C857" s="5" t="str">
        <x:v>CUST-0625</x:v>
      </x:c>
      <x:c r="D857" s="5" t="str">
        <x:v>FD011</x:v>
      </x:c>
      <x:c r="E857" s="5" t="str">
        <x:v>Bottled Water</x:v>
      </x:c>
      <x:c r="F857" s="5" t="str">
        <x:v>Beverages</x:v>
      </x:c>
      <x:c r="G857" s="44" t="n">
        <x:v>1</x:v>
      </x:c>
      <x:c r="H857" s="45" t="n">
        <x:v>300</x:v>
      </x:c>
      <x:c r="I857" s="46" t="n">
        <x:v>0</x:v>
      </x:c>
      <x:c r="J857" s="47" t="n">
        <x:f>G857*H857*(1-I857)</x:f>
        <x:v>300</x:v>
      </x:c>
      <x:c r="K857" s="47" t="n">
        <x:v>120</x:v>
      </x:c>
      <x:c r="L857" s="47" t="n">
        <x:f>G857*K857</x:f>
        <x:v>120</x:v>
      </x:c>
      <x:c r="M857" s="47" t="n">
        <x:f>J857-L857</x:f>
        <x:v>180</x:v>
      </x:c>
      <x:c r="N857" s="5" t="str">
        <x:v>Walk-in</x:v>
      </x:c>
      <x:c r="O857" s="5" t="str">
        <x:v>POS</x:v>
      </x:c>
      <x:c r="P857" s="5" t="str">
        <x:v>Lunch</x:v>
      </x:c>
      <x:c r="Q857" s="48" t="n">
        <x:v>13</x:v>
      </x:c>
      <x:c r="R857" s="5" t="n">
        <x:v>4</x:v>
      </x:c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5" t="str">
        <x:v>ORD-00786</x:v>
      </x:c>
      <x:c r="B858" s="43" t="n">
        <x:v>46133</x:v>
      </x:c>
      <x:c r="C858" s="5" t="str">
        <x:v>CUST-0348</x:v>
      </x:c>
      <x:c r="D858" s="5" t="str">
        <x:v>FD002</x:v>
      </x:c>
      <x:c r="E858" s="5" t="str">
        <x:v>Jollof Rice &amp; Chicken</x:v>
      </x:c>
      <x:c r="F858" s="5" t="str">
        <x:v>Rice Meals</x:v>
      </x:c>
      <x:c r="G858" s="44" t="n">
        <x:v>4</x:v>
      </x:c>
      <x:c r="H858" s="45" t="n">
        <x:v>2800</x:v>
      </x:c>
      <x:c r="I858" s="46" t="n">
        <x:v>0</x:v>
      </x:c>
      <x:c r="J858" s="47" t="n">
        <x:f>G858*H858*(1-I858)</x:f>
        <x:v>11200</x:v>
      </x:c>
      <x:c r="K858" s="47" t="n">
        <x:v>1450</x:v>
      </x:c>
      <x:c r="L858" s="47" t="n">
        <x:f>G858*K858</x:f>
        <x:v>5800</x:v>
      </x:c>
      <x:c r="M858" s="47" t="n">
        <x:f>J858-L858</x:f>
        <x:v>5400</x:v>
      </x:c>
      <x:c r="N858" s="5" t="str">
        <x:v>Takeaway</x:v>
      </x:c>
      <x:c r="O858" s="5" t="str">
        <x:v>Cash</x:v>
      </x:c>
      <x:c r="P858" s="5" t="str">
        <x:v>Lunch</x:v>
      </x:c>
      <x:c r="Q858" s="48" t="n">
        <x:v>14</x:v>
      </x:c>
      <x:c r="R858" s="5" t="n">
        <x:v>4</x:v>
      </x:c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5" t="str">
        <x:v>ORD-00806</x:v>
      </x:c>
      <x:c r="B859" s="43" t="n">
        <x:v>46133</x:v>
      </x:c>
      <x:c r="C859" s="5" t="str">
        <x:v>CUST-0319</x:v>
      </x:c>
      <x:c r="D859" s="5" t="str">
        <x:v>FD004</x:v>
      </x:c>
      <x:c r="E859" s="5" t="str">
        <x:v>Beans &amp; Plantain</x:v>
      </x:c>
      <x:c r="F859" s="5" t="str">
        <x:v>Traditional Meals</x:v>
      </x:c>
      <x:c r="G859" s="44" t="n">
        <x:v>2</x:v>
      </x:c>
      <x:c r="H859" s="45" t="n">
        <x:v>2000</x:v>
      </x:c>
      <x:c r="I859" s="46" t="n">
        <x:v>0</x:v>
      </x:c>
      <x:c r="J859" s="47" t="n">
        <x:f>G859*H859*(1-I859)</x:f>
        <x:v>4000</x:v>
      </x:c>
      <x:c r="K859" s="47" t="n">
        <x:v>960</x:v>
      </x:c>
      <x:c r="L859" s="47" t="n">
        <x:f>G859*K859</x:f>
        <x:v>1920</x:v>
      </x:c>
      <x:c r="M859" s="47" t="n">
        <x:f>J859-L859</x:f>
        <x:v>2080</x:v>
      </x:c>
      <x:c r="N859" s="5" t="str">
        <x:v>Delivery</x:v>
      </x:c>
      <x:c r="O859" s="5" t="str">
        <x:v>Cash</x:v>
      </x:c>
      <x:c r="P859" s="5" t="str">
        <x:v>Dinner</x:v>
      </x:c>
      <x:c r="Q859" s="48" t="n">
        <x:v>17</x:v>
      </x:c>
      <x:c r="R859" s="5" t="n">
        <x:v>4</x:v>
      </x:c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5" t="str">
        <x:v>ORD-01507</x:v>
      </x:c>
      <x:c r="B860" s="43" t="n">
        <x:v>46133</x:v>
      </x:c>
      <x:c r="C860" s="5" t="str">
        <x:v>CUST-0533</x:v>
      </x:c>
      <x:c r="D860" s="5" t="str">
        <x:v>FD004</x:v>
      </x:c>
      <x:c r="E860" s="5" t="str">
        <x:v>Beans &amp; Plantain</x:v>
      </x:c>
      <x:c r="F860" s="5" t="str">
        <x:v>Traditional Meals</x:v>
      </x:c>
      <x:c r="G860" s="44" t="n">
        <x:v>4</x:v>
      </x:c>
      <x:c r="H860" s="45" t="n">
        <x:v>2000</x:v>
      </x:c>
      <x:c r="I860" s="46" t="n">
        <x:v>0</x:v>
      </x:c>
      <x:c r="J860" s="47" t="n">
        <x:f>G860*H860*(1-I860)</x:f>
        <x:v>8000</x:v>
      </x:c>
      <x:c r="K860" s="47" t="n">
        <x:v>960</x:v>
      </x:c>
      <x:c r="L860" s="47" t="n">
        <x:f>G860*K860</x:f>
        <x:v>3840</x:v>
      </x:c>
      <x:c r="M860" s="47" t="n">
        <x:f>J860-L860</x:f>
        <x:v>4160</x:v>
      </x:c>
      <x:c r="N860" s="5" t="str">
        <x:v>Takeaway</x:v>
      </x:c>
      <x:c r="O860" s="5" t="str">
        <x:v>Cash</x:v>
      </x:c>
      <x:c r="P860" s="5" t="str">
        <x:v>Breakfast</x:v>
      </x:c>
      <x:c r="Q860" s="48" t="n">
        <x:v>9</x:v>
      </x:c>
      <x:c r="R860" s="5" t="n">
        <x:v>4</x:v>
      </x:c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5" t="str">
        <x:v>ORD-00648</x:v>
      </x:c>
      <x:c r="B861" s="43" t="n">
        <x:v>46134</x:v>
      </x:c>
      <x:c r="C861" s="5" t="str">
        <x:v>CUST-0346</x:v>
      </x:c>
      <x:c r="D861" s="5" t="str">
        <x:v>FD006</x:v>
      </x:c>
      <x:c r="E861" s="5" t="str">
        <x:v>Eba &amp; Egusi Soup</x:v>
      </x:c>
      <x:c r="F861" s="5" t="str">
        <x:v>Swallow</x:v>
      </x:c>
      <x:c r="G861" s="44" t="n">
        <x:v>1</x:v>
      </x:c>
      <x:c r="H861" s="45" t="n">
        <x:v>2600</x:v>
      </x:c>
      <x:c r="I861" s="46" t="n">
        <x:v>0.05</x:v>
      </x:c>
      <x:c r="J861" s="47" t="n">
        <x:f>G861*H861*(1-I861)</x:f>
        <x:v>2470</x:v>
      </x:c>
      <x:c r="K861" s="47" t="n">
        <x:v>1320</x:v>
      </x:c>
      <x:c r="L861" s="47" t="n">
        <x:f>G861*K861</x:f>
        <x:v>1320</x:v>
      </x:c>
      <x:c r="M861" s="47" t="n">
        <x:f>J861-L861</x:f>
        <x:v>1150</x:v>
      </x:c>
      <x:c r="N861" s="5" t="str">
        <x:v>Takeaway</x:v>
      </x:c>
      <x:c r="O861" s="5" t="str">
        <x:v>POS</x:v>
      </x:c>
      <x:c r="P861" s="5" t="str">
        <x:v>Lunch</x:v>
      </x:c>
      <x:c r="Q861" s="48" t="n">
        <x:v>13</x:v>
      </x:c>
      <x:c r="R861" s="5" t="n">
        <x:v>3</x:v>
      </x:c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5" t="str">
        <x:v>ORD-00714</x:v>
      </x:c>
      <x:c r="B862" s="43" t="n">
        <x:v>46134</x:v>
      </x:c>
      <x:c r="C862" s="5" t="str">
        <x:v>CUST-0076</x:v>
      </x:c>
      <x:c r="D862" s="5" t="str">
        <x:v>FD003</x:v>
      </x:c>
      <x:c r="E862" s="5" t="str">
        <x:v>Fried Rice &amp; Chicken</x:v>
      </x:c>
      <x:c r="F862" s="5" t="str">
        <x:v>Rice Meals</x:v>
      </x:c>
      <x:c r="G862" s="44" t="n">
        <x:v>1</x:v>
      </x:c>
      <x:c r="H862" s="45" t="n">
        <x:v>3000</x:v>
      </x:c>
      <x:c r="I862" s="46" t="n">
        <x:v>0</x:v>
      </x:c>
      <x:c r="J862" s="47" t="n">
        <x:f>G862*H862*(1-I862)</x:f>
        <x:v>3000</x:v>
      </x:c>
      <x:c r="K862" s="47" t="n">
        <x:v>1580</x:v>
      </x:c>
      <x:c r="L862" s="47" t="n">
        <x:f>G862*K862</x:f>
        <x:v>1580</x:v>
      </x:c>
      <x:c r="M862" s="47" t="n">
        <x:f>J862-L862</x:f>
        <x:v>1420</x:v>
      </x:c>
      <x:c r="N862" s="5" t="str">
        <x:v>Takeaway</x:v>
      </x:c>
      <x:c r="O862" s="5" t="str">
        <x:v>Transfer</x:v>
      </x:c>
      <x:c r="P862" s="5" t="str">
        <x:v>Dinner</x:v>
      </x:c>
      <x:c r="Q862" s="48" t="n">
        <x:v>16</x:v>
      </x:c>
      <x:c r="R862" s="5" t="n">
        <x:v>3</x:v>
      </x:c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5" t="str">
        <x:v>ORD-00779</x:v>
      </x:c>
      <x:c r="B863" s="43" t="n">
        <x:v>46134</x:v>
      </x:c>
      <x:c r="C863" s="5" t="str">
        <x:v>CUST-0184</x:v>
      </x:c>
      <x:c r="D863" s="5" t="str">
        <x:v>FD001</x:v>
      </x:c>
      <x:c r="E863" s="5" t="str">
        <x:v>White Rice &amp; Stew</x:v>
      </x:c>
      <x:c r="F863" s="5" t="str">
        <x:v>Rice Meals</x:v>
      </x:c>
      <x:c r="G863" s="44" t="n">
        <x:v>1</x:v>
      </x:c>
      <x:c r="H863" s="45" t="n">
        <x:v>1800</x:v>
      </x:c>
      <x:c r="I863" s="46" t="n">
        <x:v>0</x:v>
      </x:c>
      <x:c r="J863" s="47" t="n">
        <x:f>G863*H863*(1-I863)</x:f>
        <x:v>1800</x:v>
      </x:c>
      <x:c r="K863" s="47" t="n">
        <x:v>820</x:v>
      </x:c>
      <x:c r="L863" s="47" t="n">
        <x:f>G863*K863</x:f>
        <x:v>820</x:v>
      </x:c>
      <x:c r="M863" s="47" t="n">
        <x:f>J863-L863</x:f>
        <x:v>980</x:v>
      </x:c>
      <x:c r="N863" s="5" t="str">
        <x:v>Delivery</x:v>
      </x:c>
      <x:c r="O863" s="5" t="str">
        <x:v>Cash</x:v>
      </x:c>
      <x:c r="P863" s="5" t="str">
        <x:v>Lunch</x:v>
      </x:c>
      <x:c r="Q863" s="48" t="n">
        <x:v>14</x:v>
      </x:c>
      <x:c r="R863" s="5" t="n">
        <x:v>4</x:v>
      </x:c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5" t="str">
        <x:v>ORD-00947</x:v>
      </x:c>
      <x:c r="B864" s="43" t="n">
        <x:v>46134</x:v>
      </x:c>
      <x:c r="C864" s="5" t="str">
        <x:v>CUST-0322</x:v>
      </x:c>
      <x:c r="D864" s="5" t="str">
        <x:v>FD007</x:v>
      </x:c>
      <x:c r="E864" s="5" t="str">
        <x:v>Amala &amp; Ewedu</x:v>
      </x:c>
      <x:c r="F864" s="5" t="str">
        <x:v>Swallow</x:v>
      </x:c>
      <x:c r="G864" s="44" t="n">
        <x:v>4</x:v>
      </x:c>
      <x:c r="H864" s="45" t="n">
        <x:v>2500</x:v>
      </x:c>
      <x:c r="I864" s="46" t="n">
        <x:v>0</x:v>
      </x:c>
      <x:c r="J864" s="47" t="n">
        <x:f>G864*H864*(1-I864)</x:f>
        <x:v>10000</x:v>
      </x:c>
      <x:c r="K864" s="47" t="n">
        <x:v>1250</x:v>
      </x:c>
      <x:c r="L864" s="47" t="n">
        <x:f>G864*K864</x:f>
        <x:v>5000</x:v>
      </x:c>
      <x:c r="M864" s="47" t="n">
        <x:f>J864-L864</x:f>
        <x:v>5000</x:v>
      </x:c>
      <x:c r="N864" s="5" t="str">
        <x:v>Takeaway</x:v>
      </x:c>
      <x:c r="O864" s="5" t="str">
        <x:v>Transfer</x:v>
      </x:c>
      <x:c r="P864" s="5" t="str">
        <x:v>Dinner</x:v>
      </x:c>
      <x:c r="Q864" s="48" t="n">
        <x:v>18</x:v>
      </x:c>
      <x:c r="R864" s="5" t="n">
        <x:v>5</x:v>
      </x:c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5" t="str">
        <x:v>ORD-00977</x:v>
      </x:c>
      <x:c r="B865" s="43" t="n">
        <x:v>46134</x:v>
      </x:c>
      <x:c r="C865" s="5" t="str">
        <x:v>CUST-0052</x:v>
      </x:c>
      <x:c r="D865" s="5" t="str">
        <x:v>FD009</x:v>
      </x:c>
      <x:c r="E865" s="5" t="str">
        <x:v>Moi Moi</x:v>
      </x:c>
      <x:c r="F865" s="5" t="str">
        <x:v>Sides</x:v>
      </x:c>
      <x:c r="G865" s="44" t="n">
        <x:v>2</x:v>
      </x:c>
      <x:c r="H865" s="45" t="n">
        <x:v>900</x:v>
      </x:c>
      <x:c r="I865" s="46" t="n">
        <x:v>0</x:v>
      </x:c>
      <x:c r="J865" s="47" t="n">
        <x:f>G865*H865*(1-I865)</x:f>
        <x:v>1800</x:v>
      </x:c>
      <x:c r="K865" s="47" t="n">
        <x:v>380</x:v>
      </x:c>
      <x:c r="L865" s="47" t="n">
        <x:f>G865*K865</x:f>
        <x:v>760</x:v>
      </x:c>
      <x:c r="M865" s="47" t="n">
        <x:f>J865-L865</x:f>
        <x:v>1040</x:v>
      </x:c>
      <x:c r="N865" s="5" t="str">
        <x:v>Walk-in</x:v>
      </x:c>
      <x:c r="O865" s="5" t="str">
        <x:v>Transfer</x:v>
      </x:c>
      <x:c r="P865" s="5" t="str">
        <x:v>Breakfast</x:v>
      </x:c>
      <x:c r="Q865" s="48" t="n">
        <x:v>8</x:v>
      </x:c>
      <x:c r="R865" s="5" t="n">
        <x:v>4</x:v>
      </x:c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5" t="str">
        <x:v>ORD-01019</x:v>
      </x:c>
      <x:c r="B866" s="43" t="n">
        <x:v>46134</x:v>
      </x:c>
      <x:c r="C866" s="5" t="str">
        <x:v>CUST-0530</x:v>
      </x:c>
      <x:c r="D866" s="5" t="str">
        <x:v>FD010</x:v>
      </x:c>
      <x:c r="E866" s="5" t="str">
        <x:v>Soft Drink</x:v>
      </x:c>
      <x:c r="F866" s="5" t="str">
        <x:v>Beverages</x:v>
      </x:c>
      <x:c r="G866" s="44" t="n">
        <x:v>2</x:v>
      </x:c>
      <x:c r="H866" s="45" t="n">
        <x:v>600</x:v>
      </x:c>
      <x:c r="I866" s="46" t="n">
        <x:v>0</x:v>
      </x:c>
      <x:c r="J866" s="47" t="n">
        <x:f>G866*H866*(1-I866)</x:f>
        <x:v>1200</x:v>
      </x:c>
      <x:c r="K866" s="47" t="n">
        <x:v>280</x:v>
      </x:c>
      <x:c r="L866" s="47" t="n">
        <x:f>G866*K866</x:f>
        <x:v>560</x:v>
      </x:c>
      <x:c r="M866" s="47" t="n">
        <x:f>J866-L866</x:f>
        <x:v>640</x:v>
      </x:c>
      <x:c r="N866" s="5" t="str">
        <x:v>Walk-in</x:v>
      </x:c>
      <x:c r="O866" s="5" t="str">
        <x:v>Cash</x:v>
      </x:c>
      <x:c r="P866" s="5" t="str">
        <x:v>Lunch</x:v>
      </x:c>
      <x:c r="Q866" s="48" t="n">
        <x:v>12</x:v>
      </x:c>
      <x:c r="R866" s="5" t="n">
        <x:v>5</x:v>
      </x:c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5" t="str">
        <x:v>ORD-01146</x:v>
      </x:c>
      <x:c r="B867" s="43" t="n">
        <x:v>46134</x:v>
      </x:c>
      <x:c r="C867" s="5" t="str">
        <x:v>CUST-0522</x:v>
      </x:c>
      <x:c r="D867" s="5" t="str">
        <x:v>FD005</x:v>
      </x:c>
      <x:c r="E867" s="5" t="str">
        <x:v>Yam Porridge</x:v>
      </x:c>
      <x:c r="F867" s="5" t="str">
        <x:v>Traditional Meals</x:v>
      </x:c>
      <x:c r="G867" s="44" t="n">
        <x:v>4</x:v>
      </x:c>
      <x:c r="H867" s="45" t="n">
        <x:v>2200</x:v>
      </x:c>
      <x:c r="I867" s="46" t="n">
        <x:v>0</x:v>
      </x:c>
      <x:c r="J867" s="47" t="n">
        <x:f>G867*H867*(1-I867)</x:f>
        <x:v>8800</x:v>
      </x:c>
      <x:c r="K867" s="47" t="n">
        <x:v>1050</x:v>
      </x:c>
      <x:c r="L867" s="47" t="n">
        <x:f>G867*K867</x:f>
        <x:v>4200</x:v>
      </x:c>
      <x:c r="M867" s="47" t="n">
        <x:f>J867-L867</x:f>
        <x:v>4600</x:v>
      </x:c>
      <x:c r="N867" s="5" t="str">
        <x:v>Takeaway</x:v>
      </x:c>
      <x:c r="O867" s="5" t="str">
        <x:v>POS</x:v>
      </x:c>
      <x:c r="P867" s="5" t="str">
        <x:v>Lunch</x:v>
      </x:c>
      <x:c r="Q867" s="48" t="n">
        <x:v>15</x:v>
      </x:c>
      <x:c r="R867" s="5" t="n">
        <x:v>4</x:v>
      </x:c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5" t="str">
        <x:v>ORD-01557</x:v>
      </x:c>
      <x:c r="B868" s="43" t="n">
        <x:v>46134</x:v>
      </x:c>
      <x:c r="C868" s="5" t="str">
        <x:v>CUST-0246</x:v>
      </x:c>
      <x:c r="D868" s="5" t="str">
        <x:v>FD010</x:v>
      </x:c>
      <x:c r="E868" s="5" t="str">
        <x:v>Soft Drink</x:v>
      </x:c>
      <x:c r="F868" s="5" t="str">
        <x:v>Beverages</x:v>
      </x:c>
      <x:c r="G868" s="44" t="n">
        <x:v>3</x:v>
      </x:c>
      <x:c r="H868" s="45" t="n">
        <x:v>600</x:v>
      </x:c>
      <x:c r="I868" s="46" t="n">
        <x:v>0</x:v>
      </x:c>
      <x:c r="J868" s="47" t="n">
        <x:f>G868*H868*(1-I868)</x:f>
        <x:v>1800</x:v>
      </x:c>
      <x:c r="K868" s="47" t="n">
        <x:v>280</x:v>
      </x:c>
      <x:c r="L868" s="47" t="n">
        <x:f>G868*K868</x:f>
        <x:v>840</x:v>
      </x:c>
      <x:c r="M868" s="47" t="n">
        <x:f>J868-L868</x:f>
        <x:v>960</x:v>
      </x:c>
      <x:c r="N868" s="5" t="str">
        <x:v>Walk-in</x:v>
      </x:c>
      <x:c r="O868" s="5" t="str">
        <x:v>POS</x:v>
      </x:c>
      <x:c r="P868" s="5" t="str">
        <x:v>Dinner</x:v>
      </x:c>
      <x:c r="Q868" s="48" t="n">
        <x:v>17</x:v>
      </x:c>
      <x:c r="R868" s="5" t="n">
        <x:v>4</x:v>
      </x:c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5" t="str">
        <x:v>ORD-01730</x:v>
      </x:c>
      <x:c r="B869" s="43" t="n">
        <x:v>46134</x:v>
      </x:c>
      <x:c r="C869" s="5" t="str">
        <x:v>CUST-0514</x:v>
      </x:c>
      <x:c r="D869" s="5" t="str">
        <x:v>FD004</x:v>
      </x:c>
      <x:c r="E869" s="5" t="str">
        <x:v>Beans &amp; Plantain</x:v>
      </x:c>
      <x:c r="F869" s="5" t="str">
        <x:v>Traditional Meals</x:v>
      </x:c>
      <x:c r="G869" s="44" t="n">
        <x:v>3</x:v>
      </x:c>
      <x:c r="H869" s="45" t="n">
        <x:v>2000</x:v>
      </x:c>
      <x:c r="I869" s="46" t="n">
        <x:v>0</x:v>
      </x:c>
      <x:c r="J869" s="47" t="n">
        <x:f>G869*H869*(1-I869)</x:f>
        <x:v>6000</x:v>
      </x:c>
      <x:c r="K869" s="47" t="n">
        <x:v>960</x:v>
      </x:c>
      <x:c r="L869" s="47" t="n">
        <x:f>G869*K869</x:f>
        <x:v>2880</x:v>
      </x:c>
      <x:c r="M869" s="47" t="n">
        <x:f>J869-L869</x:f>
        <x:v>3120</x:v>
      </x:c>
      <x:c r="N869" s="5" t="str">
        <x:v>Delivery</x:v>
      </x:c>
      <x:c r="O869" s="5" t="str">
        <x:v>POS</x:v>
      </x:c>
      <x:c r="P869" s="5" t="str">
        <x:v>Dinner</x:v>
      </x:c>
      <x:c r="Q869" s="48" t="n">
        <x:v>16</x:v>
      </x:c>
      <x:c r="R869" s="5" t="n">
        <x:v>3</x:v>
      </x:c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5" t="str">
        <x:v>ORD-00020</x:v>
      </x:c>
      <x:c r="B870" s="43" t="n">
        <x:v>46135</x:v>
      </x:c>
      <x:c r="C870" s="5" t="str">
        <x:v>CUST-0274</x:v>
      </x:c>
      <x:c r="D870" s="5" t="str">
        <x:v>FD002</x:v>
      </x:c>
      <x:c r="E870" s="5" t="str">
        <x:v>Jollof Rice &amp; Chicken</x:v>
      </x:c>
      <x:c r="F870" s="5" t="str">
        <x:v>Rice Meals</x:v>
      </x:c>
      <x:c r="G870" s="44" t="n">
        <x:v>4</x:v>
      </x:c>
      <x:c r="H870" s="45" t="n">
        <x:v>2800</x:v>
      </x:c>
      <x:c r="I870" s="46" t="n">
        <x:v>0</x:v>
      </x:c>
      <x:c r="J870" s="47" t="n">
        <x:f>G870*H870*(1-I870)</x:f>
        <x:v>11200</x:v>
      </x:c>
      <x:c r="K870" s="47" t="n">
        <x:v>1450</x:v>
      </x:c>
      <x:c r="L870" s="47" t="n">
        <x:f>G870*K870</x:f>
        <x:v>5800</x:v>
      </x:c>
      <x:c r="M870" s="47" t="n">
        <x:f>J870-L870</x:f>
        <x:v>5400</x:v>
      </x:c>
      <x:c r="N870" s="5" t="str">
        <x:v>Takeaway</x:v>
      </x:c>
      <x:c r="O870" s="5" t="str">
        <x:v>POS</x:v>
      </x:c>
      <x:c r="P870" s="5" t="str">
        <x:v>Lunch</x:v>
      </x:c>
      <x:c r="Q870" s="48" t="n">
        <x:v>11</x:v>
      </x:c>
      <x:c r="R870" s="5" t="n">
        <x:v>4</x:v>
      </x:c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5" t="str">
        <x:v>ORD-00359</x:v>
      </x:c>
      <x:c r="B871" s="43" t="n">
        <x:v>46135</x:v>
      </x:c>
      <x:c r="C871" s="5" t="str">
        <x:v>CUST-0385</x:v>
      </x:c>
      <x:c r="D871" s="5" t="str">
        <x:v>FD003</x:v>
      </x:c>
      <x:c r="E871" s="5" t="str">
        <x:v>Fried Rice &amp; Chicken</x:v>
      </x:c>
      <x:c r="F871" s="5" t="str">
        <x:v>Rice Meals</x:v>
      </x:c>
      <x:c r="G871" s="44" t="n">
        <x:v>3</x:v>
      </x:c>
      <x:c r="H871" s="45" t="n">
        <x:v>3000</x:v>
      </x:c>
      <x:c r="I871" s="46" t="n">
        <x:v>0</x:v>
      </x:c>
      <x:c r="J871" s="47" t="n">
        <x:f>G871*H871*(1-I871)</x:f>
        <x:v>9000</x:v>
      </x:c>
      <x:c r="K871" s="47" t="n">
        <x:v>1580</x:v>
      </x:c>
      <x:c r="L871" s="47" t="n">
        <x:f>G871*K871</x:f>
        <x:v>4740</x:v>
      </x:c>
      <x:c r="M871" s="47" t="n">
        <x:f>J871-L871</x:f>
        <x:v>4260</x:v>
      </x:c>
      <x:c r="N871" s="5" t="str">
        <x:v>Walk-in</x:v>
      </x:c>
      <x:c r="O871" s="5" t="str">
        <x:v>Transfer</x:v>
      </x:c>
      <x:c r="P871" s="5" t="str">
        <x:v>Lunch</x:v>
      </x:c>
      <x:c r="Q871" s="48" t="n">
        <x:v>15</x:v>
      </x:c>
      <x:c r="R871" s="5" t="n">
        <x:v>5</x:v>
      </x:c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5" t="str">
        <x:v>ORD-01311</x:v>
      </x:c>
      <x:c r="B872" s="43" t="n">
        <x:v>46135</x:v>
      </x:c>
      <x:c r="C872" s="5" t="str">
        <x:v>CUST-0650</x:v>
      </x:c>
      <x:c r="D872" s="5" t="str">
        <x:v>FD001</x:v>
      </x:c>
      <x:c r="E872" s="5" t="str">
        <x:v>White Rice &amp; Stew</x:v>
      </x:c>
      <x:c r="F872" s="5" t="str">
        <x:v>Rice Meals</x:v>
      </x:c>
      <x:c r="G872" s="44" t="n">
        <x:v>4</x:v>
      </x:c>
      <x:c r="H872" s="45" t="n">
        <x:v>1800</x:v>
      </x:c>
      <x:c r="I872" s="46" t="n">
        <x:v>0</x:v>
      </x:c>
      <x:c r="J872" s="47" t="n">
        <x:f>G872*H872*(1-I872)</x:f>
        <x:v>7200</x:v>
      </x:c>
      <x:c r="K872" s="47" t="n">
        <x:v>820</x:v>
      </x:c>
      <x:c r="L872" s="47" t="n">
        <x:f>G872*K872</x:f>
        <x:v>3280</x:v>
      </x:c>
      <x:c r="M872" s="47" t="n">
        <x:f>J872-L872</x:f>
        <x:v>3920</x:v>
      </x:c>
      <x:c r="N872" s="5" t="str">
        <x:v>Delivery</x:v>
      </x:c>
      <x:c r="O872" s="5" t="str">
        <x:v>POS</x:v>
      </x:c>
      <x:c r="P872" s="5" t="str">
        <x:v>Lunch</x:v>
      </x:c>
      <x:c r="Q872" s="48" t="n">
        <x:v>15</x:v>
      </x:c>
      <x:c r="R872" s="5" t="n">
        <x:v>5</x:v>
      </x:c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5" t="str">
        <x:v>ORD-01360</x:v>
      </x:c>
      <x:c r="B873" s="43" t="n">
        <x:v>46135</x:v>
      </x:c>
      <x:c r="C873" s="5" t="str">
        <x:v>CUST-0003</x:v>
      </x:c>
      <x:c r="D873" s="5" t="str">
        <x:v>FD003</x:v>
      </x:c>
      <x:c r="E873" s="5" t="str">
        <x:v>Fried Rice &amp; Chicken</x:v>
      </x:c>
      <x:c r="F873" s="5" t="str">
        <x:v>Rice Meals</x:v>
      </x:c>
      <x:c r="G873" s="44" t="n">
        <x:v>1</x:v>
      </x:c>
      <x:c r="H873" s="45" t="n">
        <x:v>3000</x:v>
      </x:c>
      <x:c r="I873" s="46" t="n">
        <x:v>0</x:v>
      </x:c>
      <x:c r="J873" s="47" t="n">
        <x:f>G873*H873*(1-I873)</x:f>
        <x:v>3000</x:v>
      </x:c>
      <x:c r="K873" s="47" t="n">
        <x:v>1580</x:v>
      </x:c>
      <x:c r="L873" s="47" t="n">
        <x:f>G873*K873</x:f>
        <x:v>1580</x:v>
      </x:c>
      <x:c r="M873" s="47" t="n">
        <x:f>J873-L873</x:f>
        <x:v>1420</x:v>
      </x:c>
      <x:c r="N873" s="5" t="str">
        <x:v>Takeaway</x:v>
      </x:c>
      <x:c r="O873" s="5" t="str">
        <x:v>Cash</x:v>
      </x:c>
      <x:c r="P873" s="5" t="str">
        <x:v>Breakfast</x:v>
      </x:c>
      <x:c r="Q873" s="48" t="n">
        <x:v>8</x:v>
      </x:c>
      <x:c r="R873" s="5" t="n">
        <x:v>5</x:v>
      </x:c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5" t="str">
        <x:v>ORD-01712</x:v>
      </x:c>
      <x:c r="B874" s="43" t="n">
        <x:v>46135</x:v>
      </x:c>
      <x:c r="C874" s="5" t="str">
        <x:v>CUST-0056</x:v>
      </x:c>
      <x:c r="D874" s="5" t="str">
        <x:v>FD010</x:v>
      </x:c>
      <x:c r="E874" s="5" t="str">
        <x:v>Soft Drink</x:v>
      </x:c>
      <x:c r="F874" s="5" t="str">
        <x:v>Beverages</x:v>
      </x:c>
      <x:c r="G874" s="44" t="n">
        <x:v>3</x:v>
      </x:c>
      <x:c r="H874" s="45" t="n">
        <x:v>600</x:v>
      </x:c>
      <x:c r="I874" s="46" t="n">
        <x:v>0</x:v>
      </x:c>
      <x:c r="J874" s="47" t="n">
        <x:f>G874*H874*(1-I874)</x:f>
        <x:v>1800</x:v>
      </x:c>
      <x:c r="K874" s="47" t="n">
        <x:v>280</x:v>
      </x:c>
      <x:c r="L874" s="47" t="n">
        <x:f>G874*K874</x:f>
        <x:v>840</x:v>
      </x:c>
      <x:c r="M874" s="47" t="n">
        <x:f>J874-L874</x:f>
        <x:v>960</x:v>
      </x:c>
      <x:c r="N874" s="5" t="str">
        <x:v>Takeaway</x:v>
      </x:c>
      <x:c r="O874" s="5" t="str">
        <x:v>POS</x:v>
      </x:c>
      <x:c r="P874" s="5" t="str">
        <x:v>Dinner</x:v>
      </x:c>
      <x:c r="Q874" s="48" t="n">
        <x:v>18</x:v>
      </x:c>
      <x:c r="R874" s="5" t="n">
        <x:v>4</x:v>
      </x:c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5" t="str">
        <x:v>ORD-00040</x:v>
      </x:c>
      <x:c r="B875" s="43" t="n">
        <x:v>46136</x:v>
      </x:c>
      <x:c r="C875" s="5" t="str">
        <x:v>CUST-0183</x:v>
      </x:c>
      <x:c r="D875" s="5" t="str">
        <x:v>FD012</x:v>
      </x:c>
      <x:c r="E875" s="5" t="str">
        <x:v>Fried Plantain</x:v>
      </x:c>
      <x:c r="F875" s="5" t="str">
        <x:v>Sides</x:v>
      </x:c>
      <x:c r="G875" s="44" t="n">
        <x:v>2</x:v>
      </x:c>
      <x:c r="H875" s="45" t="n">
        <x:v>700</x:v>
      </x:c>
      <x:c r="I875" s="46" t="n">
        <x:v>0</x:v>
      </x:c>
      <x:c r="J875" s="47" t="n">
        <x:f>G875*H875*(1-I875)</x:f>
        <x:v>1400</x:v>
      </x:c>
      <x:c r="K875" s="47" t="n">
        <x:v>300</x:v>
      </x:c>
      <x:c r="L875" s="47" t="n">
        <x:f>G875*K875</x:f>
        <x:v>600</x:v>
      </x:c>
      <x:c r="M875" s="47" t="n">
        <x:f>J875-L875</x:f>
        <x:v>800</x:v>
      </x:c>
      <x:c r="N875" s="5" t="str">
        <x:v>Takeaway</x:v>
      </x:c>
      <x:c r="O875" s="5" t="str">
        <x:v>POS</x:v>
      </x:c>
      <x:c r="P875" s="5" t="str">
        <x:v>Lunch</x:v>
      </x:c>
      <x:c r="Q875" s="48" t="n">
        <x:v>12</x:v>
      </x:c>
      <x:c r="R875" s="5" t="n">
        <x:v>4</x:v>
      </x:c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5" t="str">
        <x:v>ORD-00441</x:v>
      </x:c>
      <x:c r="B876" s="43" t="n">
        <x:v>46136</x:v>
      </x:c>
      <x:c r="C876" s="5" t="str">
        <x:v>CUST-0190</x:v>
      </x:c>
      <x:c r="D876" s="5" t="str">
        <x:v>FD003</x:v>
      </x:c>
      <x:c r="E876" s="5" t="str">
        <x:v>Fried Rice &amp; Chicken</x:v>
      </x:c>
      <x:c r="F876" s="5" t="str">
        <x:v>Rice Meals</x:v>
      </x:c>
      <x:c r="G876" s="44" t="n">
        <x:v>1</x:v>
      </x:c>
      <x:c r="H876" s="45" t="n">
        <x:v>3000</x:v>
      </x:c>
      <x:c r="I876" s="46" t="n">
        <x:v>0</x:v>
      </x:c>
      <x:c r="J876" s="47" t="n">
        <x:f>G876*H876*(1-I876)</x:f>
        <x:v>3000</x:v>
      </x:c>
      <x:c r="K876" s="47" t="n">
        <x:v>1580</x:v>
      </x:c>
      <x:c r="L876" s="47" t="n">
        <x:f>G876*K876</x:f>
        <x:v>1580</x:v>
      </x:c>
      <x:c r="M876" s="47" t="n">
        <x:f>J876-L876</x:f>
        <x:v>1420</x:v>
      </x:c>
      <x:c r="N876" s="5" t="str">
        <x:v>Walk-in</x:v>
      </x:c>
      <x:c r="O876" s="5" t="str">
        <x:v>POS</x:v>
      </x:c>
      <x:c r="P876" s="5" t="str">
        <x:v>Lunch</x:v>
      </x:c>
      <x:c r="Q876" s="48" t="n">
        <x:v>15</x:v>
      </x:c>
      <x:c r="R876" s="5" t="n">
        <x:v>5</x:v>
      </x:c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5" t="str">
        <x:v>ORD-00770</x:v>
      </x:c>
      <x:c r="B877" s="43" t="n">
        <x:v>46136</x:v>
      </x:c>
      <x:c r="C877" s="5" t="str">
        <x:v>CUST-0531</x:v>
      </x:c>
      <x:c r="D877" s="5" t="str">
        <x:v>FD009</x:v>
      </x:c>
      <x:c r="E877" s="5" t="str">
        <x:v>Moi Moi</x:v>
      </x:c>
      <x:c r="F877" s="5" t="str">
        <x:v>Sides</x:v>
      </x:c>
      <x:c r="G877" s="44" t="n">
        <x:v>3</x:v>
      </x:c>
      <x:c r="H877" s="45" t="n">
        <x:v>900</x:v>
      </x:c>
      <x:c r="I877" s="46" t="n">
        <x:v>0.05</x:v>
      </x:c>
      <x:c r="J877" s="47" t="n">
        <x:f>G877*H877*(1-I877)</x:f>
        <x:v>2565</x:v>
      </x:c>
      <x:c r="K877" s="47" t="n">
        <x:v>380</x:v>
      </x:c>
      <x:c r="L877" s="47" t="n">
        <x:f>G877*K877</x:f>
        <x:v>1140</x:v>
      </x:c>
      <x:c r="M877" s="47" t="n">
        <x:f>J877-L877</x:f>
        <x:v>1425</x:v>
      </x:c>
      <x:c r="N877" s="5" t="str">
        <x:v>Walk-in</x:v>
      </x:c>
      <x:c r="O877" s="5" t="str">
        <x:v>POS</x:v>
      </x:c>
      <x:c r="P877" s="5" t="str">
        <x:v>Lunch</x:v>
      </x:c>
      <x:c r="Q877" s="48" t="n">
        <x:v>11</x:v>
      </x:c>
      <x:c r="R877" s="5" t="n">
        <x:v>4</x:v>
      </x:c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5" t="str">
        <x:v>ORD-01003</x:v>
      </x:c>
      <x:c r="B878" s="43" t="n">
        <x:v>46136</x:v>
      </x:c>
      <x:c r="C878" s="5" t="str">
        <x:v>CUST-0569</x:v>
      </x:c>
      <x:c r="D878" s="5" t="str">
        <x:v>FD002</x:v>
      </x:c>
      <x:c r="E878" s="5" t="str">
        <x:v>Jollof Rice &amp; Chicken</x:v>
      </x:c>
      <x:c r="F878" s="5" t="str">
        <x:v>Rice Meals</x:v>
      </x:c>
      <x:c r="G878" s="44" t="n">
        <x:v>3</x:v>
      </x:c>
      <x:c r="H878" s="45" t="n">
        <x:v>2800</x:v>
      </x:c>
      <x:c r="I878" s="46" t="n">
        <x:v>0</x:v>
      </x:c>
      <x:c r="J878" s="47" t="n">
        <x:f>G878*H878*(1-I878)</x:f>
        <x:v>8400</x:v>
      </x:c>
      <x:c r="K878" s="47" t="n">
        <x:v>1450</x:v>
      </x:c>
      <x:c r="L878" s="47" t="n">
        <x:f>G878*K878</x:f>
        <x:v>4350</x:v>
      </x:c>
      <x:c r="M878" s="47" t="n">
        <x:f>J878-L878</x:f>
        <x:v>4050</x:v>
      </x:c>
      <x:c r="N878" s="5" t="str">
        <x:v>Walk-in</x:v>
      </x:c>
      <x:c r="O878" s="5" t="str">
        <x:v>Transfer</x:v>
      </x:c>
      <x:c r="P878" s="5" t="str">
        <x:v>Breakfast</x:v>
      </x:c>
      <x:c r="Q878" s="48" t="n">
        <x:v>10</x:v>
      </x:c>
      <x:c r="R878" s="5" t="n">
        <x:v>5</x:v>
      </x:c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5" t="str">
        <x:v>ORD-01132</x:v>
      </x:c>
      <x:c r="B879" s="43" t="n">
        <x:v>46136</x:v>
      </x:c>
      <x:c r="C879" s="5" t="str">
        <x:v>CUST-0462</x:v>
      </x:c>
      <x:c r="D879" s="5" t="str">
        <x:v>FD002</x:v>
      </x:c>
      <x:c r="E879" s="5" t="str">
        <x:v>Jollof Rice &amp; Chicken</x:v>
      </x:c>
      <x:c r="F879" s="5" t="str">
        <x:v>Rice Meals</x:v>
      </x:c>
      <x:c r="G879" s="44" t="n">
        <x:v>2</x:v>
      </x:c>
      <x:c r="H879" s="45" t="n">
        <x:v>2800</x:v>
      </x:c>
      <x:c r="I879" s="46" t="n">
        <x:v>0</x:v>
      </x:c>
      <x:c r="J879" s="47" t="n">
        <x:f>G879*H879*(1-I879)</x:f>
        <x:v>5600</x:v>
      </x:c>
      <x:c r="K879" s="47" t="n">
        <x:v>1450</x:v>
      </x:c>
      <x:c r="L879" s="47" t="n">
        <x:f>G879*K879</x:f>
        <x:v>2900</x:v>
      </x:c>
      <x:c r="M879" s="47" t="n">
        <x:f>J879-L879</x:f>
        <x:v>2700</x:v>
      </x:c>
      <x:c r="N879" s="5" t="str">
        <x:v>Walk-in</x:v>
      </x:c>
      <x:c r="O879" s="5" t="str">
        <x:v>POS</x:v>
      </x:c>
      <x:c r="P879" s="5" t="str">
        <x:v>Lunch</x:v>
      </x:c>
      <x:c r="Q879" s="48" t="n">
        <x:v>12</x:v>
      </x:c>
      <x:c r="R879" s="5" t="n">
        <x:v>3</x:v>
      </x:c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5" t="str">
        <x:v>ORD-01323</x:v>
      </x:c>
      <x:c r="B880" s="43" t="n">
        <x:v>46136</x:v>
      </x:c>
      <x:c r="C880" s="5" t="str">
        <x:v>CUST-0598</x:v>
      </x:c>
      <x:c r="D880" s="5" t="str">
        <x:v>FD001</x:v>
      </x:c>
      <x:c r="E880" s="5" t="str">
        <x:v>White Rice &amp; Stew</x:v>
      </x:c>
      <x:c r="F880" s="5" t="str">
        <x:v>Rice Meals</x:v>
      </x:c>
      <x:c r="G880" s="44" t="n">
        <x:v>4</x:v>
      </x:c>
      <x:c r="H880" s="45" t="n">
        <x:v>1800</x:v>
      </x:c>
      <x:c r="I880" s="46" t="n">
        <x:v>0.05</x:v>
      </x:c>
      <x:c r="J880" s="47" t="n">
        <x:f>G880*H880*(1-I880)</x:f>
        <x:v>6840</x:v>
      </x:c>
      <x:c r="K880" s="47" t="n">
        <x:v>820</x:v>
      </x:c>
      <x:c r="L880" s="47" t="n">
        <x:f>G880*K880</x:f>
        <x:v>3280</x:v>
      </x:c>
      <x:c r="M880" s="47" t="n">
        <x:f>J880-L880</x:f>
        <x:v>3560</x:v>
      </x:c>
      <x:c r="N880" s="5" t="str">
        <x:v>Walk-in</x:v>
      </x:c>
      <x:c r="O880" s="5" t="str">
        <x:v>POS</x:v>
      </x:c>
      <x:c r="P880" s="5" t="str">
        <x:v>Lunch</x:v>
      </x:c>
      <x:c r="Q880" s="48" t="n">
        <x:v>14</x:v>
      </x:c>
      <x:c r="R880" s="5" t="n">
        <x:v>4</x:v>
      </x:c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5" t="str">
        <x:v>ORD-01638</x:v>
      </x:c>
      <x:c r="B881" s="43" t="n">
        <x:v>46136</x:v>
      </x:c>
      <x:c r="C881" s="5" t="str">
        <x:v>CUST-0084</x:v>
      </x:c>
      <x:c r="D881" s="5" t="str">
        <x:v>FD005</x:v>
      </x:c>
      <x:c r="E881" s="5" t="str">
        <x:v>Yam Porridge</x:v>
      </x:c>
      <x:c r="F881" s="5" t="str">
        <x:v>Traditional Meals</x:v>
      </x:c>
      <x:c r="G881" s="44" t="n">
        <x:v>4</x:v>
      </x:c>
      <x:c r="H881" s="45" t="n">
        <x:v>2200</x:v>
      </x:c>
      <x:c r="I881" s="46" t="n">
        <x:v>0</x:v>
      </x:c>
      <x:c r="J881" s="47" t="n">
        <x:f>G881*H881*(1-I881)</x:f>
        <x:v>8800</x:v>
      </x:c>
      <x:c r="K881" s="47" t="n">
        <x:v>1050</x:v>
      </x:c>
      <x:c r="L881" s="47" t="n">
        <x:f>G881*K881</x:f>
        <x:v>4200</x:v>
      </x:c>
      <x:c r="M881" s="47" t="n">
        <x:f>J881-L881</x:f>
        <x:v>4600</x:v>
      </x:c>
      <x:c r="N881" s="5" t="str">
        <x:v>Delivery</x:v>
      </x:c>
      <x:c r="O881" s="5" t="str">
        <x:v>POS</x:v>
      </x:c>
      <x:c r="P881" s="5" t="str">
        <x:v>Lunch</x:v>
      </x:c>
      <x:c r="Q881" s="48" t="n">
        <x:v>11</x:v>
      </x:c>
      <x:c r="R881" s="5" t="n">
        <x:v>5</x:v>
      </x:c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5" t="str">
        <x:v>ORD-01719</x:v>
      </x:c>
      <x:c r="B882" s="43" t="n">
        <x:v>46136</x:v>
      </x:c>
      <x:c r="C882" s="5" t="str">
        <x:v>CUST-0383</x:v>
      </x:c>
      <x:c r="D882" s="5" t="str">
        <x:v>FD008</x:v>
      </x:c>
      <x:c r="E882" s="5" t="str">
        <x:v>Pounded Yam &amp; Vegetable Soup</x:v>
      </x:c>
      <x:c r="F882" s="5" t="str">
        <x:v>Swallow</x:v>
      </x:c>
      <x:c r="G882" s="44" t="n">
        <x:v>2</x:v>
      </x:c>
      <x:c r="H882" s="45" t="n">
        <x:v>3200</x:v>
      </x:c>
      <x:c r="I882" s="46" t="n">
        <x:v>0</x:v>
      </x:c>
      <x:c r="J882" s="47" t="n">
        <x:f>G882*H882*(1-I882)</x:f>
        <x:v>6400</x:v>
      </x:c>
      <x:c r="K882" s="47" t="n">
        <x:v>1710</x:v>
      </x:c>
      <x:c r="L882" s="47" t="n">
        <x:f>G882*K882</x:f>
        <x:v>3420</x:v>
      </x:c>
      <x:c r="M882" s="47" t="n">
        <x:f>J882-L882</x:f>
        <x:v>2980</x:v>
      </x:c>
      <x:c r="N882" s="5" t="str">
        <x:v>Walk-in</x:v>
      </x:c>
      <x:c r="O882" s="5" t="str">
        <x:v>Transfer</x:v>
      </x:c>
      <x:c r="P882" s="5" t="str">
        <x:v>Lunch</x:v>
      </x:c>
      <x:c r="Q882" s="48" t="n">
        <x:v>15</x:v>
      </x:c>
      <x:c r="R882" s="5" t="n">
        <x:v>3</x:v>
      </x:c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5" t="str">
        <x:v>ORD-00005</x:v>
      </x:c>
      <x:c r="B883" s="43" t="n">
        <x:v>46137</x:v>
      </x:c>
      <x:c r="C883" s="5" t="str">
        <x:v>CUST-0157</x:v>
      </x:c>
      <x:c r="D883" s="5" t="str">
        <x:v>FD006</x:v>
      </x:c>
      <x:c r="E883" s="5" t="str">
        <x:v>Eba &amp; Egusi Soup</x:v>
      </x:c>
      <x:c r="F883" s="5" t="str">
        <x:v>Swallow</x:v>
      </x:c>
      <x:c r="G883" s="44" t="n">
        <x:v>3</x:v>
      </x:c>
      <x:c r="H883" s="45" t="n">
        <x:v>2600</x:v>
      </x:c>
      <x:c r="I883" s="46" t="n">
        <x:v>0</x:v>
      </x:c>
      <x:c r="J883" s="47" t="n">
        <x:f>G883*H883*(1-I883)</x:f>
        <x:v>7800</x:v>
      </x:c>
      <x:c r="K883" s="47" t="n">
        <x:v>1320</x:v>
      </x:c>
      <x:c r="L883" s="47" t="n">
        <x:f>G883*K883</x:f>
        <x:v>3960</x:v>
      </x:c>
      <x:c r="M883" s="47" t="n">
        <x:f>J883-L883</x:f>
        <x:v>3840</x:v>
      </x:c>
      <x:c r="N883" s="5" t="str">
        <x:v>Walk-in</x:v>
      </x:c>
      <x:c r="O883" s="5" t="str">
        <x:v>Cash</x:v>
      </x:c>
      <x:c r="P883" s="5" t="str">
        <x:v>Lunch</x:v>
      </x:c>
      <x:c r="Q883" s="48" t="n">
        <x:v>11</x:v>
      </x:c>
      <x:c r="R883" s="5" t="n">
        <x:v>5</x:v>
      </x:c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5" t="str">
        <x:v>ORD-00066</x:v>
      </x:c>
      <x:c r="B884" s="43" t="n">
        <x:v>46137</x:v>
      </x:c>
      <x:c r="C884" s="5" t="str">
        <x:v>CUST-0058</x:v>
      </x:c>
      <x:c r="D884" s="5" t="str">
        <x:v>FD003</x:v>
      </x:c>
      <x:c r="E884" s="5" t="str">
        <x:v>Fried Rice &amp; Chicken</x:v>
      </x:c>
      <x:c r="F884" s="5" t="str">
        <x:v>Rice Meals</x:v>
      </x:c>
      <x:c r="G884" s="44" t="n">
        <x:v>4</x:v>
      </x:c>
      <x:c r="H884" s="45" t="n">
        <x:v>3000</x:v>
      </x:c>
      <x:c r="I884" s="46" t="n">
        <x:v>0</x:v>
      </x:c>
      <x:c r="J884" s="47" t="n">
        <x:f>G884*H884*(1-I884)</x:f>
        <x:v>12000</x:v>
      </x:c>
      <x:c r="K884" s="47" t="n">
        <x:v>1580</x:v>
      </x:c>
      <x:c r="L884" s="47" t="n">
        <x:f>G884*K884</x:f>
        <x:v>6320</x:v>
      </x:c>
      <x:c r="M884" s="47" t="n">
        <x:f>J884-L884</x:f>
        <x:v>5680</x:v>
      </x:c>
      <x:c r="N884" s="5" t="str">
        <x:v>Walk-in</x:v>
      </x:c>
      <x:c r="O884" s="5" t="str">
        <x:v>POS</x:v>
      </x:c>
      <x:c r="P884" s="5" t="str">
        <x:v>Dinner</x:v>
      </x:c>
      <x:c r="Q884" s="48" t="n">
        <x:v>20</x:v>
      </x:c>
      <x:c r="R884" s="5" t="n">
        <x:v>4</x:v>
      </x:c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5" t="str">
        <x:v>ORD-00070</x:v>
      </x:c>
      <x:c r="B885" s="43" t="n">
        <x:v>46137</x:v>
      </x:c>
      <x:c r="C885" s="5" t="str">
        <x:v>CUST-0034</x:v>
      </x:c>
      <x:c r="D885" s="5" t="str">
        <x:v>FD012</x:v>
      </x:c>
      <x:c r="E885" s="5" t="str">
        <x:v>Fried Plantain</x:v>
      </x:c>
      <x:c r="F885" s="5" t="str">
        <x:v>Sides</x:v>
      </x:c>
      <x:c r="G885" s="44" t="n">
        <x:v>2</x:v>
      </x:c>
      <x:c r="H885" s="45" t="n">
        <x:v>700</x:v>
      </x:c>
      <x:c r="I885" s="46" t="n">
        <x:v>0</x:v>
      </x:c>
      <x:c r="J885" s="47" t="n">
        <x:f>G885*H885*(1-I885)</x:f>
        <x:v>1400</x:v>
      </x:c>
      <x:c r="K885" s="47" t="n">
        <x:v>300</x:v>
      </x:c>
      <x:c r="L885" s="47" t="n">
        <x:f>G885*K885</x:f>
        <x:v>600</x:v>
      </x:c>
      <x:c r="M885" s="47" t="n">
        <x:f>J885-L885</x:f>
        <x:v>800</x:v>
      </x:c>
      <x:c r="N885" s="5" t="str">
        <x:v>Walk-in</x:v>
      </x:c>
      <x:c r="O885" s="5" t="str">
        <x:v>POS</x:v>
      </x:c>
      <x:c r="P885" s="5" t="str">
        <x:v>Lunch</x:v>
      </x:c>
      <x:c r="Q885" s="48" t="n">
        <x:v>14</x:v>
      </x:c>
      <x:c r="R885" s="5" t="n">
        <x:v>4</x:v>
      </x:c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5" t="str">
        <x:v>ORD-00115</x:v>
      </x:c>
      <x:c r="B886" s="43" t="n">
        <x:v>46137</x:v>
      </x:c>
      <x:c r="C886" s="5" t="str">
        <x:v>CUST-0058</x:v>
      </x:c>
      <x:c r="D886" s="5" t="str">
        <x:v>FD007</x:v>
      </x:c>
      <x:c r="E886" s="5" t="str">
        <x:v>Amala &amp; Ewedu</x:v>
      </x:c>
      <x:c r="F886" s="5" t="str">
        <x:v>Swallow</x:v>
      </x:c>
      <x:c r="G886" s="44" t="n">
        <x:v>2</x:v>
      </x:c>
      <x:c r="H886" s="45" t="n">
        <x:v>2500</x:v>
      </x:c>
      <x:c r="I886" s="46" t="n">
        <x:v>0</x:v>
      </x:c>
      <x:c r="J886" s="47" t="n">
        <x:f>G886*H886*(1-I886)</x:f>
        <x:v>5000</x:v>
      </x:c>
      <x:c r="K886" s="47" t="n">
        <x:v>1250</x:v>
      </x:c>
      <x:c r="L886" s="47" t="n">
        <x:f>G886*K886</x:f>
        <x:v>2500</x:v>
      </x:c>
      <x:c r="M886" s="47" t="n">
        <x:f>J886-L886</x:f>
        <x:v>2500</x:v>
      </x:c>
      <x:c r="N886" s="5" t="str">
        <x:v>Takeaway</x:v>
      </x:c>
      <x:c r="O886" s="5" t="str">
        <x:v>POS</x:v>
      </x:c>
      <x:c r="P886" s="5" t="str">
        <x:v>Lunch</x:v>
      </x:c>
      <x:c r="Q886" s="48" t="n">
        <x:v>11</x:v>
      </x:c>
      <x:c r="R886" s="5" t="n">
        <x:v>4</x:v>
      </x:c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5" t="str">
        <x:v>ORD-00150</x:v>
      </x:c>
      <x:c r="B887" s="43" t="n">
        <x:v>46137</x:v>
      </x:c>
      <x:c r="C887" s="5" t="str">
        <x:v>CUST-0550</x:v>
      </x:c>
      <x:c r="D887" s="5" t="str">
        <x:v>FD001</x:v>
      </x:c>
      <x:c r="E887" s="5" t="str">
        <x:v>White Rice &amp; Stew</x:v>
      </x:c>
      <x:c r="F887" s="5" t="str">
        <x:v>Rice Meals</x:v>
      </x:c>
      <x:c r="G887" s="44" t="n">
        <x:v>4</x:v>
      </x:c>
      <x:c r="H887" s="45" t="n">
        <x:v>1800</x:v>
      </x:c>
      <x:c r="I887" s="46" t="n">
        <x:v>0</x:v>
      </x:c>
      <x:c r="J887" s="47" t="n">
        <x:f>G887*H887*(1-I887)</x:f>
        <x:v>7200</x:v>
      </x:c>
      <x:c r="K887" s="47" t="n">
        <x:v>820</x:v>
      </x:c>
      <x:c r="L887" s="47" t="n">
        <x:f>G887*K887</x:f>
        <x:v>3280</x:v>
      </x:c>
      <x:c r="M887" s="47" t="n">
        <x:f>J887-L887</x:f>
        <x:v>3920</x:v>
      </x:c>
      <x:c r="N887" s="5" t="str">
        <x:v>Walk-in</x:v>
      </x:c>
      <x:c r="O887" s="5" t="str">
        <x:v>Transfer</x:v>
      </x:c>
      <x:c r="P887" s="5" t="str">
        <x:v>Lunch</x:v>
      </x:c>
      <x:c r="Q887" s="48" t="n">
        <x:v>15</x:v>
      </x:c>
      <x:c r="R887" s="5" t="n">
        <x:v>3</x:v>
      </x:c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5" t="str">
        <x:v>ORD-00443</x:v>
      </x:c>
      <x:c r="B888" s="43" t="n">
        <x:v>46137</x:v>
      </x:c>
      <x:c r="C888" s="5" t="str">
        <x:v>CUST-0241</x:v>
      </x:c>
      <x:c r="D888" s="5" t="str">
        <x:v>FD011</x:v>
      </x:c>
      <x:c r="E888" s="5" t="str">
        <x:v>Bottled Water</x:v>
      </x:c>
      <x:c r="F888" s="5" t="str">
        <x:v>Beverages</x:v>
      </x:c>
      <x:c r="G888" s="44" t="n">
        <x:v>3</x:v>
      </x:c>
      <x:c r="H888" s="45" t="n">
        <x:v>300</x:v>
      </x:c>
      <x:c r="I888" s="46" t="n">
        <x:v>0</x:v>
      </x:c>
      <x:c r="J888" s="47" t="n">
        <x:f>G888*H888*(1-I888)</x:f>
        <x:v>900</x:v>
      </x:c>
      <x:c r="K888" s="47" t="n">
        <x:v>120</x:v>
      </x:c>
      <x:c r="L888" s="47" t="n">
        <x:f>G888*K888</x:f>
        <x:v>360</x:v>
      </x:c>
      <x:c r="M888" s="47" t="n">
        <x:f>J888-L888</x:f>
        <x:v>540</x:v>
      </x:c>
      <x:c r="N888" s="5" t="str">
        <x:v>Delivery</x:v>
      </x:c>
      <x:c r="O888" s="5" t="str">
        <x:v>POS</x:v>
      </x:c>
      <x:c r="P888" s="5" t="str">
        <x:v>Breakfast</x:v>
      </x:c>
      <x:c r="Q888" s="48" t="n">
        <x:v>9</x:v>
      </x:c>
      <x:c r="R888" s="5" t="n">
        <x:v>4</x:v>
      </x:c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5" t="str">
        <x:v>ORD-00722</x:v>
      </x:c>
      <x:c r="B889" s="43" t="n">
        <x:v>46137</x:v>
      </x:c>
      <x:c r="C889" s="5" t="str">
        <x:v>CUST-0052</x:v>
      </x:c>
      <x:c r="D889" s="5" t="str">
        <x:v>FD008</x:v>
      </x:c>
      <x:c r="E889" s="5" t="str">
        <x:v>Pounded Yam &amp; Vegetable Soup</x:v>
      </x:c>
      <x:c r="F889" s="5" t="str">
        <x:v>Swallow</x:v>
      </x:c>
      <x:c r="G889" s="44" t="n">
        <x:v>4</x:v>
      </x:c>
      <x:c r="H889" s="45" t="n">
        <x:v>3200</x:v>
      </x:c>
      <x:c r="I889" s="46" t="n">
        <x:v>0</x:v>
      </x:c>
      <x:c r="J889" s="47" t="n">
        <x:f>G889*H889*(1-I889)</x:f>
        <x:v>12800</x:v>
      </x:c>
      <x:c r="K889" s="47" t="n">
        <x:v>1710</x:v>
      </x:c>
      <x:c r="L889" s="47" t="n">
        <x:f>G889*K889</x:f>
        <x:v>6840</x:v>
      </x:c>
      <x:c r="M889" s="47" t="n">
        <x:f>J889-L889</x:f>
        <x:v>5960</x:v>
      </x:c>
      <x:c r="N889" s="5" t="str">
        <x:v>Walk-in</x:v>
      </x:c>
      <x:c r="O889" s="5" t="str">
        <x:v>Transfer</x:v>
      </x:c>
      <x:c r="P889" s="5" t="str">
        <x:v>Lunch</x:v>
      </x:c>
      <x:c r="Q889" s="48" t="n">
        <x:v>12</x:v>
      </x:c>
      <x:c r="R889" s="5" t="n">
        <x:v>5</x:v>
      </x:c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5" t="str">
        <x:v>ORD-00763</x:v>
      </x:c>
      <x:c r="B890" s="43" t="n">
        <x:v>46137</x:v>
      </x:c>
      <x:c r="C890" s="5" t="str">
        <x:v>CUST-0087</x:v>
      </x:c>
      <x:c r="D890" s="5" t="str">
        <x:v>FD010</x:v>
      </x:c>
      <x:c r="E890" s="5" t="str">
        <x:v>Soft Drink</x:v>
      </x:c>
      <x:c r="F890" s="5" t="str">
        <x:v>Beverages</x:v>
      </x:c>
      <x:c r="G890" s="44" t="n">
        <x:v>2</x:v>
      </x:c>
      <x:c r="H890" s="45" t="n">
        <x:v>600</x:v>
      </x:c>
      <x:c r="I890" s="46" t="n">
        <x:v>0</x:v>
      </x:c>
      <x:c r="J890" s="47" t="n">
        <x:f>G890*H890*(1-I890)</x:f>
        <x:v>1200</x:v>
      </x:c>
      <x:c r="K890" s="47" t="n">
        <x:v>280</x:v>
      </x:c>
      <x:c r="L890" s="47" t="n">
        <x:f>G890*K890</x:f>
        <x:v>560</x:v>
      </x:c>
      <x:c r="M890" s="47" t="n">
        <x:f>J890-L890</x:f>
        <x:v>640</x:v>
      </x:c>
      <x:c r="N890" s="5" t="str">
        <x:v>Takeaway</x:v>
      </x:c>
      <x:c r="O890" s="5" t="str">
        <x:v>Cash</x:v>
      </x:c>
      <x:c r="P890" s="5" t="str">
        <x:v>Dinner</x:v>
      </x:c>
      <x:c r="Q890" s="48" t="n">
        <x:v>18</x:v>
      </x:c>
      <x:c r="R890" s="5" t="n">
        <x:v>3</x:v>
      </x:c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5" t="str">
        <x:v>ORD-01202</x:v>
      </x:c>
      <x:c r="B891" s="43" t="n">
        <x:v>46137</x:v>
      </x:c>
      <x:c r="C891" s="5" t="str">
        <x:v>CUST-0167</x:v>
      </x:c>
      <x:c r="D891" s="5" t="str">
        <x:v>FD001</x:v>
      </x:c>
      <x:c r="E891" s="5" t="str">
        <x:v>White Rice &amp; Stew</x:v>
      </x:c>
      <x:c r="F891" s="5" t="str">
        <x:v>Rice Meals</x:v>
      </x:c>
      <x:c r="G891" s="44" t="n">
        <x:v>3</x:v>
      </x:c>
      <x:c r="H891" s="45" t="n">
        <x:v>1800</x:v>
      </x:c>
      <x:c r="I891" s="46" t="n">
        <x:v>0</x:v>
      </x:c>
      <x:c r="J891" s="47" t="n">
        <x:f>G891*H891*(1-I891)</x:f>
        <x:v>5400</x:v>
      </x:c>
      <x:c r="K891" s="47" t="n">
        <x:v>820</x:v>
      </x:c>
      <x:c r="L891" s="47" t="n">
        <x:f>G891*K891</x:f>
        <x:v>2460</x:v>
      </x:c>
      <x:c r="M891" s="47" t="n">
        <x:f>J891-L891</x:f>
        <x:v>2940</x:v>
      </x:c>
      <x:c r="N891" s="5" t="str">
        <x:v>Takeaway</x:v>
      </x:c>
      <x:c r="O891" s="5" t="str">
        <x:v>POS</x:v>
      </x:c>
      <x:c r="P891" s="5" t="str">
        <x:v>Lunch</x:v>
      </x:c>
      <x:c r="Q891" s="48" t="n">
        <x:v>11</x:v>
      </x:c>
      <x:c r="R891" s="5" t="n">
        <x:v>5</x:v>
      </x:c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5" t="str">
        <x:v>ORD-01481</x:v>
      </x:c>
      <x:c r="B892" s="43" t="n">
        <x:v>46137</x:v>
      </x:c>
      <x:c r="C892" s="5" t="str">
        <x:v>CUST-0503</x:v>
      </x:c>
      <x:c r="D892" s="5" t="str">
        <x:v>FD005</x:v>
      </x:c>
      <x:c r="E892" s="5" t="str">
        <x:v>Yam Porridge</x:v>
      </x:c>
      <x:c r="F892" s="5" t="str">
        <x:v>Traditional Meals</x:v>
      </x:c>
      <x:c r="G892" s="44" t="n">
        <x:v>3</x:v>
      </x:c>
      <x:c r="H892" s="45" t="n">
        <x:v>2200</x:v>
      </x:c>
      <x:c r="I892" s="46" t="n">
        <x:v>0</x:v>
      </x:c>
      <x:c r="J892" s="47" t="n">
        <x:f>G892*H892*(1-I892)</x:f>
        <x:v>6600</x:v>
      </x:c>
      <x:c r="K892" s="47" t="n">
        <x:v>1050</x:v>
      </x:c>
      <x:c r="L892" s="47" t="n">
        <x:f>G892*K892</x:f>
        <x:v>3150</x:v>
      </x:c>
      <x:c r="M892" s="47" t="n">
        <x:f>J892-L892</x:f>
        <x:v>3450</x:v>
      </x:c>
      <x:c r="N892" s="5" t="str">
        <x:v>Delivery</x:v>
      </x:c>
      <x:c r="O892" s="5" t="str">
        <x:v>POS</x:v>
      </x:c>
      <x:c r="P892" s="5" t="str">
        <x:v>Lunch</x:v>
      </x:c>
      <x:c r="Q892" s="48" t="n">
        <x:v>14</x:v>
      </x:c>
      <x:c r="R892" s="5" t="n">
        <x:v>4</x:v>
      </x:c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5" t="str">
        <x:v>ORD-01624</x:v>
      </x:c>
      <x:c r="B893" s="43" t="n">
        <x:v>46137</x:v>
      </x:c>
      <x:c r="C893" s="5" t="str">
        <x:v>CUST-0231</x:v>
      </x:c>
      <x:c r="D893" s="5" t="str">
        <x:v>FD002</x:v>
      </x:c>
      <x:c r="E893" s="5" t="str">
        <x:v>Jollof Rice &amp; Chicken</x:v>
      </x:c>
      <x:c r="F893" s="5" t="str">
        <x:v>Rice Meals</x:v>
      </x:c>
      <x:c r="G893" s="44" t="n">
        <x:v>2</x:v>
      </x:c>
      <x:c r="H893" s="45" t="n">
        <x:v>2800</x:v>
      </x:c>
      <x:c r="I893" s="46" t="n">
        <x:v>0</x:v>
      </x:c>
      <x:c r="J893" s="47" t="n">
        <x:f>G893*H893*(1-I893)</x:f>
        <x:v>5600</x:v>
      </x:c>
      <x:c r="K893" s="47" t="n">
        <x:v>1450</x:v>
      </x:c>
      <x:c r="L893" s="47" t="n">
        <x:f>G893*K893</x:f>
        <x:v>2900</x:v>
      </x:c>
      <x:c r="M893" s="47" t="n">
        <x:f>J893-L893</x:f>
        <x:v>2700</x:v>
      </x:c>
      <x:c r="N893" s="5" t="str">
        <x:v>Walk-in</x:v>
      </x:c>
      <x:c r="O893" s="5" t="str">
        <x:v>POS</x:v>
      </x:c>
      <x:c r="P893" s="5" t="str">
        <x:v>Dinner</x:v>
      </x:c>
      <x:c r="Q893" s="48" t="n">
        <x:v>20</x:v>
      </x:c>
      <x:c r="R893" s="5" t="n">
        <x:v>3</x:v>
      </x:c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5" t="str">
        <x:v>ORD-01724</x:v>
      </x:c>
      <x:c r="B894" s="43" t="n">
        <x:v>46137</x:v>
      </x:c>
      <x:c r="C894" s="5" t="str">
        <x:v>CUST-0520</x:v>
      </x:c>
      <x:c r="D894" s="5" t="str">
        <x:v>FD004</x:v>
      </x:c>
      <x:c r="E894" s="5" t="str">
        <x:v>Beans &amp; Plantain</x:v>
      </x:c>
      <x:c r="F894" s="5" t="str">
        <x:v>Traditional Meals</x:v>
      </x:c>
      <x:c r="G894" s="44" t="n">
        <x:v>3</x:v>
      </x:c>
      <x:c r="H894" s="45" t="n">
        <x:v>2000</x:v>
      </x:c>
      <x:c r="I894" s="46" t="n">
        <x:v>0</x:v>
      </x:c>
      <x:c r="J894" s="47" t="n">
        <x:f>G894*H894*(1-I894)</x:f>
        <x:v>6000</x:v>
      </x:c>
      <x:c r="K894" s="47" t="n">
        <x:v>960</x:v>
      </x:c>
      <x:c r="L894" s="47" t="n">
        <x:f>G894*K894</x:f>
        <x:v>2880</x:v>
      </x:c>
      <x:c r="M894" s="47" t="n">
        <x:f>J894-L894</x:f>
        <x:v>3120</x:v>
      </x:c>
      <x:c r="N894" s="5" t="str">
        <x:v>Walk-in</x:v>
      </x:c>
      <x:c r="O894" s="5" t="str">
        <x:v>Cash</x:v>
      </x:c>
      <x:c r="P894" s="5" t="str">
        <x:v>Lunch</x:v>
      </x:c>
      <x:c r="Q894" s="48" t="n">
        <x:v>13</x:v>
      </x:c>
      <x:c r="R894" s="5" t="n">
        <x:v>5</x:v>
      </x:c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5" t="str">
        <x:v>ORD-00044</x:v>
      </x:c>
      <x:c r="B895" s="43" t="n">
        <x:v>46138</x:v>
      </x:c>
      <x:c r="C895" s="5" t="str">
        <x:v>CUST-0454</x:v>
      </x:c>
      <x:c r="D895" s="5" t="str">
        <x:v>FD001</x:v>
      </x:c>
      <x:c r="E895" s="5" t="str">
        <x:v>White Rice &amp; Stew</x:v>
      </x:c>
      <x:c r="F895" s="5" t="str">
        <x:v>Rice Meals</x:v>
      </x:c>
      <x:c r="G895" s="44" t="n">
        <x:v>1</x:v>
      </x:c>
      <x:c r="H895" s="45" t="n">
        <x:v>1800</x:v>
      </x:c>
      <x:c r="I895" s="46" t="n">
        <x:v>0</x:v>
      </x:c>
      <x:c r="J895" s="47" t="n">
        <x:f>G895*H895*(1-I895)</x:f>
        <x:v>1800</x:v>
      </x:c>
      <x:c r="K895" s="47" t="n">
        <x:v>820</x:v>
      </x:c>
      <x:c r="L895" s="47" t="n">
        <x:f>G895*K895</x:f>
        <x:v>820</x:v>
      </x:c>
      <x:c r="M895" s="47" t="n">
        <x:f>J895-L895</x:f>
        <x:v>980</x:v>
      </x:c>
      <x:c r="N895" s="5" t="str">
        <x:v>Walk-in</x:v>
      </x:c>
      <x:c r="O895" s="5" t="str">
        <x:v>Cash</x:v>
      </x:c>
      <x:c r="P895" s="5" t="str">
        <x:v>Lunch</x:v>
      </x:c>
      <x:c r="Q895" s="48" t="n">
        <x:v>13</x:v>
      </x:c>
      <x:c r="R895" s="5" t="n">
        <x:v>5</x:v>
      </x:c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5" t="str">
        <x:v>ORD-00235</x:v>
      </x:c>
      <x:c r="B896" s="43" t="n">
        <x:v>46138</x:v>
      </x:c>
      <x:c r="C896" s="5" t="str">
        <x:v>CUST-0189</x:v>
      </x:c>
      <x:c r="D896" s="5" t="str">
        <x:v>FD004</x:v>
      </x:c>
      <x:c r="E896" s="5" t="str">
        <x:v>Beans &amp; Plantain</x:v>
      </x:c>
      <x:c r="F896" s="5" t="str">
        <x:v>Traditional Meals</x:v>
      </x:c>
      <x:c r="G896" s="44" t="n">
        <x:v>2</x:v>
      </x:c>
      <x:c r="H896" s="45" t="n">
        <x:v>2000</x:v>
      </x:c>
      <x:c r="I896" s="46" t="n">
        <x:v>0</x:v>
      </x:c>
      <x:c r="J896" s="47" t="n">
        <x:f>G896*H896*(1-I896)</x:f>
        <x:v>4000</x:v>
      </x:c>
      <x:c r="K896" s="47" t="n">
        <x:v>960</x:v>
      </x:c>
      <x:c r="L896" s="47" t="n">
        <x:f>G896*K896</x:f>
        <x:v>1920</x:v>
      </x:c>
      <x:c r="M896" s="47" t="n">
        <x:f>J896-L896</x:f>
        <x:v>2080</x:v>
      </x:c>
      <x:c r="N896" s="5" t="str">
        <x:v>Walk-in</x:v>
      </x:c>
      <x:c r="O896" s="5" t="str">
        <x:v>Cash</x:v>
      </x:c>
      <x:c r="P896" s="5" t="str">
        <x:v>Dinner</x:v>
      </x:c>
      <x:c r="Q896" s="48" t="n">
        <x:v>20</x:v>
      </x:c>
      <x:c r="R896" s="5" t="n">
        <x:v>5</x:v>
      </x:c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5" t="str">
        <x:v>ORD-00240</x:v>
      </x:c>
      <x:c r="B897" s="43" t="n">
        <x:v>46138</x:v>
      </x:c>
      <x:c r="C897" s="5" t="str">
        <x:v>CUST-0288</x:v>
      </x:c>
      <x:c r="D897" s="5" t="str">
        <x:v>FD004</x:v>
      </x:c>
      <x:c r="E897" s="5" t="str">
        <x:v>Beans &amp; Plantain</x:v>
      </x:c>
      <x:c r="F897" s="5" t="str">
        <x:v>Traditional Meals</x:v>
      </x:c>
      <x:c r="G897" s="44" t="n">
        <x:v>2</x:v>
      </x:c>
      <x:c r="H897" s="45" t="n">
        <x:v>2000</x:v>
      </x:c>
      <x:c r="I897" s="46" t="n">
        <x:v>0</x:v>
      </x:c>
      <x:c r="J897" s="47" t="n">
        <x:f>G897*H897*(1-I897)</x:f>
        <x:v>4000</x:v>
      </x:c>
      <x:c r="K897" s="47" t="n">
        <x:v>960</x:v>
      </x:c>
      <x:c r="L897" s="47" t="n">
        <x:f>G897*K897</x:f>
        <x:v>1920</x:v>
      </x:c>
      <x:c r="M897" s="47" t="n">
        <x:f>J897-L897</x:f>
        <x:v>2080</x:v>
      </x:c>
      <x:c r="N897" s="5" t="str">
        <x:v>Walk-in</x:v>
      </x:c>
      <x:c r="O897" s="5" t="str">
        <x:v>POS</x:v>
      </x:c>
      <x:c r="P897" s="5" t="str">
        <x:v>Dinner</x:v>
      </x:c>
      <x:c r="Q897" s="48" t="n">
        <x:v>17</x:v>
      </x:c>
      <x:c r="R897" s="5" t="n">
        <x:v>4</x:v>
      </x:c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5" t="str">
        <x:v>ORD-00376</x:v>
      </x:c>
      <x:c r="B898" s="43" t="n">
        <x:v>46138</x:v>
      </x:c>
      <x:c r="C898" s="5" t="str">
        <x:v>CUST-0033</x:v>
      </x:c>
      <x:c r="D898" s="5" t="str">
        <x:v>FD002</x:v>
      </x:c>
      <x:c r="E898" s="5" t="str">
        <x:v>Jollof Rice &amp; Chicken</x:v>
      </x:c>
      <x:c r="F898" s="5" t="str">
        <x:v>Rice Meals</x:v>
      </x:c>
      <x:c r="G898" s="44" t="n">
        <x:v>2</x:v>
      </x:c>
      <x:c r="H898" s="45" t="n">
        <x:v>2800</x:v>
      </x:c>
      <x:c r="I898" s="46" t="n">
        <x:v>0</x:v>
      </x:c>
      <x:c r="J898" s="47" t="n">
        <x:f>G898*H898*(1-I898)</x:f>
        <x:v>5600</x:v>
      </x:c>
      <x:c r="K898" s="47" t="n">
        <x:v>1450</x:v>
      </x:c>
      <x:c r="L898" s="47" t="n">
        <x:f>G898*K898</x:f>
        <x:v>2900</x:v>
      </x:c>
      <x:c r="M898" s="47" t="n">
        <x:f>J898-L898</x:f>
        <x:v>2700</x:v>
      </x:c>
      <x:c r="N898" s="5" t="str">
        <x:v>Delivery</x:v>
      </x:c>
      <x:c r="O898" s="5" t="str">
        <x:v>POS</x:v>
      </x:c>
      <x:c r="P898" s="5" t="str">
        <x:v>Dinner</x:v>
      </x:c>
      <x:c r="Q898" s="48" t="n">
        <x:v>16</x:v>
      </x:c>
      <x:c r="R898" s="5" t="n">
        <x:v>5</x:v>
      </x:c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5" t="str">
        <x:v>ORD-00938</x:v>
      </x:c>
      <x:c r="B899" s="43" t="n">
        <x:v>46138</x:v>
      </x:c>
      <x:c r="C899" s="5" t="str">
        <x:v>CUST-0206</x:v>
      </x:c>
      <x:c r="D899" s="5" t="str">
        <x:v>FD002</x:v>
      </x:c>
      <x:c r="E899" s="5" t="str">
        <x:v>Jollof Rice &amp; Chicken</x:v>
      </x:c>
      <x:c r="F899" s="5" t="str">
        <x:v>Rice Meals</x:v>
      </x:c>
      <x:c r="G899" s="44" t="n">
        <x:v>1</x:v>
      </x:c>
      <x:c r="H899" s="45" t="n">
        <x:v>2800</x:v>
      </x:c>
      <x:c r="I899" s="46" t="n">
        <x:v>0</x:v>
      </x:c>
      <x:c r="J899" s="47" t="n">
        <x:f>G899*H899*(1-I899)</x:f>
        <x:v>2800</x:v>
      </x:c>
      <x:c r="K899" s="47" t="n">
        <x:v>1450</x:v>
      </x:c>
      <x:c r="L899" s="47" t="n">
        <x:f>G899*K899</x:f>
        <x:v>1450</x:v>
      </x:c>
      <x:c r="M899" s="47" t="n">
        <x:f>J899-L899</x:f>
        <x:v>1350</x:v>
      </x:c>
      <x:c r="N899" s="5" t="str">
        <x:v>Delivery</x:v>
      </x:c>
      <x:c r="O899" s="5" t="str">
        <x:v>Cash</x:v>
      </x:c>
      <x:c r="P899" s="5" t="str">
        <x:v>Lunch</x:v>
      </x:c>
      <x:c r="Q899" s="48" t="n">
        <x:v>11</x:v>
      </x:c>
      <x:c r="R899" s="5" t="n">
        <x:v>5</x:v>
      </x:c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5" t="str">
        <x:v>ORD-00940</x:v>
      </x:c>
      <x:c r="B900" s="43" t="n">
        <x:v>46138</x:v>
      </x:c>
      <x:c r="C900" s="5" t="str">
        <x:v>CUST-0272</x:v>
      </x:c>
      <x:c r="D900" s="5" t="str">
        <x:v>FD001</x:v>
      </x:c>
      <x:c r="E900" s="5" t="str">
        <x:v>White Rice &amp; Stew</x:v>
      </x:c>
      <x:c r="F900" s="5" t="str">
        <x:v>Rice Meals</x:v>
      </x:c>
      <x:c r="G900" s="44" t="n">
        <x:v>3</x:v>
      </x:c>
      <x:c r="H900" s="45" t="n">
        <x:v>1800</x:v>
      </x:c>
      <x:c r="I900" s="46" t="n">
        <x:v>0</x:v>
      </x:c>
      <x:c r="J900" s="47" t="n">
        <x:f>G900*H900*(1-I900)</x:f>
        <x:v>5400</x:v>
      </x:c>
      <x:c r="K900" s="47" t="n">
        <x:v>820</x:v>
      </x:c>
      <x:c r="L900" s="47" t="n">
        <x:f>G900*K900</x:f>
        <x:v>2460</x:v>
      </x:c>
      <x:c r="M900" s="47" t="n">
        <x:f>J900-L900</x:f>
        <x:v>2940</x:v>
      </x:c>
      <x:c r="N900" s="5" t="str">
        <x:v>Takeaway</x:v>
      </x:c>
      <x:c r="O900" s="5" t="str">
        <x:v>Transfer</x:v>
      </x:c>
      <x:c r="P900" s="5" t="str">
        <x:v>Lunch</x:v>
      </x:c>
      <x:c r="Q900" s="48" t="n">
        <x:v>14</x:v>
      </x:c>
      <x:c r="R900" s="5" t="n">
        <x:v>4</x:v>
      </x:c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5" t="str">
        <x:v>ORD-01269</x:v>
      </x:c>
      <x:c r="B901" s="43" t="n">
        <x:v>46138</x:v>
      </x:c>
      <x:c r="C901" s="5" t="str">
        <x:v>CUST-0632</x:v>
      </x:c>
      <x:c r="D901" s="5" t="str">
        <x:v>FD006</x:v>
      </x:c>
      <x:c r="E901" s="5" t="str">
        <x:v>Eba &amp; Egusi Soup</x:v>
      </x:c>
      <x:c r="F901" s="5" t="str">
        <x:v>Swallow</x:v>
      </x:c>
      <x:c r="G901" s="44" t="n">
        <x:v>3</x:v>
      </x:c>
      <x:c r="H901" s="45" t="n">
        <x:v>2600</x:v>
      </x:c>
      <x:c r="I901" s="46" t="n">
        <x:v>0</x:v>
      </x:c>
      <x:c r="J901" s="47" t="n">
        <x:f>G901*H901*(1-I901)</x:f>
        <x:v>7800</x:v>
      </x:c>
      <x:c r="K901" s="47" t="n">
        <x:v>1320</x:v>
      </x:c>
      <x:c r="L901" s="47" t="n">
        <x:f>G901*K901</x:f>
        <x:v>3960</x:v>
      </x:c>
      <x:c r="M901" s="47" t="n">
        <x:f>J901-L901</x:f>
        <x:v>3840</x:v>
      </x:c>
      <x:c r="N901" s="5" t="str">
        <x:v>Delivery</x:v>
      </x:c>
      <x:c r="O901" s="5" t="str">
        <x:v>POS</x:v>
      </x:c>
      <x:c r="P901" s="5" t="str">
        <x:v>Dinner</x:v>
      </x:c>
      <x:c r="Q901" s="48" t="n">
        <x:v>17</x:v>
      </x:c>
      <x:c r="R901" s="5" t="n">
        <x:v>3</x:v>
      </x:c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5" t="str">
        <x:v>ORD-00141</x:v>
      </x:c>
      <x:c r="B902" s="43" t="n">
        <x:v>46139</x:v>
      </x:c>
      <x:c r="C902" s="5" t="str">
        <x:v>CUST-0030</x:v>
      </x:c>
      <x:c r="D902" s="5" t="str">
        <x:v>FD011</x:v>
      </x:c>
      <x:c r="E902" s="5" t="str">
        <x:v>Bottled Water</x:v>
      </x:c>
      <x:c r="F902" s="5" t="str">
        <x:v>Beverages</x:v>
      </x:c>
      <x:c r="G902" s="44" t="n">
        <x:v>1</x:v>
      </x:c>
      <x:c r="H902" s="45" t="n">
        <x:v>300</x:v>
      </x:c>
      <x:c r="I902" s="46" t="n">
        <x:v>0</x:v>
      </x:c>
      <x:c r="J902" s="47" t="n">
        <x:f>G902*H902*(1-I902)</x:f>
        <x:v>300</x:v>
      </x:c>
      <x:c r="K902" s="47" t="n">
        <x:v>120</x:v>
      </x:c>
      <x:c r="L902" s="47" t="n">
        <x:f>G902*K902</x:f>
        <x:v>120</x:v>
      </x:c>
      <x:c r="M902" s="47" t="n">
        <x:f>J902-L902</x:f>
        <x:v>180</x:v>
      </x:c>
      <x:c r="N902" s="5" t="str">
        <x:v>Takeaway</x:v>
      </x:c>
      <x:c r="O902" s="5" t="str">
        <x:v>POS</x:v>
      </x:c>
      <x:c r="P902" s="5" t="str">
        <x:v>Dinner</x:v>
      </x:c>
      <x:c r="Q902" s="48" t="n">
        <x:v>17</x:v>
      </x:c>
      <x:c r="R902" s="5" t="n">
        <x:v>5</x:v>
      </x:c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5" t="str">
        <x:v>ORD-00142</x:v>
      </x:c>
      <x:c r="B903" s="43" t="n">
        <x:v>46139</x:v>
      </x:c>
      <x:c r="C903" s="5" t="str">
        <x:v>CUST-0468</x:v>
      </x:c>
      <x:c r="D903" s="5" t="str">
        <x:v>FD005</x:v>
      </x:c>
      <x:c r="E903" s="5" t="str">
        <x:v>Yam Porridge</x:v>
      </x:c>
      <x:c r="F903" s="5" t="str">
        <x:v>Traditional Meals</x:v>
      </x:c>
      <x:c r="G903" s="44" t="n">
        <x:v>2</x:v>
      </x:c>
      <x:c r="H903" s="45" t="n">
        <x:v>2200</x:v>
      </x:c>
      <x:c r="I903" s="46" t="n">
        <x:v>0</x:v>
      </x:c>
      <x:c r="J903" s="47" t="n">
        <x:f>G903*H903*(1-I903)</x:f>
        <x:v>4400</x:v>
      </x:c>
      <x:c r="K903" s="47" t="n">
        <x:v>1050</x:v>
      </x:c>
      <x:c r="L903" s="47" t="n">
        <x:f>G903*K903</x:f>
        <x:v>2100</x:v>
      </x:c>
      <x:c r="M903" s="47" t="n">
        <x:f>J903-L903</x:f>
        <x:v>2300</x:v>
      </x:c>
      <x:c r="N903" s="5" t="str">
        <x:v>Walk-in</x:v>
      </x:c>
      <x:c r="O903" s="5" t="str">
        <x:v>Cash</x:v>
      </x:c>
      <x:c r="P903" s="5" t="str">
        <x:v>Dinner</x:v>
      </x:c>
      <x:c r="Q903" s="48" t="n">
        <x:v>16</x:v>
      </x:c>
      <x:c r="R903" s="5" t="n">
        <x:v>5</x:v>
      </x:c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5" t="str">
        <x:v>ORD-00520</x:v>
      </x:c>
      <x:c r="B904" s="43" t="n">
        <x:v>46139</x:v>
      </x:c>
      <x:c r="C904" s="5" t="str">
        <x:v>CUST-0016</x:v>
      </x:c>
      <x:c r="D904" s="5" t="str">
        <x:v>FD002</x:v>
      </x:c>
      <x:c r="E904" s="5" t="str">
        <x:v>Jollof Rice &amp; Chicken</x:v>
      </x:c>
      <x:c r="F904" s="5" t="str">
        <x:v>Rice Meals</x:v>
      </x:c>
      <x:c r="G904" s="44" t="n">
        <x:v>4</x:v>
      </x:c>
      <x:c r="H904" s="45" t="n">
        <x:v>2800</x:v>
      </x:c>
      <x:c r="I904" s="46" t="n">
        <x:v>0</x:v>
      </x:c>
      <x:c r="J904" s="47" t="n">
        <x:f>G904*H904*(1-I904)</x:f>
        <x:v>11200</x:v>
      </x:c>
      <x:c r="K904" s="47" t="n">
        <x:v>1450</x:v>
      </x:c>
      <x:c r="L904" s="47" t="n">
        <x:f>G904*K904</x:f>
        <x:v>5800</x:v>
      </x:c>
      <x:c r="M904" s="47" t="n">
        <x:f>J904-L904</x:f>
        <x:v>5400</x:v>
      </x:c>
      <x:c r="N904" s="5" t="str">
        <x:v>Delivery</x:v>
      </x:c>
      <x:c r="O904" s="5" t="str">
        <x:v>Cash</x:v>
      </x:c>
      <x:c r="P904" s="5" t="str">
        <x:v>Lunch</x:v>
      </x:c>
      <x:c r="Q904" s="48" t="n">
        <x:v>12</x:v>
      </x:c>
      <x:c r="R904" s="5" t="n">
        <x:v>5</x:v>
      </x:c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5" t="str">
        <x:v>ORD-00615</x:v>
      </x:c>
      <x:c r="B905" s="43" t="n">
        <x:v>46139</x:v>
      </x:c>
      <x:c r="C905" s="5" t="str">
        <x:v>CUST-0346</x:v>
      </x:c>
      <x:c r="D905" s="5" t="str">
        <x:v>FD010</x:v>
      </x:c>
      <x:c r="E905" s="5" t="str">
        <x:v>Soft Drink</x:v>
      </x:c>
      <x:c r="F905" s="5" t="str">
        <x:v>Beverages</x:v>
      </x:c>
      <x:c r="G905" s="44" t="n">
        <x:v>4</x:v>
      </x:c>
      <x:c r="H905" s="45" t="n">
        <x:v>600</x:v>
      </x:c>
      <x:c r="I905" s="46" t="n">
        <x:v>0</x:v>
      </x:c>
      <x:c r="J905" s="47" t="n">
        <x:f>G905*H905*(1-I905)</x:f>
        <x:v>2400</x:v>
      </x:c>
      <x:c r="K905" s="47" t="n">
        <x:v>280</x:v>
      </x:c>
      <x:c r="L905" s="47" t="n">
        <x:f>G905*K905</x:f>
        <x:v>1120</x:v>
      </x:c>
      <x:c r="M905" s="47" t="n">
        <x:f>J905-L905</x:f>
        <x:v>1280</x:v>
      </x:c>
      <x:c r="N905" s="5" t="str">
        <x:v>Takeaway</x:v>
      </x:c>
      <x:c r="O905" s="5" t="str">
        <x:v>Cash</x:v>
      </x:c>
      <x:c r="P905" s="5" t="str">
        <x:v>Lunch</x:v>
      </x:c>
      <x:c r="Q905" s="48" t="n">
        <x:v>13</x:v>
      </x:c>
      <x:c r="R905" s="5" t="n">
        <x:v>5</x:v>
      </x:c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5" t="str">
        <x:v>ORD-00687</x:v>
      </x:c>
      <x:c r="B906" s="43" t="n">
        <x:v>46139</x:v>
      </x:c>
      <x:c r="C906" s="5" t="str">
        <x:v>CUST-0616</x:v>
      </x:c>
      <x:c r="D906" s="5" t="str">
        <x:v>FD009</x:v>
      </x:c>
      <x:c r="E906" s="5" t="str">
        <x:v>Moi Moi</x:v>
      </x:c>
      <x:c r="F906" s="5" t="str">
        <x:v>Sides</x:v>
      </x:c>
      <x:c r="G906" s="44" t="n">
        <x:v>4</x:v>
      </x:c>
      <x:c r="H906" s="45" t="n">
        <x:v>900</x:v>
      </x:c>
      <x:c r="I906" s="46" t="n">
        <x:v>0</x:v>
      </x:c>
      <x:c r="J906" s="47" t="n">
        <x:f>G906*H906*(1-I906)</x:f>
        <x:v>3600</x:v>
      </x:c>
      <x:c r="K906" s="47" t="n">
        <x:v>380</x:v>
      </x:c>
      <x:c r="L906" s="47" t="n">
        <x:f>G906*K906</x:f>
        <x:v>1520</x:v>
      </x:c>
      <x:c r="M906" s="47" t="n">
        <x:f>J906-L906</x:f>
        <x:v>2080</x:v>
      </x:c>
      <x:c r="N906" s="5" t="str">
        <x:v>Walk-in</x:v>
      </x:c>
      <x:c r="O906" s="5" t="str">
        <x:v>POS</x:v>
      </x:c>
      <x:c r="P906" s="5" t="str">
        <x:v>Lunch</x:v>
      </x:c>
      <x:c r="Q906" s="48" t="n">
        <x:v>11</x:v>
      </x:c>
      <x:c r="R906" s="5" t="n">
        <x:v>4</x:v>
      </x:c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5" t="str">
        <x:v>ORD-00702</x:v>
      </x:c>
      <x:c r="B907" s="43" t="n">
        <x:v>46139</x:v>
      </x:c>
      <x:c r="C907" s="5" t="str">
        <x:v>CUST-0052</x:v>
      </x:c>
      <x:c r="D907" s="5" t="str">
        <x:v>FD002</x:v>
      </x:c>
      <x:c r="E907" s="5" t="str">
        <x:v>Jollof Rice &amp; Chicken</x:v>
      </x:c>
      <x:c r="F907" s="5" t="str">
        <x:v>Rice Meals</x:v>
      </x:c>
      <x:c r="G907" s="44" t="n">
        <x:v>3</x:v>
      </x:c>
      <x:c r="H907" s="45" t="n">
        <x:v>2800</x:v>
      </x:c>
      <x:c r="I907" s="46" t="n">
        <x:v>0</x:v>
      </x:c>
      <x:c r="J907" s="47" t="n">
        <x:f>G907*H907*(1-I907)</x:f>
        <x:v>8400</x:v>
      </x:c>
      <x:c r="K907" s="47" t="n">
        <x:v>1450</x:v>
      </x:c>
      <x:c r="L907" s="47" t="n">
        <x:f>G907*K907</x:f>
        <x:v>4350</x:v>
      </x:c>
      <x:c r="M907" s="47" t="n">
        <x:f>J907-L907</x:f>
        <x:v>4050</x:v>
      </x:c>
      <x:c r="N907" s="5" t="str">
        <x:v>Walk-in</x:v>
      </x:c>
      <x:c r="O907" s="5" t="str">
        <x:v>Transfer</x:v>
      </x:c>
      <x:c r="P907" s="5" t="str">
        <x:v>Dinner</x:v>
      </x:c>
      <x:c r="Q907" s="48" t="n">
        <x:v>16</x:v>
      </x:c>
      <x:c r="R907" s="5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5" t="str">
        <x:v>ORD-00981</x:v>
      </x:c>
      <x:c r="B908" s="43" t="n">
        <x:v>46139</x:v>
      </x:c>
      <x:c r="C908" s="5" t="str">
        <x:v>CUST-0590</x:v>
      </x:c>
      <x:c r="D908" s="5" t="str">
        <x:v>FD008</x:v>
      </x:c>
      <x:c r="E908" s="5" t="str">
        <x:v>Pounded Yam &amp; Vegetable Soup</x:v>
      </x:c>
      <x:c r="F908" s="5" t="str">
        <x:v>Swallow</x:v>
      </x:c>
      <x:c r="G908" s="44" t="n">
        <x:v>3</x:v>
      </x:c>
      <x:c r="H908" s="45" t="n">
        <x:v>3200</x:v>
      </x:c>
      <x:c r="I908" s="46" t="n">
        <x:v>0</x:v>
      </x:c>
      <x:c r="J908" s="47" t="n">
        <x:f>G908*H908*(1-I908)</x:f>
        <x:v>9600</x:v>
      </x:c>
      <x:c r="K908" s="47" t="n">
        <x:v>1710</x:v>
      </x:c>
      <x:c r="L908" s="47" t="n">
        <x:f>G908*K908</x:f>
        <x:v>5130</x:v>
      </x:c>
      <x:c r="M908" s="47" t="n">
        <x:f>J908-L908</x:f>
        <x:v>4470</x:v>
      </x:c>
      <x:c r="N908" s="5" t="str">
        <x:v>Walk-in</x:v>
      </x:c>
      <x:c r="O908" s="5" t="str">
        <x:v>Cash</x:v>
      </x:c>
      <x:c r="P908" s="5" t="str">
        <x:v>Breakfast</x:v>
      </x:c>
      <x:c r="Q908" s="48" t="n">
        <x:v>9</x:v>
      </x:c>
      <x:c r="R908" s="5" t="n">
        <x:v>4</x:v>
      </x:c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5" t="str">
        <x:v>ORD-01177</x:v>
      </x:c>
      <x:c r="B909" s="43" t="n">
        <x:v>46139</x:v>
      </x:c>
      <x:c r="C909" s="5" t="str">
        <x:v>CUST-0133</x:v>
      </x:c>
      <x:c r="D909" s="5" t="str">
        <x:v>FD007</x:v>
      </x:c>
      <x:c r="E909" s="5" t="str">
        <x:v>Amala &amp; Ewedu</x:v>
      </x:c>
      <x:c r="F909" s="5" t="str">
        <x:v>Swallow</x:v>
      </x:c>
      <x:c r="G909" s="44" t="n">
        <x:v>3</x:v>
      </x:c>
      <x:c r="H909" s="45" t="n">
        <x:v>2500</x:v>
      </x:c>
      <x:c r="I909" s="46" t="n">
        <x:v>0</x:v>
      </x:c>
      <x:c r="J909" s="47" t="n">
        <x:f>G909*H909*(1-I909)</x:f>
        <x:v>7500</x:v>
      </x:c>
      <x:c r="K909" s="47" t="n">
        <x:v>1250</x:v>
      </x:c>
      <x:c r="L909" s="47" t="n">
        <x:f>G909*K909</x:f>
        <x:v>3750</x:v>
      </x:c>
      <x:c r="M909" s="47" t="n">
        <x:f>J909-L909</x:f>
        <x:v>3750</x:v>
      </x:c>
      <x:c r="N909" s="5" t="str">
        <x:v>Takeaway</x:v>
      </x:c>
      <x:c r="O909" s="5" t="str">
        <x:v>POS</x:v>
      </x:c>
      <x:c r="P909" s="5" t="str">
        <x:v>Breakfast</x:v>
      </x:c>
      <x:c r="Q909" s="48" t="n">
        <x:v>8</x:v>
      </x:c>
      <x:c r="R909" s="5" t="n">
        <x:v>5</x:v>
      </x:c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5" t="str">
        <x:v>ORD-01287</x:v>
      </x:c>
      <x:c r="B910" s="43" t="n">
        <x:v>46139</x:v>
      </x:c>
      <x:c r="C910" s="5" t="str">
        <x:v>CUST-0200</x:v>
      </x:c>
      <x:c r="D910" s="5" t="str">
        <x:v>FD006</x:v>
      </x:c>
      <x:c r="E910" s="5" t="str">
        <x:v>Eba &amp; Egusi Soup</x:v>
      </x:c>
      <x:c r="F910" s="5" t="str">
        <x:v>Swallow</x:v>
      </x:c>
      <x:c r="G910" s="44" t="n">
        <x:v>3</x:v>
      </x:c>
      <x:c r="H910" s="45" t="n">
        <x:v>2600</x:v>
      </x:c>
      <x:c r="I910" s="46" t="n">
        <x:v>0</x:v>
      </x:c>
      <x:c r="J910" s="47" t="n">
        <x:f>G910*H910*(1-I910)</x:f>
        <x:v>7800</x:v>
      </x:c>
      <x:c r="K910" s="47" t="n">
        <x:v>1320</x:v>
      </x:c>
      <x:c r="L910" s="47" t="n">
        <x:f>G910*K910</x:f>
        <x:v>3960</x:v>
      </x:c>
      <x:c r="M910" s="47" t="n">
        <x:f>J910-L910</x:f>
        <x:v>3840</x:v>
      </x:c>
      <x:c r="N910" s="5" t="str">
        <x:v>Takeaway</x:v>
      </x:c>
      <x:c r="O910" s="5" t="str">
        <x:v>Cash</x:v>
      </x:c>
      <x:c r="P910" s="5" t="str">
        <x:v>Breakfast</x:v>
      </x:c>
      <x:c r="Q910" s="48" t="n">
        <x:v>9</x:v>
      </x:c>
      <x:c r="R910" s="5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5" t="str">
        <x:v>ORD-01364</x:v>
      </x:c>
      <x:c r="B911" s="43" t="n">
        <x:v>46139</x:v>
      </x:c>
      <x:c r="C911" s="5" t="str">
        <x:v>CUST-0192</x:v>
      </x:c>
      <x:c r="D911" s="5" t="str">
        <x:v>FD004</x:v>
      </x:c>
      <x:c r="E911" s="5" t="str">
        <x:v>Beans &amp; Plantain</x:v>
      </x:c>
      <x:c r="F911" s="5" t="str">
        <x:v>Traditional Meals</x:v>
      </x:c>
      <x:c r="G911" s="44" t="n">
        <x:v>2</x:v>
      </x:c>
      <x:c r="H911" s="45" t="n">
        <x:v>2000</x:v>
      </x:c>
      <x:c r="I911" s="46" t="n">
        <x:v>0</x:v>
      </x:c>
      <x:c r="J911" s="47" t="n">
        <x:f>G911*H911*(1-I911)</x:f>
        <x:v>4000</x:v>
      </x:c>
      <x:c r="K911" s="47" t="n">
        <x:v>960</x:v>
      </x:c>
      <x:c r="L911" s="47" t="n">
        <x:f>G911*K911</x:f>
        <x:v>1920</x:v>
      </x:c>
      <x:c r="M911" s="47" t="n">
        <x:f>J911-L911</x:f>
        <x:v>2080</x:v>
      </x:c>
      <x:c r="N911" s="5" t="str">
        <x:v>Walk-in</x:v>
      </x:c>
      <x:c r="O911" s="5" t="str">
        <x:v>Transfer</x:v>
      </x:c>
      <x:c r="P911" s="5" t="str">
        <x:v>Lunch</x:v>
      </x:c>
      <x:c r="Q911" s="48" t="n">
        <x:v>15</x:v>
      </x:c>
      <x:c r="R911" s="5" t="n">
        <x:v>4</x:v>
      </x:c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5" t="str">
        <x:v>ORD-01503</x:v>
      </x:c>
      <x:c r="B912" s="43" t="n">
        <x:v>46139</x:v>
      </x:c>
      <x:c r="C912" s="5" t="str">
        <x:v>CUST-0063</x:v>
      </x:c>
      <x:c r="D912" s="5" t="str">
        <x:v>FD002</x:v>
      </x:c>
      <x:c r="E912" s="5" t="str">
        <x:v>Jollof Rice &amp; Chicken</x:v>
      </x:c>
      <x:c r="F912" s="5" t="str">
        <x:v>Rice Meals</x:v>
      </x:c>
      <x:c r="G912" s="44" t="n">
        <x:v>1</x:v>
      </x:c>
      <x:c r="H912" s="45" t="n">
        <x:v>2800</x:v>
      </x:c>
      <x:c r="I912" s="46" t="n">
        <x:v>0</x:v>
      </x:c>
      <x:c r="J912" s="47" t="n">
        <x:f>G912*H912*(1-I912)</x:f>
        <x:v>2800</x:v>
      </x:c>
      <x:c r="K912" s="47" t="n">
        <x:v>1450</x:v>
      </x:c>
      <x:c r="L912" s="47" t="n">
        <x:f>G912*K912</x:f>
        <x:v>1450</x:v>
      </x:c>
      <x:c r="M912" s="47" t="n">
        <x:f>J912-L912</x:f>
        <x:v>1350</x:v>
      </x:c>
      <x:c r="N912" s="5" t="str">
        <x:v>Walk-in</x:v>
      </x:c>
      <x:c r="O912" s="5" t="str">
        <x:v>Transfer</x:v>
      </x:c>
      <x:c r="P912" s="5" t="str">
        <x:v>Lunch</x:v>
      </x:c>
      <x:c r="Q912" s="48" t="n">
        <x:v>12</x:v>
      </x:c>
      <x:c r="R912" s="5" t="n">
        <x:v>5</x:v>
      </x:c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5" t="str">
        <x:v>ORD-01519</x:v>
      </x:c>
      <x:c r="B913" s="43" t="n">
        <x:v>46139</x:v>
      </x:c>
      <x:c r="C913" s="5" t="str">
        <x:v>CUST-0186</x:v>
      </x:c>
      <x:c r="D913" s="5" t="str">
        <x:v>FD005</x:v>
      </x:c>
      <x:c r="E913" s="5" t="str">
        <x:v>Yam Porridge</x:v>
      </x:c>
      <x:c r="F913" s="5" t="str">
        <x:v>Traditional Meals</x:v>
      </x:c>
      <x:c r="G913" s="44" t="n">
        <x:v>2</x:v>
      </x:c>
      <x:c r="H913" s="45" t="n">
        <x:v>2200</x:v>
      </x:c>
      <x:c r="I913" s="46" t="n">
        <x:v>0</x:v>
      </x:c>
      <x:c r="J913" s="47" t="n">
        <x:f>G913*H913*(1-I913)</x:f>
        <x:v>4400</x:v>
      </x:c>
      <x:c r="K913" s="47" t="n">
        <x:v>1050</x:v>
      </x:c>
      <x:c r="L913" s="47" t="n">
        <x:f>G913*K913</x:f>
        <x:v>2100</x:v>
      </x:c>
      <x:c r="M913" s="47" t="n">
        <x:f>J913-L913</x:f>
        <x:v>2300</x:v>
      </x:c>
      <x:c r="N913" s="5" t="str">
        <x:v>Takeaway</x:v>
      </x:c>
      <x:c r="O913" s="5" t="str">
        <x:v>Transfer</x:v>
      </x:c>
      <x:c r="P913" s="5" t="str">
        <x:v>Dinner</x:v>
      </x:c>
      <x:c r="Q913" s="48" t="n">
        <x:v>20</x:v>
      </x:c>
      <x:c r="R913" s="5" t="n">
        <x:v>3</x:v>
      </x:c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5" t="str">
        <x:v>ORD-01742</x:v>
      </x:c>
      <x:c r="B914" s="43" t="n">
        <x:v>46139</x:v>
      </x:c>
      <x:c r="C914" s="5" t="str">
        <x:v>CUST-0197</x:v>
      </x:c>
      <x:c r="D914" s="5" t="str">
        <x:v>FD008</x:v>
      </x:c>
      <x:c r="E914" s="5" t="str">
        <x:v>Pounded Yam &amp; Vegetable Soup</x:v>
      </x:c>
      <x:c r="F914" s="5" t="str">
        <x:v>Swallow</x:v>
      </x:c>
      <x:c r="G914" s="44" t="n">
        <x:v>4</x:v>
      </x:c>
      <x:c r="H914" s="45" t="n">
        <x:v>3200</x:v>
      </x:c>
      <x:c r="I914" s="46" t="n">
        <x:v>0.1</x:v>
      </x:c>
      <x:c r="J914" s="47" t="n">
        <x:f>G914*H914*(1-I914)</x:f>
        <x:v>11520</x:v>
      </x:c>
      <x:c r="K914" s="47" t="n">
        <x:v>1710</x:v>
      </x:c>
      <x:c r="L914" s="47" t="n">
        <x:f>G914*K914</x:f>
        <x:v>6840</x:v>
      </x:c>
      <x:c r="M914" s="47" t="n">
        <x:f>J914-L914</x:f>
        <x:v>4680</x:v>
      </x:c>
      <x:c r="N914" s="5" t="str">
        <x:v>Delivery</x:v>
      </x:c>
      <x:c r="O914" s="5" t="str">
        <x:v>Cash</x:v>
      </x:c>
      <x:c r="P914" s="5" t="str">
        <x:v>Dinner</x:v>
      </x:c>
      <x:c r="Q914" s="48" t="n">
        <x:v>18</x:v>
      </x:c>
      <x:c r="R914" s="5" t="n">
        <x:v>4</x:v>
      </x:c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5" t="str">
        <x:v>ORD-00495</x:v>
      </x:c>
      <x:c r="B915" s="43" t="n">
        <x:v>46140</x:v>
      </x:c>
      <x:c r="C915" s="5" t="str">
        <x:v>CUST-0431</x:v>
      </x:c>
      <x:c r="D915" s="5" t="str">
        <x:v>FD004</x:v>
      </x:c>
      <x:c r="E915" s="5" t="str">
        <x:v>Beans &amp; Plantain</x:v>
      </x:c>
      <x:c r="F915" s="5" t="str">
        <x:v>Traditional Meals</x:v>
      </x:c>
      <x:c r="G915" s="44" t="n">
        <x:v>3</x:v>
      </x:c>
      <x:c r="H915" s="45" t="n">
        <x:v>2000</x:v>
      </x:c>
      <x:c r="I915" s="46" t="n">
        <x:v>0</x:v>
      </x:c>
      <x:c r="J915" s="47" t="n">
        <x:f>G915*H915*(1-I915)</x:f>
        <x:v>6000</x:v>
      </x:c>
      <x:c r="K915" s="47" t="n">
        <x:v>960</x:v>
      </x:c>
      <x:c r="L915" s="47" t="n">
        <x:f>G915*K915</x:f>
        <x:v>2880</x:v>
      </x:c>
      <x:c r="M915" s="47" t="n">
        <x:f>J915-L915</x:f>
        <x:v>3120</x:v>
      </x:c>
      <x:c r="N915" s="5" t="str">
        <x:v>Walk-in</x:v>
      </x:c>
      <x:c r="O915" s="5" t="str">
        <x:v>Cash</x:v>
      </x:c>
      <x:c r="P915" s="5" t="str">
        <x:v>Lunch</x:v>
      </x:c>
      <x:c r="Q915" s="48" t="n">
        <x:v>14</x:v>
      </x:c>
      <x:c r="R915" s="5" t="n">
        <x:v>3</x:v>
      </x:c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5" t="str">
        <x:v>ORD-00565</x:v>
      </x:c>
      <x:c r="B916" s="43" t="n">
        <x:v>46140</x:v>
      </x:c>
      <x:c r="C916" s="5" t="str">
        <x:v>CUST-0428</x:v>
      </x:c>
      <x:c r="D916" s="5" t="str">
        <x:v>FD001</x:v>
      </x:c>
      <x:c r="E916" s="5" t="str">
        <x:v>White Rice &amp; Stew</x:v>
      </x:c>
      <x:c r="F916" s="5" t="str">
        <x:v>Rice Meals</x:v>
      </x:c>
      <x:c r="G916" s="44" t="n">
        <x:v>4</x:v>
      </x:c>
      <x:c r="H916" s="45" t="n">
        <x:v>1800</x:v>
      </x:c>
      <x:c r="I916" s="46" t="n">
        <x:v>0</x:v>
      </x:c>
      <x:c r="J916" s="47" t="n">
        <x:f>G916*H916*(1-I916)</x:f>
        <x:v>7200</x:v>
      </x:c>
      <x:c r="K916" s="47" t="n">
        <x:v>820</x:v>
      </x:c>
      <x:c r="L916" s="47" t="n">
        <x:f>G916*K916</x:f>
        <x:v>3280</x:v>
      </x:c>
      <x:c r="M916" s="47" t="n">
        <x:f>J916-L916</x:f>
        <x:v>3920</x:v>
      </x:c>
      <x:c r="N916" s="5" t="str">
        <x:v>Walk-in</x:v>
      </x:c>
      <x:c r="O916" s="5" t="str">
        <x:v>Transfer</x:v>
      </x:c>
      <x:c r="P916" s="5" t="str">
        <x:v>Dinner</x:v>
      </x:c>
      <x:c r="Q916" s="48" t="n">
        <x:v>19</x:v>
      </x:c>
      <x:c r="R916" s="5" t="n">
        <x:v>5</x:v>
      </x:c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5" t="str">
        <x:v>ORD-00621</x:v>
      </x:c>
      <x:c r="B917" s="43" t="n">
        <x:v>46140</x:v>
      </x:c>
      <x:c r="C917" s="5" t="str">
        <x:v>CUST-0343</x:v>
      </x:c>
      <x:c r="D917" s="5" t="str">
        <x:v>FD006</x:v>
      </x:c>
      <x:c r="E917" s="5" t="str">
        <x:v>Eba &amp; Egusi Soup</x:v>
      </x:c>
      <x:c r="F917" s="5" t="str">
        <x:v>Swallow</x:v>
      </x:c>
      <x:c r="G917" s="44" t="n">
        <x:v>2</x:v>
      </x:c>
      <x:c r="H917" s="45" t="n">
        <x:v>2600</x:v>
      </x:c>
      <x:c r="I917" s="46" t="n">
        <x:v>0</x:v>
      </x:c>
      <x:c r="J917" s="47" t="n">
        <x:f>G917*H917*(1-I917)</x:f>
        <x:v>5200</x:v>
      </x:c>
      <x:c r="K917" s="47" t="n">
        <x:v>1320</x:v>
      </x:c>
      <x:c r="L917" s="47" t="n">
        <x:f>G917*K917</x:f>
        <x:v>2640</x:v>
      </x:c>
      <x:c r="M917" s="47" t="n">
        <x:f>J917-L917</x:f>
        <x:v>2560</x:v>
      </x:c>
      <x:c r="N917" s="5" t="str">
        <x:v>Delivery</x:v>
      </x:c>
      <x:c r="O917" s="5" t="str">
        <x:v>Transfer</x:v>
      </x:c>
      <x:c r="P917" s="5" t="str">
        <x:v>Breakfast</x:v>
      </x:c>
      <x:c r="Q917" s="48" t="n">
        <x:v>9</x:v>
      </x:c>
      <x:c r="R917" s="5" t="n">
        <x:v>3</x:v>
      </x:c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5" t="str">
        <x:v>ORD-00932</x:v>
      </x:c>
      <x:c r="B918" s="43" t="n">
        <x:v>46140</x:v>
      </x:c>
      <x:c r="C918" s="5" t="str">
        <x:v>CUST-0149</x:v>
      </x:c>
      <x:c r="D918" s="5" t="str">
        <x:v>FD001</x:v>
      </x:c>
      <x:c r="E918" s="5" t="str">
        <x:v>White Rice &amp; Stew</x:v>
      </x:c>
      <x:c r="F918" s="5" t="str">
        <x:v>Rice Meals</x:v>
      </x:c>
      <x:c r="G918" s="44" t="n">
        <x:v>1</x:v>
      </x:c>
      <x:c r="H918" s="45" t="n">
        <x:v>1800</x:v>
      </x:c>
      <x:c r="I918" s="46" t="n">
        <x:v>0</x:v>
      </x:c>
      <x:c r="J918" s="47" t="n">
        <x:f>G918*H918*(1-I918)</x:f>
        <x:v>1800</x:v>
      </x:c>
      <x:c r="K918" s="47" t="n">
        <x:v>820</x:v>
      </x:c>
      <x:c r="L918" s="47" t="n">
        <x:f>G918*K918</x:f>
        <x:v>820</x:v>
      </x:c>
      <x:c r="M918" s="47" t="n">
        <x:f>J918-L918</x:f>
        <x:v>980</x:v>
      </x:c>
      <x:c r="N918" s="5" t="str">
        <x:v>Walk-in</x:v>
      </x:c>
      <x:c r="O918" s="5" t="str">
        <x:v>Transfer</x:v>
      </x:c>
      <x:c r="P918" s="5" t="str">
        <x:v>Lunch</x:v>
      </x:c>
      <x:c r="Q918" s="48" t="n">
        <x:v>11</x:v>
      </x:c>
      <x:c r="R918" s="5" t="n">
        <x:v>5</x:v>
      </x:c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5" t="str">
        <x:v>ORD-01284</x:v>
      </x:c>
      <x:c r="B919" s="43" t="n">
        <x:v>46140</x:v>
      </x:c>
      <x:c r="C919" s="5" t="str">
        <x:v>CUST-0434</x:v>
      </x:c>
      <x:c r="D919" s="5" t="str">
        <x:v>FD003</x:v>
      </x:c>
      <x:c r="E919" s="5" t="str">
        <x:v>Fried Rice &amp; Chicken</x:v>
      </x:c>
      <x:c r="F919" s="5" t="str">
        <x:v>Rice Meals</x:v>
      </x:c>
      <x:c r="G919" s="44" t="n">
        <x:v>1</x:v>
      </x:c>
      <x:c r="H919" s="45" t="n">
        <x:v>3000</x:v>
      </x:c>
      <x:c r="I919" s="46" t="n">
        <x:v>0</x:v>
      </x:c>
      <x:c r="J919" s="47" t="n">
        <x:f>G919*H919*(1-I919)</x:f>
        <x:v>3000</x:v>
      </x:c>
      <x:c r="K919" s="47" t="n">
        <x:v>1580</x:v>
      </x:c>
      <x:c r="L919" s="47" t="n">
        <x:f>G919*K919</x:f>
        <x:v>1580</x:v>
      </x:c>
      <x:c r="M919" s="47" t="n">
        <x:f>J919-L919</x:f>
        <x:v>1420</x:v>
      </x:c>
      <x:c r="N919" s="5" t="str">
        <x:v>Delivery</x:v>
      </x:c>
      <x:c r="O919" s="5" t="str">
        <x:v>Transfer</x:v>
      </x:c>
      <x:c r="P919" s="5" t="str">
        <x:v>Lunch</x:v>
      </x:c>
      <x:c r="Q919" s="48" t="n">
        <x:v>13</x:v>
      </x:c>
      <x:c r="R919" s="5" t="n">
        <x:v>5</x:v>
      </x:c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5" t="str">
        <x:v>ORD-01313</x:v>
      </x:c>
      <x:c r="B920" s="43" t="n">
        <x:v>46140</x:v>
      </x:c>
      <x:c r="C920" s="5" t="str">
        <x:v>CUST-0637</x:v>
      </x:c>
      <x:c r="D920" s="5" t="str">
        <x:v>FD004</x:v>
      </x:c>
      <x:c r="E920" s="5" t="str">
        <x:v>Beans &amp; Plantain</x:v>
      </x:c>
      <x:c r="F920" s="5" t="str">
        <x:v>Traditional Meals</x:v>
      </x:c>
      <x:c r="G920" s="44" t="n">
        <x:v>4</x:v>
      </x:c>
      <x:c r="H920" s="45" t="n">
        <x:v>2000</x:v>
      </x:c>
      <x:c r="I920" s="46" t="n">
        <x:v>0</x:v>
      </x:c>
      <x:c r="J920" s="47" t="n">
        <x:f>G920*H920*(1-I920)</x:f>
        <x:v>8000</x:v>
      </x:c>
      <x:c r="K920" s="47" t="n">
        <x:v>960</x:v>
      </x:c>
      <x:c r="L920" s="47" t="n">
        <x:f>G920*K920</x:f>
        <x:v>3840</x:v>
      </x:c>
      <x:c r="M920" s="47" t="n">
        <x:f>J920-L920</x:f>
        <x:v>4160</x:v>
      </x:c>
      <x:c r="N920" s="5" t="str">
        <x:v>Takeaway</x:v>
      </x:c>
      <x:c r="O920" s="5" t="str">
        <x:v>Transfer</x:v>
      </x:c>
      <x:c r="P920" s="5" t="str">
        <x:v>Lunch</x:v>
      </x:c>
      <x:c r="Q920" s="48" t="n">
        <x:v>15</x:v>
      </x:c>
      <x:c r="R920" s="5" t="n">
        <x:v>4</x:v>
      </x:c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5" t="str">
        <x:v>ORD-00524</x:v>
      </x:c>
      <x:c r="B921" s="43" t="n">
        <x:v>46141</x:v>
      </x:c>
      <x:c r="C921" s="5" t="str">
        <x:v>CUST-0429</x:v>
      </x:c>
      <x:c r="D921" s="5" t="str">
        <x:v>FD004</x:v>
      </x:c>
      <x:c r="E921" s="5" t="str">
        <x:v>Beans &amp; Plantain</x:v>
      </x:c>
      <x:c r="F921" s="5" t="str">
        <x:v>Traditional Meals</x:v>
      </x:c>
      <x:c r="G921" s="44" t="n">
        <x:v>4</x:v>
      </x:c>
      <x:c r="H921" s="45" t="n">
        <x:v>2000</x:v>
      </x:c>
      <x:c r="I921" s="46" t="n">
        <x:v>0</x:v>
      </x:c>
      <x:c r="J921" s="47" t="n">
        <x:f>G921*H921*(1-I921)</x:f>
        <x:v>8000</x:v>
      </x:c>
      <x:c r="K921" s="47" t="n">
        <x:v>960</x:v>
      </x:c>
      <x:c r="L921" s="47" t="n">
        <x:f>G921*K921</x:f>
        <x:v>3840</x:v>
      </x:c>
      <x:c r="M921" s="47" t="n">
        <x:f>J921-L921</x:f>
        <x:v>4160</x:v>
      </x:c>
      <x:c r="N921" s="5" t="str">
        <x:v>Delivery</x:v>
      </x:c>
      <x:c r="O921" s="5" t="str">
        <x:v>Cash</x:v>
      </x:c>
      <x:c r="P921" s="5" t="str">
        <x:v>Dinner</x:v>
      </x:c>
      <x:c r="Q921" s="48" t="n">
        <x:v>17</x:v>
      </x:c>
      <x:c r="R921" s="5" t="n">
        <x:v>5</x:v>
      </x:c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5" t="str">
        <x:v>ORD-00652</x:v>
      </x:c>
      <x:c r="B922" s="43" t="n">
        <x:v>46141</x:v>
      </x:c>
      <x:c r="C922" s="5" t="str">
        <x:v>CUST-0227</x:v>
      </x:c>
      <x:c r="D922" s="5" t="str">
        <x:v>FD004</x:v>
      </x:c>
      <x:c r="E922" s="5" t="str">
        <x:v>Beans &amp; Plantain</x:v>
      </x:c>
      <x:c r="F922" s="5" t="str">
        <x:v>Traditional Meals</x:v>
      </x:c>
      <x:c r="G922" s="44" t="n">
        <x:v>2</x:v>
      </x:c>
      <x:c r="H922" s="45" t="n">
        <x:v>2000</x:v>
      </x:c>
      <x:c r="I922" s="46" t="n">
        <x:v>0</x:v>
      </x:c>
      <x:c r="J922" s="47" t="n">
        <x:f>G922*H922*(1-I922)</x:f>
        <x:v>4000</x:v>
      </x:c>
      <x:c r="K922" s="47" t="n">
        <x:v>960</x:v>
      </x:c>
      <x:c r="L922" s="47" t="n">
        <x:f>G922*K922</x:f>
        <x:v>1920</x:v>
      </x:c>
      <x:c r="M922" s="47" t="n">
        <x:f>J922-L922</x:f>
        <x:v>2080</x:v>
      </x:c>
      <x:c r="N922" s="5" t="str">
        <x:v>Walk-in</x:v>
      </x:c>
      <x:c r="O922" s="5" t="str">
        <x:v>Transfer</x:v>
      </x:c>
      <x:c r="P922" s="5" t="str">
        <x:v>Breakfast</x:v>
      </x:c>
      <x:c r="Q922" s="48" t="n">
        <x:v>9</x:v>
      </x:c>
      <x:c r="R922" s="5" t="n">
        <x:v>5</x:v>
      </x:c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5" t="str">
        <x:v>ORD-00847</x:v>
      </x:c>
      <x:c r="B923" s="43" t="n">
        <x:v>46141</x:v>
      </x:c>
      <x:c r="C923" s="5" t="str">
        <x:v>CUST-0102</x:v>
      </x:c>
      <x:c r="D923" s="5" t="str">
        <x:v>FD004</x:v>
      </x:c>
      <x:c r="E923" s="5" t="str">
        <x:v>Beans &amp; Plantain</x:v>
      </x:c>
      <x:c r="F923" s="5" t="str">
        <x:v>Traditional Meals</x:v>
      </x:c>
      <x:c r="G923" s="44" t="n">
        <x:v>1</x:v>
      </x:c>
      <x:c r="H923" s="45" t="n">
        <x:v>2000</x:v>
      </x:c>
      <x:c r="I923" s="46" t="n">
        <x:v>0</x:v>
      </x:c>
      <x:c r="J923" s="47" t="n">
        <x:f>G923*H923*(1-I923)</x:f>
        <x:v>2000</x:v>
      </x:c>
      <x:c r="K923" s="47" t="n">
        <x:v>960</x:v>
      </x:c>
      <x:c r="L923" s="47" t="n">
        <x:f>G923*K923</x:f>
        <x:v>960</x:v>
      </x:c>
      <x:c r="M923" s="47" t="n">
        <x:f>J923-L923</x:f>
        <x:v>1040</x:v>
      </x:c>
      <x:c r="N923" s="5" t="str">
        <x:v>Walk-in</x:v>
      </x:c>
      <x:c r="O923" s="5" t="str">
        <x:v>Transfer</x:v>
      </x:c>
      <x:c r="P923" s="5" t="str">
        <x:v>Breakfast</x:v>
      </x:c>
      <x:c r="Q923" s="48" t="n">
        <x:v>9</x:v>
      </x:c>
      <x:c r="R923" s="5" t="n">
        <x:v>4</x:v>
      </x:c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5" t="str">
        <x:v>ORD-00956</x:v>
      </x:c>
      <x:c r="B924" s="43" t="n">
        <x:v>46141</x:v>
      </x:c>
      <x:c r="C924" s="5" t="str">
        <x:v>CUST-0619</x:v>
      </x:c>
      <x:c r="D924" s="5" t="str">
        <x:v>FD002</x:v>
      </x:c>
      <x:c r="E924" s="5" t="str">
        <x:v>Jollof Rice &amp; Chicken</x:v>
      </x:c>
      <x:c r="F924" s="5" t="str">
        <x:v>Rice Meals</x:v>
      </x:c>
      <x:c r="G924" s="44" t="n">
        <x:v>4</x:v>
      </x:c>
      <x:c r="H924" s="45" t="n">
        <x:v>2800</x:v>
      </x:c>
      <x:c r="I924" s="46" t="n">
        <x:v>0</x:v>
      </x:c>
      <x:c r="J924" s="47" t="n">
        <x:f>G924*H924*(1-I924)</x:f>
        <x:v>11200</x:v>
      </x:c>
      <x:c r="K924" s="47" t="n">
        <x:v>1450</x:v>
      </x:c>
      <x:c r="L924" s="47" t="n">
        <x:f>G924*K924</x:f>
        <x:v>5800</x:v>
      </x:c>
      <x:c r="M924" s="47" t="n">
        <x:f>J924-L924</x:f>
        <x:v>5400</x:v>
      </x:c>
      <x:c r="N924" s="5" t="str">
        <x:v>Delivery</x:v>
      </x:c>
      <x:c r="O924" s="5" t="str">
        <x:v>Transfer</x:v>
      </x:c>
      <x:c r="P924" s="5" t="str">
        <x:v>Dinner</x:v>
      </x:c>
      <x:c r="Q924" s="48" t="n">
        <x:v>18</x:v>
      </x:c>
      <x:c r="R924" s="5" t="n">
        <x:v>4</x:v>
      </x:c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5" t="str">
        <x:v>ORD-01076</x:v>
      </x:c>
      <x:c r="B925" s="43" t="n">
        <x:v>46141</x:v>
      </x:c>
      <x:c r="C925" s="5" t="str">
        <x:v>CUST-0450</x:v>
      </x:c>
      <x:c r="D925" s="5" t="str">
        <x:v>FD010</x:v>
      </x:c>
      <x:c r="E925" s="5" t="str">
        <x:v>Soft Drink</x:v>
      </x:c>
      <x:c r="F925" s="5" t="str">
        <x:v>Beverages</x:v>
      </x:c>
      <x:c r="G925" s="44" t="n">
        <x:v>2</x:v>
      </x:c>
      <x:c r="H925" s="45" t="n">
        <x:v>600</x:v>
      </x:c>
      <x:c r="I925" s="46" t="n">
        <x:v>0</x:v>
      </x:c>
      <x:c r="J925" s="47" t="n">
        <x:f>G925*H925*(1-I925)</x:f>
        <x:v>1200</x:v>
      </x:c>
      <x:c r="K925" s="47" t="n">
        <x:v>280</x:v>
      </x:c>
      <x:c r="L925" s="47" t="n">
        <x:f>G925*K925</x:f>
        <x:v>560</x:v>
      </x:c>
      <x:c r="M925" s="47" t="n">
        <x:f>J925-L925</x:f>
        <x:v>640</x:v>
      </x:c>
      <x:c r="N925" s="5" t="str">
        <x:v>Walk-in</x:v>
      </x:c>
      <x:c r="O925" s="5" t="str">
        <x:v>Transfer</x:v>
      </x:c>
      <x:c r="P925" s="5" t="str">
        <x:v>Dinner</x:v>
      </x:c>
      <x:c r="Q925" s="48" t="n">
        <x:v>20</x:v>
      </x:c>
      <x:c r="R925" s="5" t="n">
        <x:v>4</x:v>
      </x:c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5" t="str">
        <x:v>ORD-01167</x:v>
      </x:c>
      <x:c r="B926" s="43" t="n">
        <x:v>46141</x:v>
      </x:c>
      <x:c r="C926" s="5" t="str">
        <x:v>CUST-0646</x:v>
      </x:c>
      <x:c r="D926" s="5" t="str">
        <x:v>FD001</x:v>
      </x:c>
      <x:c r="E926" s="5" t="str">
        <x:v>White Rice &amp; Stew</x:v>
      </x:c>
      <x:c r="F926" s="5" t="str">
        <x:v>Rice Meals</x:v>
      </x:c>
      <x:c r="G926" s="44" t="n">
        <x:v>2</x:v>
      </x:c>
      <x:c r="H926" s="45" t="n">
        <x:v>1800</x:v>
      </x:c>
      <x:c r="I926" s="46" t="n">
        <x:v>0</x:v>
      </x:c>
      <x:c r="J926" s="47" t="n">
        <x:f>G926*H926*(1-I926)</x:f>
        <x:v>3600</x:v>
      </x:c>
      <x:c r="K926" s="47" t="n">
        <x:v>820</x:v>
      </x:c>
      <x:c r="L926" s="47" t="n">
        <x:f>G926*K926</x:f>
        <x:v>1640</x:v>
      </x:c>
      <x:c r="M926" s="47" t="n">
        <x:f>J926-L926</x:f>
        <x:v>1960</x:v>
      </x:c>
      <x:c r="N926" s="5" t="str">
        <x:v>Takeaway</x:v>
      </x:c>
      <x:c r="O926" s="5" t="str">
        <x:v>Transfer</x:v>
      </x:c>
      <x:c r="P926" s="5" t="str">
        <x:v>Breakfast</x:v>
      </x:c>
      <x:c r="Q926" s="48" t="n">
        <x:v>8</x:v>
      </x:c>
      <x:c r="R926" s="5" t="n">
        <x:v>4</x:v>
      </x:c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5" t="str">
        <x:v>ORD-01261</x:v>
      </x:c>
      <x:c r="B927" s="43" t="n">
        <x:v>46141</x:v>
      </x:c>
      <x:c r="C927" s="5" t="str">
        <x:v>CUST-0226</x:v>
      </x:c>
      <x:c r="D927" s="5" t="str">
        <x:v>FD007</x:v>
      </x:c>
      <x:c r="E927" s="5" t="str">
        <x:v>Amala &amp; Ewedu</x:v>
      </x:c>
      <x:c r="F927" s="5" t="str">
        <x:v>Swallow</x:v>
      </x:c>
      <x:c r="G927" s="44" t="n">
        <x:v>1</x:v>
      </x:c>
      <x:c r="H927" s="45" t="n">
        <x:v>2500</x:v>
      </x:c>
      <x:c r="I927" s="46" t="n">
        <x:v>0</x:v>
      </x:c>
      <x:c r="J927" s="47" t="n">
        <x:f>G927*H927*(1-I927)</x:f>
        <x:v>2500</x:v>
      </x:c>
      <x:c r="K927" s="47" t="n">
        <x:v>1250</x:v>
      </x:c>
      <x:c r="L927" s="47" t="n">
        <x:f>G927*K927</x:f>
        <x:v>1250</x:v>
      </x:c>
      <x:c r="M927" s="47" t="n">
        <x:f>J927-L927</x:f>
        <x:v>1250</x:v>
      </x:c>
      <x:c r="N927" s="5" t="str">
        <x:v>Takeaway</x:v>
      </x:c>
      <x:c r="O927" s="5" t="str">
        <x:v>Cash</x:v>
      </x:c>
      <x:c r="P927" s="5" t="str">
        <x:v>Dinner</x:v>
      </x:c>
      <x:c r="Q927" s="48" t="n">
        <x:v>20</x:v>
      </x:c>
      <x:c r="R927" s="5" t="n">
        <x:v>3</x:v>
      </x:c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5" t="str">
        <x:v>ORD-01282</x:v>
      </x:c>
      <x:c r="B928" s="43" t="n">
        <x:v>46141</x:v>
      </x:c>
      <x:c r="C928" s="5" t="str">
        <x:v>CUST-0329</x:v>
      </x:c>
      <x:c r="D928" s="5" t="str">
        <x:v>FD002</x:v>
      </x:c>
      <x:c r="E928" s="5" t="str">
        <x:v>Jollof Rice &amp; Chicken</x:v>
      </x:c>
      <x:c r="F928" s="5" t="str">
        <x:v>Rice Meals</x:v>
      </x:c>
      <x:c r="G928" s="44" t="n">
        <x:v>1</x:v>
      </x:c>
      <x:c r="H928" s="45" t="n">
        <x:v>2800</x:v>
      </x:c>
      <x:c r="I928" s="46" t="n">
        <x:v>0</x:v>
      </x:c>
      <x:c r="J928" s="47" t="n">
        <x:f>G928*H928*(1-I928)</x:f>
        <x:v>2800</x:v>
      </x:c>
      <x:c r="K928" s="47" t="n">
        <x:v>1450</x:v>
      </x:c>
      <x:c r="L928" s="47" t="n">
        <x:f>G928*K928</x:f>
        <x:v>1450</x:v>
      </x:c>
      <x:c r="M928" s="47" t="n">
        <x:f>J928-L928</x:f>
        <x:v>1350</x:v>
      </x:c>
      <x:c r="N928" s="5" t="str">
        <x:v>Walk-in</x:v>
      </x:c>
      <x:c r="O928" s="5" t="str">
        <x:v>Transfer</x:v>
      </x:c>
      <x:c r="P928" s="5" t="str">
        <x:v>Dinner</x:v>
      </x:c>
      <x:c r="Q928" s="48" t="n">
        <x:v>17</x:v>
      </x:c>
      <x:c r="R928" s="5" t="n">
        <x:v>5</x:v>
      </x:c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5" t="str">
        <x:v>ORD-01550</x:v>
      </x:c>
      <x:c r="B929" s="43" t="n">
        <x:v>46141</x:v>
      </x:c>
      <x:c r="C929" s="5" t="str">
        <x:v>CUST-0038</x:v>
      </x:c>
      <x:c r="D929" s="5" t="str">
        <x:v>FD006</x:v>
      </x:c>
      <x:c r="E929" s="5" t="str">
        <x:v>Eba &amp; Egusi Soup</x:v>
      </x:c>
      <x:c r="F929" s="5" t="str">
        <x:v>Swallow</x:v>
      </x:c>
      <x:c r="G929" s="44" t="n">
        <x:v>1</x:v>
      </x:c>
      <x:c r="H929" s="45" t="n">
        <x:v>2600</x:v>
      </x:c>
      <x:c r="I929" s="46" t="n">
        <x:v>0</x:v>
      </x:c>
      <x:c r="J929" s="47" t="n">
        <x:f>G929*H929*(1-I929)</x:f>
        <x:v>2600</x:v>
      </x:c>
      <x:c r="K929" s="47" t="n">
        <x:v>1320</x:v>
      </x:c>
      <x:c r="L929" s="47" t="n">
        <x:f>G929*K929</x:f>
        <x:v>1320</x:v>
      </x:c>
      <x:c r="M929" s="47" t="n">
        <x:f>J929-L929</x:f>
        <x:v>1280</x:v>
      </x:c>
      <x:c r="N929" s="5" t="str">
        <x:v>Delivery</x:v>
      </x:c>
      <x:c r="O929" s="5" t="str">
        <x:v>POS</x:v>
      </x:c>
      <x:c r="P929" s="5" t="str">
        <x:v>Lunch</x:v>
      </x:c>
      <x:c r="Q929" s="48" t="n">
        <x:v>13</x:v>
      </x:c>
      <x:c r="R929" s="5" t="n">
        <x:v>4</x:v>
      </x:c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5" t="str">
        <x:v>ORD-01794</x:v>
      </x:c>
      <x:c r="B930" s="43" t="n">
        <x:v>46141</x:v>
      </x:c>
      <x:c r="C930" s="5" t="str">
        <x:v>CUST-0194</x:v>
      </x:c>
      <x:c r="D930" s="5" t="str">
        <x:v>FD007</x:v>
      </x:c>
      <x:c r="E930" s="5" t="str">
        <x:v>Amala &amp; Ewedu</x:v>
      </x:c>
      <x:c r="F930" s="5" t="str">
        <x:v>Swallow</x:v>
      </x:c>
      <x:c r="G930" s="44" t="n">
        <x:v>2</x:v>
      </x:c>
      <x:c r="H930" s="45" t="n">
        <x:v>2500</x:v>
      </x:c>
      <x:c r="I930" s="46" t="n">
        <x:v>0</x:v>
      </x:c>
      <x:c r="J930" s="47" t="n">
        <x:f>G930*H930*(1-I930)</x:f>
        <x:v>5000</x:v>
      </x:c>
      <x:c r="K930" s="47" t="n">
        <x:v>1250</x:v>
      </x:c>
      <x:c r="L930" s="47" t="n">
        <x:f>G930*K930</x:f>
        <x:v>2500</x:v>
      </x:c>
      <x:c r="M930" s="47" t="n">
        <x:f>J930-L930</x:f>
        <x:v>2500</x:v>
      </x:c>
      <x:c r="N930" s="5" t="str">
        <x:v>Delivery</x:v>
      </x:c>
      <x:c r="O930" s="5" t="str">
        <x:v>Transfer</x:v>
      </x:c>
      <x:c r="P930" s="5" t="str">
        <x:v>Lunch</x:v>
      </x:c>
      <x:c r="Q930" s="48" t="n">
        <x:v>11</x:v>
      </x:c>
      <x:c r="R930" s="5" t="n">
        <x:v>4</x:v>
      </x:c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5" t="str">
        <x:v>ORD-00010</x:v>
      </x:c>
      <x:c r="B931" s="43" t="n">
        <x:v>46142</x:v>
      </x:c>
      <x:c r="C931" s="5" t="str">
        <x:v>CUST-0517</x:v>
      </x:c>
      <x:c r="D931" s="5" t="str">
        <x:v>FD003</x:v>
      </x:c>
      <x:c r="E931" s="5" t="str">
        <x:v>Fried Rice &amp; Chicken</x:v>
      </x:c>
      <x:c r="F931" s="5" t="str">
        <x:v>Rice Meals</x:v>
      </x:c>
      <x:c r="G931" s="44" t="n">
        <x:v>4</x:v>
      </x:c>
      <x:c r="H931" s="45" t="n">
        <x:v>3000</x:v>
      </x:c>
      <x:c r="I931" s="46" t="n">
        <x:v>0</x:v>
      </x:c>
      <x:c r="J931" s="47" t="n">
        <x:f>G931*H931*(1-I931)</x:f>
        <x:v>12000</x:v>
      </x:c>
      <x:c r="K931" s="47" t="n">
        <x:v>1580</x:v>
      </x:c>
      <x:c r="L931" s="47" t="n">
        <x:f>G931*K931</x:f>
        <x:v>6320</x:v>
      </x:c>
      <x:c r="M931" s="47" t="n">
        <x:f>J931-L931</x:f>
        <x:v>5680</x:v>
      </x:c>
      <x:c r="N931" s="5" t="str">
        <x:v>Walk-in</x:v>
      </x:c>
      <x:c r="O931" s="5" t="str">
        <x:v>Cash</x:v>
      </x:c>
      <x:c r="P931" s="5" t="str">
        <x:v>Lunch</x:v>
      </x:c>
      <x:c r="Q931" s="48" t="n">
        <x:v>15</x:v>
      </x:c>
      <x:c r="R931" s="5" t="n">
        <x:v>4</x:v>
      </x:c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5" t="str">
        <x:v>ORD-00015</x:v>
      </x:c>
      <x:c r="B932" s="43" t="n">
        <x:v>46142</x:v>
      </x:c>
      <x:c r="C932" s="5" t="str">
        <x:v>CUST-0121</x:v>
      </x:c>
      <x:c r="D932" s="5" t="str">
        <x:v>FD007</x:v>
      </x:c>
      <x:c r="E932" s="5" t="str">
        <x:v>Amala &amp; Ewedu</x:v>
      </x:c>
      <x:c r="F932" s="5" t="str">
        <x:v>Swallow</x:v>
      </x:c>
      <x:c r="G932" s="44" t="n">
        <x:v>1</x:v>
      </x:c>
      <x:c r="H932" s="45" t="n">
        <x:v>2500</x:v>
      </x:c>
      <x:c r="I932" s="46" t="n">
        <x:v>0</x:v>
      </x:c>
      <x:c r="J932" s="47" t="n">
        <x:f>G932*H932*(1-I932)</x:f>
        <x:v>2500</x:v>
      </x:c>
      <x:c r="K932" s="47" t="n">
        <x:v>1250</x:v>
      </x:c>
      <x:c r="L932" s="47" t="n">
        <x:f>G932*K932</x:f>
        <x:v>1250</x:v>
      </x:c>
      <x:c r="M932" s="47" t="n">
        <x:f>J932-L932</x:f>
        <x:v>1250</x:v>
      </x:c>
      <x:c r="N932" s="5" t="str">
        <x:v>Delivery</x:v>
      </x:c>
      <x:c r="O932" s="5" t="str">
        <x:v>Transfer</x:v>
      </x:c>
      <x:c r="P932" s="5" t="str">
        <x:v>Breakfast</x:v>
      </x:c>
      <x:c r="Q932" s="48" t="n">
        <x:v>9</x:v>
      </x:c>
      <x:c r="R932" s="5" t="n">
        <x:v>4</x:v>
      </x:c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5" t="str">
        <x:v>ORD-00116</x:v>
      </x:c>
      <x:c r="B933" s="43" t="n">
        <x:v>46142</x:v>
      </x:c>
      <x:c r="C933" s="5" t="str">
        <x:v>CUST-0612</x:v>
      </x:c>
      <x:c r="D933" s="5" t="str">
        <x:v>FD001</x:v>
      </x:c>
      <x:c r="E933" s="5" t="str">
        <x:v>White Rice &amp; Stew</x:v>
      </x:c>
      <x:c r="F933" s="5" t="str">
        <x:v>Rice Meals</x:v>
      </x:c>
      <x:c r="G933" s="44" t="n">
        <x:v>2</x:v>
      </x:c>
      <x:c r="H933" s="45" t="n">
        <x:v>1800</x:v>
      </x:c>
      <x:c r="I933" s="46" t="n">
        <x:v>0</x:v>
      </x:c>
      <x:c r="J933" s="47" t="n">
        <x:f>G933*H933*(1-I933)</x:f>
        <x:v>3600</x:v>
      </x:c>
      <x:c r="K933" s="47" t="n">
        <x:v>820</x:v>
      </x:c>
      <x:c r="L933" s="47" t="n">
        <x:f>G933*K933</x:f>
        <x:v>1640</x:v>
      </x:c>
      <x:c r="M933" s="47" t="n">
        <x:f>J933-L933</x:f>
        <x:v>1960</x:v>
      </x:c>
      <x:c r="N933" s="5" t="str">
        <x:v>Walk-in</x:v>
      </x:c>
      <x:c r="O933" s="5" t="str">
        <x:v>Transfer</x:v>
      </x:c>
      <x:c r="P933" s="5" t="str">
        <x:v>Lunch</x:v>
      </x:c>
      <x:c r="Q933" s="48" t="n">
        <x:v>12</x:v>
      </x:c>
      <x:c r="R933" s="5" t="n">
        <x:v>5</x:v>
      </x:c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5" t="str">
        <x:v>ORD-00153</x:v>
      </x:c>
      <x:c r="B934" s="43" t="n">
        <x:v>46142</x:v>
      </x:c>
      <x:c r="C934" s="5" t="str">
        <x:v>CUST-0530</x:v>
      </x:c>
      <x:c r="D934" s="5" t="str">
        <x:v>FD001</x:v>
      </x:c>
      <x:c r="E934" s="5" t="str">
        <x:v>White Rice &amp; Stew</x:v>
      </x:c>
      <x:c r="F934" s="5" t="str">
        <x:v>Rice Meals</x:v>
      </x:c>
      <x:c r="G934" s="44" t="n">
        <x:v>4</x:v>
      </x:c>
      <x:c r="H934" s="45" t="n">
        <x:v>1800</x:v>
      </x:c>
      <x:c r="I934" s="46" t="n">
        <x:v>0</x:v>
      </x:c>
      <x:c r="J934" s="47" t="n">
        <x:f>G934*H934*(1-I934)</x:f>
        <x:v>7200</x:v>
      </x:c>
      <x:c r="K934" s="47" t="n">
        <x:v>820</x:v>
      </x:c>
      <x:c r="L934" s="47" t="n">
        <x:f>G934*K934</x:f>
        <x:v>3280</x:v>
      </x:c>
      <x:c r="M934" s="47" t="n">
        <x:f>J934-L934</x:f>
        <x:v>3920</x:v>
      </x:c>
      <x:c r="N934" s="5" t="str">
        <x:v>Walk-in</x:v>
      </x:c>
      <x:c r="O934" s="5" t="str">
        <x:v>POS</x:v>
      </x:c>
      <x:c r="P934" s="5" t="str">
        <x:v>Dinner</x:v>
      </x:c>
      <x:c r="Q934" s="48" t="n">
        <x:v>17</x:v>
      </x:c>
      <x:c r="R934" s="5" t="n">
        <x:v>5</x:v>
      </x:c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5" t="str">
        <x:v>ORD-00280</x:v>
      </x:c>
      <x:c r="B935" s="43" t="n">
        <x:v>46142</x:v>
      </x:c>
      <x:c r="C935" s="5" t="str">
        <x:v>CUST-0194</x:v>
      </x:c>
      <x:c r="D935" s="5" t="str">
        <x:v>FD009</x:v>
      </x:c>
      <x:c r="E935" s="5" t="str">
        <x:v>Moi Moi</x:v>
      </x:c>
      <x:c r="F935" s="5" t="str">
        <x:v>Sides</x:v>
      </x:c>
      <x:c r="G935" s="44" t="n">
        <x:v>2</x:v>
      </x:c>
      <x:c r="H935" s="45" t="n">
        <x:v>900</x:v>
      </x:c>
      <x:c r="I935" s="46" t="n">
        <x:v>0</x:v>
      </x:c>
      <x:c r="J935" s="47" t="n">
        <x:f>G935*H935*(1-I935)</x:f>
        <x:v>1800</x:v>
      </x:c>
      <x:c r="K935" s="47" t="n">
        <x:v>380</x:v>
      </x:c>
      <x:c r="L935" s="47" t="n">
        <x:f>G935*K935</x:f>
        <x:v>760</x:v>
      </x:c>
      <x:c r="M935" s="47" t="n">
        <x:f>J935-L935</x:f>
        <x:v>1040</x:v>
      </x:c>
      <x:c r="N935" s="5" t="str">
        <x:v>Takeaway</x:v>
      </x:c>
      <x:c r="O935" s="5" t="str">
        <x:v>Cash</x:v>
      </x:c>
      <x:c r="P935" s="5" t="str">
        <x:v>Lunch</x:v>
      </x:c>
      <x:c r="Q935" s="48" t="n">
        <x:v>14</x:v>
      </x:c>
      <x:c r="R935" s="5" t="n">
        <x:v>3</x:v>
      </x:c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5" t="str">
        <x:v>ORD-00416</x:v>
      </x:c>
      <x:c r="B936" s="43" t="n">
        <x:v>46142</x:v>
      </x:c>
      <x:c r="C936" s="5" t="str">
        <x:v>CUST-0288</x:v>
      </x:c>
      <x:c r="D936" s="5" t="str">
        <x:v>FD008</x:v>
      </x:c>
      <x:c r="E936" s="5" t="str">
        <x:v>Pounded Yam &amp; Vegetable Soup</x:v>
      </x:c>
      <x:c r="F936" s="5" t="str">
        <x:v>Swallow</x:v>
      </x:c>
      <x:c r="G936" s="44" t="n">
        <x:v>4</x:v>
      </x:c>
      <x:c r="H936" s="45" t="n">
        <x:v>3200</x:v>
      </x:c>
      <x:c r="I936" s="46" t="n">
        <x:v>0</x:v>
      </x:c>
      <x:c r="J936" s="47" t="n">
        <x:f>G936*H936*(1-I936)</x:f>
        <x:v>12800</x:v>
      </x:c>
      <x:c r="K936" s="47" t="n">
        <x:v>1710</x:v>
      </x:c>
      <x:c r="L936" s="47" t="n">
        <x:f>G936*K936</x:f>
        <x:v>6840</x:v>
      </x:c>
      <x:c r="M936" s="47" t="n">
        <x:f>J936-L936</x:f>
        <x:v>5960</x:v>
      </x:c>
      <x:c r="N936" s="5" t="str">
        <x:v>Delivery</x:v>
      </x:c>
      <x:c r="O936" s="5" t="str">
        <x:v>POS</x:v>
      </x:c>
      <x:c r="P936" s="5" t="str">
        <x:v>Lunch</x:v>
      </x:c>
      <x:c r="Q936" s="48" t="n">
        <x:v>12</x:v>
      </x:c>
      <x:c r="R936" s="5" t="n">
        <x:v>3</x:v>
      </x:c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5" t="str">
        <x:v>ORD-00468</x:v>
      </x:c>
      <x:c r="B937" s="43" t="n">
        <x:v>46142</x:v>
      </x:c>
      <x:c r="C937" s="5" t="str">
        <x:v>CUST-0603</x:v>
      </x:c>
      <x:c r="D937" s="5" t="str">
        <x:v>FD002</x:v>
      </x:c>
      <x:c r="E937" s="5" t="str">
        <x:v>Jollof Rice &amp; Chicken</x:v>
      </x:c>
      <x:c r="F937" s="5" t="str">
        <x:v>Rice Meals</x:v>
      </x:c>
      <x:c r="G937" s="44" t="n">
        <x:v>3</x:v>
      </x:c>
      <x:c r="H937" s="45" t="n">
        <x:v>2800</x:v>
      </x:c>
      <x:c r="I937" s="46" t="n">
        <x:v>0</x:v>
      </x:c>
      <x:c r="J937" s="47" t="n">
        <x:f>G937*H937*(1-I937)</x:f>
        <x:v>8400</x:v>
      </x:c>
      <x:c r="K937" s="47" t="n">
        <x:v>1450</x:v>
      </x:c>
      <x:c r="L937" s="47" t="n">
        <x:f>G937*K937</x:f>
        <x:v>4350</x:v>
      </x:c>
      <x:c r="M937" s="47" t="n">
        <x:f>J937-L937</x:f>
        <x:v>4050</x:v>
      </x:c>
      <x:c r="N937" s="5" t="str">
        <x:v>Walk-in</x:v>
      </x:c>
      <x:c r="O937" s="5" t="str">
        <x:v>Cash</x:v>
      </x:c>
      <x:c r="P937" s="5" t="str">
        <x:v>Lunch</x:v>
      </x:c>
      <x:c r="Q937" s="48" t="n">
        <x:v>13</x:v>
      </x:c>
      <x:c r="R937" s="5" t="n">
        <x:v>4</x:v>
      </x:c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5" t="str">
        <x:v>ORD-00600</x:v>
      </x:c>
      <x:c r="B938" s="43" t="n">
        <x:v>46142</x:v>
      </x:c>
      <x:c r="C938" s="5" t="str">
        <x:v>CUST-0017</x:v>
      </x:c>
      <x:c r="D938" s="5" t="str">
        <x:v>FD002</x:v>
      </x:c>
      <x:c r="E938" s="5" t="str">
        <x:v>Jollof Rice &amp; Chicken</x:v>
      </x:c>
      <x:c r="F938" s="5" t="str">
        <x:v>Rice Meals</x:v>
      </x:c>
      <x:c r="G938" s="44" t="n">
        <x:v>2</x:v>
      </x:c>
      <x:c r="H938" s="45" t="n">
        <x:v>2800</x:v>
      </x:c>
      <x:c r="I938" s="46" t="n">
        <x:v>0.1</x:v>
      </x:c>
      <x:c r="J938" s="47" t="n">
        <x:f>G938*H938*(1-I938)</x:f>
        <x:v>5040</x:v>
      </x:c>
      <x:c r="K938" s="47" t="n">
        <x:v>1450</x:v>
      </x:c>
      <x:c r="L938" s="47" t="n">
        <x:f>G938*K938</x:f>
        <x:v>2900</x:v>
      </x:c>
      <x:c r="M938" s="47" t="n">
        <x:f>J938-L938</x:f>
        <x:v>2140</x:v>
      </x:c>
      <x:c r="N938" s="5" t="str">
        <x:v>Takeaway</x:v>
      </x:c>
      <x:c r="O938" s="5" t="str">
        <x:v>POS</x:v>
      </x:c>
      <x:c r="P938" s="5" t="str">
        <x:v>Lunch</x:v>
      </x:c>
      <x:c r="Q938" s="48" t="n">
        <x:v>15</x:v>
      </x:c>
      <x:c r="R938" s="5" t="n">
        <x:v>5</x:v>
      </x:c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5" t="str">
        <x:v>ORD-01067</x:v>
      </x:c>
      <x:c r="B939" s="43" t="n">
        <x:v>46142</x:v>
      </x:c>
      <x:c r="C939" s="5" t="str">
        <x:v>CUST-0584</x:v>
      </x:c>
      <x:c r="D939" s="5" t="str">
        <x:v>FD002</x:v>
      </x:c>
      <x:c r="E939" s="5" t="str">
        <x:v>Jollof Rice &amp; Chicken</x:v>
      </x:c>
      <x:c r="F939" s="5" t="str">
        <x:v>Rice Meals</x:v>
      </x:c>
      <x:c r="G939" s="44" t="n">
        <x:v>4</x:v>
      </x:c>
      <x:c r="H939" s="45" t="n">
        <x:v>2800</x:v>
      </x:c>
      <x:c r="I939" s="46" t="n">
        <x:v>0</x:v>
      </x:c>
      <x:c r="J939" s="47" t="n">
        <x:f>G939*H939*(1-I939)</x:f>
        <x:v>11200</x:v>
      </x:c>
      <x:c r="K939" s="47" t="n">
        <x:v>1450</x:v>
      </x:c>
      <x:c r="L939" s="47" t="n">
        <x:f>G939*K939</x:f>
        <x:v>5800</x:v>
      </x:c>
      <x:c r="M939" s="47" t="n">
        <x:f>J939-L939</x:f>
        <x:v>5400</x:v>
      </x:c>
      <x:c r="N939" s="5" t="str">
        <x:v>Walk-in</x:v>
      </x:c>
      <x:c r="O939" s="5" t="str">
        <x:v>Cash</x:v>
      </x:c>
      <x:c r="P939" s="5" t="str">
        <x:v>Lunch</x:v>
      </x:c>
      <x:c r="Q939" s="48" t="n">
        <x:v>14</x:v>
      </x:c>
      <x:c r="R939" s="5" t="n">
        <x:v>4</x:v>
      </x:c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5" t="str">
        <x:v>ORD-01250</x:v>
      </x:c>
      <x:c r="B940" s="43" t="n">
        <x:v>46142</x:v>
      </x:c>
      <x:c r="C940" s="5" t="str">
        <x:v>CUST-0520</x:v>
      </x:c>
      <x:c r="D940" s="5" t="str">
        <x:v>FD010</x:v>
      </x:c>
      <x:c r="E940" s="5" t="str">
        <x:v>Soft Drink</x:v>
      </x:c>
      <x:c r="F940" s="5" t="str">
        <x:v>Beverages</x:v>
      </x:c>
      <x:c r="G940" s="44" t="n">
        <x:v>4</x:v>
      </x:c>
      <x:c r="H940" s="45" t="n">
        <x:v>600</x:v>
      </x:c>
      <x:c r="I940" s="46" t="n">
        <x:v>0</x:v>
      </x:c>
      <x:c r="J940" s="47" t="n">
        <x:f>G940*H940*(1-I940)</x:f>
        <x:v>2400</x:v>
      </x:c>
      <x:c r="K940" s="47" t="n">
        <x:v>280</x:v>
      </x:c>
      <x:c r="L940" s="47" t="n">
        <x:f>G940*K940</x:f>
        <x:v>1120</x:v>
      </x:c>
      <x:c r="M940" s="47" t="n">
        <x:f>J940-L940</x:f>
        <x:v>1280</x:v>
      </x:c>
      <x:c r="N940" s="5" t="str">
        <x:v>Delivery</x:v>
      </x:c>
      <x:c r="O940" s="5" t="str">
        <x:v>POS</x:v>
      </x:c>
      <x:c r="P940" s="5" t="str">
        <x:v>Lunch</x:v>
      </x:c>
      <x:c r="Q940" s="48" t="n">
        <x:v>13</x:v>
      </x:c>
      <x:c r="R940" s="5" t="n">
        <x:v>4</x:v>
      </x:c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5" t="str">
        <x:v>ORD-01387</x:v>
      </x:c>
      <x:c r="B941" s="43" t="n">
        <x:v>46142</x:v>
      </x:c>
      <x:c r="C941" s="5" t="str">
        <x:v>CUST-0104</x:v>
      </x:c>
      <x:c r="D941" s="5" t="str">
        <x:v>FD008</x:v>
      </x:c>
      <x:c r="E941" s="5" t="str">
        <x:v>Pounded Yam &amp; Vegetable Soup</x:v>
      </x:c>
      <x:c r="F941" s="5" t="str">
        <x:v>Swallow</x:v>
      </x:c>
      <x:c r="G941" s="44" t="n">
        <x:v>3</x:v>
      </x:c>
      <x:c r="H941" s="45" t="n">
        <x:v>3200</x:v>
      </x:c>
      <x:c r="I941" s="46" t="n">
        <x:v>0</x:v>
      </x:c>
      <x:c r="J941" s="47" t="n">
        <x:f>G941*H941*(1-I941)</x:f>
        <x:v>9600</x:v>
      </x:c>
      <x:c r="K941" s="47" t="n">
        <x:v>1710</x:v>
      </x:c>
      <x:c r="L941" s="47" t="n">
        <x:f>G941*K941</x:f>
        <x:v>5130</x:v>
      </x:c>
      <x:c r="M941" s="47" t="n">
        <x:f>J941-L941</x:f>
        <x:v>4470</x:v>
      </x:c>
      <x:c r="N941" s="5" t="str">
        <x:v>Walk-in</x:v>
      </x:c>
      <x:c r="O941" s="5" t="str">
        <x:v>Cash</x:v>
      </x:c>
      <x:c r="P941" s="5" t="str">
        <x:v>Breakfast</x:v>
      </x:c>
      <x:c r="Q941" s="48" t="n">
        <x:v>9</x:v>
      </x:c>
      <x:c r="R941" s="5" t="n">
        <x:v>5</x:v>
      </x:c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5" t="str">
        <x:v>ORD-01405</x:v>
      </x:c>
      <x:c r="B942" s="43" t="n">
        <x:v>46142</x:v>
      </x:c>
      <x:c r="C942" s="5" t="str">
        <x:v>CUST-0595</x:v>
      </x:c>
      <x:c r="D942" s="5" t="str">
        <x:v>FD012</x:v>
      </x:c>
      <x:c r="E942" s="5" t="str">
        <x:v>Fried Plantain</x:v>
      </x:c>
      <x:c r="F942" s="5" t="str">
        <x:v>Sides</x:v>
      </x:c>
      <x:c r="G942" s="44" t="n">
        <x:v>3</x:v>
      </x:c>
      <x:c r="H942" s="45" t="n">
        <x:v>700</x:v>
      </x:c>
      <x:c r="I942" s="46" t="n">
        <x:v>0</x:v>
      </x:c>
      <x:c r="J942" s="47" t="n">
        <x:f>G942*H942*(1-I942)</x:f>
        <x:v>2100</x:v>
      </x:c>
      <x:c r="K942" s="47" t="n">
        <x:v>300</x:v>
      </x:c>
      <x:c r="L942" s="47" t="n">
        <x:f>G942*K942</x:f>
        <x:v>900</x:v>
      </x:c>
      <x:c r="M942" s="47" t="n">
        <x:f>J942-L942</x:f>
        <x:v>1200</x:v>
      </x:c>
      <x:c r="N942" s="5" t="str">
        <x:v>Takeaway</x:v>
      </x:c>
      <x:c r="O942" s="5" t="str">
        <x:v>Transfer</x:v>
      </x:c>
      <x:c r="P942" s="5" t="str">
        <x:v>Breakfast</x:v>
      </x:c>
      <x:c r="Q942" s="48" t="n">
        <x:v>10</x:v>
      </x:c>
      <x:c r="R942" s="5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5" t="str">
        <x:v>ORD-01431</x:v>
      </x:c>
      <x:c r="B943" s="43" t="n">
        <x:v>46142</x:v>
      </x:c>
      <x:c r="C943" s="5" t="str">
        <x:v>CUST-0634</x:v>
      </x:c>
      <x:c r="D943" s="5" t="str">
        <x:v>FD004</x:v>
      </x:c>
      <x:c r="E943" s="5" t="str">
        <x:v>Beans &amp; Plantain</x:v>
      </x:c>
      <x:c r="F943" s="5" t="str">
        <x:v>Traditional Meals</x:v>
      </x:c>
      <x:c r="G943" s="44" t="n">
        <x:v>2</x:v>
      </x:c>
      <x:c r="H943" s="45" t="n">
        <x:v>2000</x:v>
      </x:c>
      <x:c r="I943" s="46" t="n">
        <x:v>0</x:v>
      </x:c>
      <x:c r="J943" s="47" t="n">
        <x:f>G943*H943*(1-I943)</x:f>
        <x:v>4000</x:v>
      </x:c>
      <x:c r="K943" s="47" t="n">
        <x:v>960</x:v>
      </x:c>
      <x:c r="L943" s="47" t="n">
        <x:f>G943*K943</x:f>
        <x:v>1920</x:v>
      </x:c>
      <x:c r="M943" s="47" t="n">
        <x:f>J943-L943</x:f>
        <x:v>2080</x:v>
      </x:c>
      <x:c r="N943" s="5" t="str">
        <x:v>Walk-in</x:v>
      </x:c>
      <x:c r="O943" s="5" t="str">
        <x:v>POS</x:v>
      </x:c>
      <x:c r="P943" s="5" t="str">
        <x:v>Dinner</x:v>
      </x:c>
      <x:c r="Q943" s="48" t="n">
        <x:v>16</x:v>
      </x:c>
      <x:c r="R943" s="5" t="n">
        <x:v>4</x:v>
      </x:c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5" t="str">
        <x:v>ORD-01590</x:v>
      </x:c>
      <x:c r="B944" s="43" t="n">
        <x:v>46142</x:v>
      </x:c>
      <x:c r="C944" s="5" t="str">
        <x:v>CUST-0092</x:v>
      </x:c>
      <x:c r="D944" s="5" t="str">
        <x:v>FD003</x:v>
      </x:c>
      <x:c r="E944" s="5" t="str">
        <x:v>Fried Rice &amp; Chicken</x:v>
      </x:c>
      <x:c r="F944" s="5" t="str">
        <x:v>Rice Meals</x:v>
      </x:c>
      <x:c r="G944" s="44" t="n">
        <x:v>3</x:v>
      </x:c>
      <x:c r="H944" s="45" t="n">
        <x:v>3000</x:v>
      </x:c>
      <x:c r="I944" s="46" t="n">
        <x:v>0</x:v>
      </x:c>
      <x:c r="J944" s="47" t="n">
        <x:f>G944*H944*(1-I944)</x:f>
        <x:v>9000</x:v>
      </x:c>
      <x:c r="K944" s="47" t="n">
        <x:v>1580</x:v>
      </x:c>
      <x:c r="L944" s="47" t="n">
        <x:f>G944*K944</x:f>
        <x:v>4740</x:v>
      </x:c>
      <x:c r="M944" s="47" t="n">
        <x:f>J944-L944</x:f>
        <x:v>4260</x:v>
      </x:c>
      <x:c r="N944" s="5" t="str">
        <x:v>Walk-in</x:v>
      </x:c>
      <x:c r="O944" s="5" t="str">
        <x:v>Cash</x:v>
      </x:c>
      <x:c r="P944" s="5" t="str">
        <x:v>Dinner</x:v>
      </x:c>
      <x:c r="Q944" s="48" t="n">
        <x:v>20</x:v>
      </x:c>
      <x:c r="R944" s="5" t="n">
        <x:v>5</x:v>
      </x:c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5" t="str">
        <x:v>ORD-01675</x:v>
      </x:c>
      <x:c r="B945" s="43" t="n">
        <x:v>46142</x:v>
      </x:c>
      <x:c r="C945" s="5" t="str">
        <x:v>CUST-0454</x:v>
      </x:c>
      <x:c r="D945" s="5" t="str">
        <x:v>FD001</x:v>
      </x:c>
      <x:c r="E945" s="5" t="str">
        <x:v>White Rice &amp; Stew</x:v>
      </x:c>
      <x:c r="F945" s="5" t="str">
        <x:v>Rice Meals</x:v>
      </x:c>
      <x:c r="G945" s="44" t="n">
        <x:v>3</x:v>
      </x:c>
      <x:c r="H945" s="45" t="n">
        <x:v>1800</x:v>
      </x:c>
      <x:c r="I945" s="46" t="n">
        <x:v>0</x:v>
      </x:c>
      <x:c r="J945" s="47" t="n">
        <x:f>G945*H945*(1-I945)</x:f>
        <x:v>5400</x:v>
      </x:c>
      <x:c r="K945" s="47" t="n">
        <x:v>820</x:v>
      </x:c>
      <x:c r="L945" s="47" t="n">
        <x:f>G945*K945</x:f>
        <x:v>2460</x:v>
      </x:c>
      <x:c r="M945" s="47" t="n">
        <x:f>J945-L945</x:f>
        <x:v>2940</x:v>
      </x:c>
      <x:c r="N945" s="5" t="str">
        <x:v>Delivery</x:v>
      </x:c>
      <x:c r="O945" s="5" t="str">
        <x:v>POS</x:v>
      </x:c>
      <x:c r="P945" s="5" t="str">
        <x:v>Lunch</x:v>
      </x:c>
      <x:c r="Q945" s="48" t="n">
        <x:v>12</x:v>
      </x:c>
      <x:c r="R945" s="5" t="n">
        <x:v>4</x:v>
      </x:c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5" t="str">
        <x:v>ORD-00230</x:v>
      </x:c>
      <x:c r="B946" s="43" t="n">
        <x:v>46143</x:v>
      </x:c>
      <x:c r="C946" s="5" t="str">
        <x:v>CUST-0596</x:v>
      </x:c>
      <x:c r="D946" s="5" t="str">
        <x:v>FD007</x:v>
      </x:c>
      <x:c r="E946" s="5" t="str">
        <x:v>Amala &amp; Ewedu</x:v>
      </x:c>
      <x:c r="F946" s="5" t="str">
        <x:v>Swallow</x:v>
      </x:c>
      <x:c r="G946" s="44" t="n">
        <x:v>4</x:v>
      </x:c>
      <x:c r="H946" s="45" t="n">
        <x:v>2500</x:v>
      </x:c>
      <x:c r="I946" s="46" t="n">
        <x:v>0</x:v>
      </x:c>
      <x:c r="J946" s="47" t="n">
        <x:f>G946*H946*(1-I946)</x:f>
        <x:v>10000</x:v>
      </x:c>
      <x:c r="K946" s="47" t="n">
        <x:v>1250</x:v>
      </x:c>
      <x:c r="L946" s="47" t="n">
        <x:f>G946*K946</x:f>
        <x:v>5000</x:v>
      </x:c>
      <x:c r="M946" s="47" t="n">
        <x:f>J946-L946</x:f>
        <x:v>5000</x:v>
      </x:c>
      <x:c r="N946" s="5" t="str">
        <x:v>Walk-in</x:v>
      </x:c>
      <x:c r="O946" s="5" t="str">
        <x:v>POS</x:v>
      </x:c>
      <x:c r="P946" s="5" t="str">
        <x:v>Lunch</x:v>
      </x:c>
      <x:c r="Q946" s="48" t="n">
        <x:v>11</x:v>
      </x:c>
      <x:c r="R946" s="5" t="n">
        <x:v>4</x:v>
      </x:c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5" t="str">
        <x:v>ORD-00500</x:v>
      </x:c>
      <x:c r="B947" s="43" t="n">
        <x:v>46143</x:v>
      </x:c>
      <x:c r="C947" s="5" t="str">
        <x:v>CUST-0309</x:v>
      </x:c>
      <x:c r="D947" s="5" t="str">
        <x:v>FD002</x:v>
      </x:c>
      <x:c r="E947" s="5" t="str">
        <x:v>Jollof Rice &amp; Chicken</x:v>
      </x:c>
      <x:c r="F947" s="5" t="str">
        <x:v>Rice Meals</x:v>
      </x:c>
      <x:c r="G947" s="44" t="n">
        <x:v>4</x:v>
      </x:c>
      <x:c r="H947" s="45" t="n">
        <x:v>2800</x:v>
      </x:c>
      <x:c r="I947" s="46" t="n">
        <x:v>0</x:v>
      </x:c>
      <x:c r="J947" s="47" t="n">
        <x:f>G947*H947*(1-I947)</x:f>
        <x:v>11200</x:v>
      </x:c>
      <x:c r="K947" s="47" t="n">
        <x:v>1450</x:v>
      </x:c>
      <x:c r="L947" s="47" t="n">
        <x:f>G947*K947</x:f>
        <x:v>5800</x:v>
      </x:c>
      <x:c r="M947" s="47" t="n">
        <x:f>J947-L947</x:f>
        <x:v>5400</x:v>
      </x:c>
      <x:c r="N947" s="5" t="str">
        <x:v>Walk-in</x:v>
      </x:c>
      <x:c r="O947" s="5" t="str">
        <x:v>Cash</x:v>
      </x:c>
      <x:c r="P947" s="5" t="str">
        <x:v>Lunch</x:v>
      </x:c>
      <x:c r="Q947" s="48" t="n">
        <x:v>12</x:v>
      </x:c>
      <x:c r="R947" s="5" t="n">
        <x:v>5</x:v>
      </x:c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5" t="str">
        <x:v>ORD-00799</x:v>
      </x:c>
      <x:c r="B948" s="43" t="n">
        <x:v>46143</x:v>
      </x:c>
      <x:c r="C948" s="5" t="str">
        <x:v>CUST-0471</x:v>
      </x:c>
      <x:c r="D948" s="5" t="str">
        <x:v>FD008</x:v>
      </x:c>
      <x:c r="E948" s="5" t="str">
        <x:v>Pounded Yam &amp; Vegetable Soup</x:v>
      </x:c>
      <x:c r="F948" s="5" t="str">
        <x:v>Swallow</x:v>
      </x:c>
      <x:c r="G948" s="44" t="n">
        <x:v>4</x:v>
      </x:c>
      <x:c r="H948" s="45" t="n">
        <x:v>3200</x:v>
      </x:c>
      <x:c r="I948" s="46" t="n">
        <x:v>0</x:v>
      </x:c>
      <x:c r="J948" s="47" t="n">
        <x:f>G948*H948*(1-I948)</x:f>
        <x:v>12800</x:v>
      </x:c>
      <x:c r="K948" s="47" t="n">
        <x:v>1710</x:v>
      </x:c>
      <x:c r="L948" s="47" t="n">
        <x:f>G948*K948</x:f>
        <x:v>6840</x:v>
      </x:c>
      <x:c r="M948" s="47" t="n">
        <x:f>J948-L948</x:f>
        <x:v>5960</x:v>
      </x:c>
      <x:c r="N948" s="5" t="str">
        <x:v>Walk-in</x:v>
      </x:c>
      <x:c r="O948" s="5" t="str">
        <x:v>Transfer</x:v>
      </x:c>
      <x:c r="P948" s="5" t="str">
        <x:v>Lunch</x:v>
      </x:c>
      <x:c r="Q948" s="48" t="n">
        <x:v>11</x:v>
      </x:c>
      <x:c r="R948" s="5" t="n">
        <x:v>4</x:v>
      </x:c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5" t="str">
        <x:v>ORD-01178</x:v>
      </x:c>
      <x:c r="B949" s="43" t="n">
        <x:v>46143</x:v>
      </x:c>
      <x:c r="C949" s="5" t="str">
        <x:v>CUST-0259</x:v>
      </x:c>
      <x:c r="D949" s="5" t="str">
        <x:v>FD002</x:v>
      </x:c>
      <x:c r="E949" s="5" t="str">
        <x:v>Jollof Rice &amp; Chicken</x:v>
      </x:c>
      <x:c r="F949" s="5" t="str">
        <x:v>Rice Meals</x:v>
      </x:c>
      <x:c r="G949" s="44" t="n">
        <x:v>1</x:v>
      </x:c>
      <x:c r="H949" s="45" t="n">
        <x:v>2800</x:v>
      </x:c>
      <x:c r="I949" s="46" t="n">
        <x:v>0</x:v>
      </x:c>
      <x:c r="J949" s="47" t="n">
        <x:f>G949*H949*(1-I949)</x:f>
        <x:v>2800</x:v>
      </x:c>
      <x:c r="K949" s="47" t="n">
        <x:v>1450</x:v>
      </x:c>
      <x:c r="L949" s="47" t="n">
        <x:f>G949*K949</x:f>
        <x:v>1450</x:v>
      </x:c>
      <x:c r="M949" s="47" t="n">
        <x:f>J949-L949</x:f>
        <x:v>1350</x:v>
      </x:c>
      <x:c r="N949" s="5" t="str">
        <x:v>Takeaway</x:v>
      </x:c>
      <x:c r="O949" s="5" t="str">
        <x:v>Cash</x:v>
      </x:c>
      <x:c r="P949" s="5" t="str">
        <x:v>Lunch</x:v>
      </x:c>
      <x:c r="Q949" s="48" t="n">
        <x:v>13</x:v>
      </x:c>
      <x:c r="R949" s="5" t="n">
        <x:v>4</x:v>
      </x:c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5" t="str">
        <x:v>ORD-00064</x:v>
      </x:c>
      <x:c r="B950" s="43" t="n">
        <x:v>46144</x:v>
      </x:c>
      <x:c r="C950" s="5" t="str">
        <x:v>CUST-0502</x:v>
      </x:c>
      <x:c r="D950" s="5" t="str">
        <x:v>FD009</x:v>
      </x:c>
      <x:c r="E950" s="5" t="str">
        <x:v>Moi Moi</x:v>
      </x:c>
      <x:c r="F950" s="5" t="str">
        <x:v>Sides</x:v>
      </x:c>
      <x:c r="G950" s="44" t="n">
        <x:v>4</x:v>
      </x:c>
      <x:c r="H950" s="45" t="n">
        <x:v>900</x:v>
      </x:c>
      <x:c r="I950" s="46" t="n">
        <x:v>0</x:v>
      </x:c>
      <x:c r="J950" s="47" t="n">
        <x:f>G950*H950*(1-I950)</x:f>
        <x:v>3600</x:v>
      </x:c>
      <x:c r="K950" s="47" t="n">
        <x:v>380</x:v>
      </x:c>
      <x:c r="L950" s="47" t="n">
        <x:f>G950*K950</x:f>
        <x:v>1520</x:v>
      </x:c>
      <x:c r="M950" s="47" t="n">
        <x:f>J950-L950</x:f>
        <x:v>2080</x:v>
      </x:c>
      <x:c r="N950" s="5" t="str">
        <x:v>Walk-in</x:v>
      </x:c>
      <x:c r="O950" s="5" t="str">
        <x:v>Cash</x:v>
      </x:c>
      <x:c r="P950" s="5" t="str">
        <x:v>Dinner</x:v>
      </x:c>
      <x:c r="Q950" s="48" t="n">
        <x:v>18</x:v>
      </x:c>
      <x:c r="R950" s="5" t="n">
        <x:v>5</x:v>
      </x:c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5" t="str">
        <x:v>ORD-00449</x:v>
      </x:c>
      <x:c r="B951" s="43" t="n">
        <x:v>46144</x:v>
      </x:c>
      <x:c r="C951" s="5" t="str">
        <x:v>CUST-0390</x:v>
      </x:c>
      <x:c r="D951" s="5" t="str">
        <x:v>FD007</x:v>
      </x:c>
      <x:c r="E951" s="5" t="str">
        <x:v>Amala &amp; Ewedu</x:v>
      </x:c>
      <x:c r="F951" s="5" t="str">
        <x:v>Swallow</x:v>
      </x:c>
      <x:c r="G951" s="44" t="n">
        <x:v>4</x:v>
      </x:c>
      <x:c r="H951" s="45" t="n">
        <x:v>2500</x:v>
      </x:c>
      <x:c r="I951" s="46" t="n">
        <x:v>0</x:v>
      </x:c>
      <x:c r="J951" s="47" t="n">
        <x:f>G951*H951*(1-I951)</x:f>
        <x:v>10000</x:v>
      </x:c>
      <x:c r="K951" s="47" t="n">
        <x:v>1250</x:v>
      </x:c>
      <x:c r="L951" s="47" t="n">
        <x:f>G951*K951</x:f>
        <x:v>5000</x:v>
      </x:c>
      <x:c r="M951" s="47" t="n">
        <x:f>J951-L951</x:f>
        <x:v>5000</x:v>
      </x:c>
      <x:c r="N951" s="5" t="str">
        <x:v>Walk-in</x:v>
      </x:c>
      <x:c r="O951" s="5" t="str">
        <x:v>Transfer</x:v>
      </x:c>
      <x:c r="P951" s="5" t="str">
        <x:v>Dinner</x:v>
      </x:c>
      <x:c r="Q951" s="48" t="n">
        <x:v>20</x:v>
      </x:c>
      <x:c r="R951" s="5" t="n">
        <x:v>4</x:v>
      </x:c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5" t="str">
        <x:v>ORD-01017</x:v>
      </x:c>
      <x:c r="B952" s="43" t="n">
        <x:v>46144</x:v>
      </x:c>
      <x:c r="C952" s="5" t="str">
        <x:v>CUST-0431</x:v>
      </x:c>
      <x:c r="D952" s="5" t="str">
        <x:v>FD001</x:v>
      </x:c>
      <x:c r="E952" s="5" t="str">
        <x:v>White Rice &amp; Stew</x:v>
      </x:c>
      <x:c r="F952" s="5" t="str">
        <x:v>Rice Meals</x:v>
      </x:c>
      <x:c r="G952" s="44" t="n">
        <x:v>4</x:v>
      </x:c>
      <x:c r="H952" s="45" t="n">
        <x:v>1800</x:v>
      </x:c>
      <x:c r="I952" s="46" t="n">
        <x:v>0</x:v>
      </x:c>
      <x:c r="J952" s="47" t="n">
        <x:f>G952*H952*(1-I952)</x:f>
        <x:v>7200</x:v>
      </x:c>
      <x:c r="K952" s="47" t="n">
        <x:v>820</x:v>
      </x:c>
      <x:c r="L952" s="47" t="n">
        <x:f>G952*K952</x:f>
        <x:v>3280</x:v>
      </x:c>
      <x:c r="M952" s="47" t="n">
        <x:f>J952-L952</x:f>
        <x:v>3920</x:v>
      </x:c>
      <x:c r="N952" s="5" t="str">
        <x:v>Walk-in</x:v>
      </x:c>
      <x:c r="O952" s="5" t="str">
        <x:v>Transfer</x:v>
      </x:c>
      <x:c r="P952" s="5" t="str">
        <x:v>Dinner</x:v>
      </x:c>
      <x:c r="Q952" s="48" t="n">
        <x:v>17</x:v>
      </x:c>
      <x:c r="R952" s="5" t="n">
        <x:v>4</x:v>
      </x:c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5" t="str">
        <x:v>ORD-01237</x:v>
      </x:c>
      <x:c r="B953" s="43" t="n">
        <x:v>46144</x:v>
      </x:c>
      <x:c r="C953" s="5" t="str">
        <x:v>CUST-0508</x:v>
      </x:c>
      <x:c r="D953" s="5" t="str">
        <x:v>FD005</x:v>
      </x:c>
      <x:c r="E953" s="5" t="str">
        <x:v>Yam Porridge</x:v>
      </x:c>
      <x:c r="F953" s="5" t="str">
        <x:v>Traditional Meals</x:v>
      </x:c>
      <x:c r="G953" s="44" t="n">
        <x:v>1</x:v>
      </x:c>
      <x:c r="H953" s="45" t="n">
        <x:v>2200</x:v>
      </x:c>
      <x:c r="I953" s="46" t="n">
        <x:v>0</x:v>
      </x:c>
      <x:c r="J953" s="47" t="n">
        <x:f>G953*H953*(1-I953)</x:f>
        <x:v>2200</x:v>
      </x:c>
      <x:c r="K953" s="47" t="n">
        <x:v>1050</x:v>
      </x:c>
      <x:c r="L953" s="47" t="n">
        <x:f>G953*K953</x:f>
        <x:v>1050</x:v>
      </x:c>
      <x:c r="M953" s="47" t="n">
        <x:f>J953-L953</x:f>
        <x:v>1150</x:v>
      </x:c>
      <x:c r="N953" s="5" t="str">
        <x:v>Walk-in</x:v>
      </x:c>
      <x:c r="O953" s="5" t="str">
        <x:v>Transfer</x:v>
      </x:c>
      <x:c r="P953" s="5" t="str">
        <x:v>Dinner</x:v>
      </x:c>
      <x:c r="Q953" s="48" t="n">
        <x:v>16</x:v>
      </x:c>
      <x:c r="R953" s="5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5" t="str">
        <x:v>ORD-01392</x:v>
      </x:c>
      <x:c r="B954" s="43" t="n">
        <x:v>46144</x:v>
      </x:c>
      <x:c r="C954" s="5" t="str">
        <x:v>CUST-0387</x:v>
      </x:c>
      <x:c r="D954" s="5" t="str">
        <x:v>FD006</x:v>
      </x:c>
      <x:c r="E954" s="5" t="str">
        <x:v>Eba &amp; Egusi Soup</x:v>
      </x:c>
      <x:c r="F954" s="5" t="str">
        <x:v>Swallow</x:v>
      </x:c>
      <x:c r="G954" s="44" t="n">
        <x:v>1</x:v>
      </x:c>
      <x:c r="H954" s="45" t="n">
        <x:v>2600</x:v>
      </x:c>
      <x:c r="I954" s="46" t="n">
        <x:v>0</x:v>
      </x:c>
      <x:c r="J954" s="47" t="n">
        <x:f>G954*H954*(1-I954)</x:f>
        <x:v>2600</x:v>
      </x:c>
      <x:c r="K954" s="47" t="n">
        <x:v>1320</x:v>
      </x:c>
      <x:c r="L954" s="47" t="n">
        <x:f>G954*K954</x:f>
        <x:v>1320</x:v>
      </x:c>
      <x:c r="M954" s="47" t="n">
        <x:f>J954-L954</x:f>
        <x:v>1280</x:v>
      </x:c>
      <x:c r="N954" s="5" t="str">
        <x:v>Delivery</x:v>
      </x:c>
      <x:c r="O954" s="5" t="str">
        <x:v>Cash</x:v>
      </x:c>
      <x:c r="P954" s="5" t="str">
        <x:v>Dinner</x:v>
      </x:c>
      <x:c r="Q954" s="48" t="n">
        <x:v>18</x:v>
      </x:c>
      <x:c r="R954" s="5" t="n">
        <x:v>5</x:v>
      </x:c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5" t="str">
        <x:v>ORD-01493</x:v>
      </x:c>
      <x:c r="B955" s="43" t="n">
        <x:v>46144</x:v>
      </x:c>
      <x:c r="C955" s="5" t="str">
        <x:v>CUST-0460</x:v>
      </x:c>
      <x:c r="D955" s="5" t="str">
        <x:v>FD003</x:v>
      </x:c>
      <x:c r="E955" s="5" t="str">
        <x:v>Fried Rice &amp; Chicken</x:v>
      </x:c>
      <x:c r="F955" s="5" t="str">
        <x:v>Rice Meals</x:v>
      </x:c>
      <x:c r="G955" s="44" t="n">
        <x:v>2</x:v>
      </x:c>
      <x:c r="H955" s="45" t="n">
        <x:v>3000</x:v>
      </x:c>
      <x:c r="I955" s="46" t="n">
        <x:v>0</x:v>
      </x:c>
      <x:c r="J955" s="47" t="n">
        <x:f>G955*H955*(1-I955)</x:f>
        <x:v>6000</x:v>
      </x:c>
      <x:c r="K955" s="47" t="n">
        <x:v>1580</x:v>
      </x:c>
      <x:c r="L955" s="47" t="n">
        <x:f>G955*K955</x:f>
        <x:v>3160</x:v>
      </x:c>
      <x:c r="M955" s="47" t="n">
        <x:f>J955-L955</x:f>
        <x:v>2840</x:v>
      </x:c>
      <x:c r="N955" s="5" t="str">
        <x:v>Takeaway</x:v>
      </x:c>
      <x:c r="O955" s="5" t="str">
        <x:v>POS</x:v>
      </x:c>
      <x:c r="P955" s="5" t="str">
        <x:v>Lunch</x:v>
      </x:c>
      <x:c r="Q955" s="48" t="n">
        <x:v>11</x:v>
      </x:c>
      <x:c r="R955" s="5" t="n">
        <x:v>5</x:v>
      </x:c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5" t="str">
        <x:v>ORD-01630</x:v>
      </x:c>
      <x:c r="B956" s="43" t="n">
        <x:v>46144</x:v>
      </x:c>
      <x:c r="C956" s="5" t="str">
        <x:v>CUST-0504</x:v>
      </x:c>
      <x:c r="D956" s="5" t="str">
        <x:v>FD004</x:v>
      </x:c>
      <x:c r="E956" s="5" t="str">
        <x:v>Beans &amp; Plantain</x:v>
      </x:c>
      <x:c r="F956" s="5" t="str">
        <x:v>Traditional Meals</x:v>
      </x:c>
      <x:c r="G956" s="44" t="n">
        <x:v>3</x:v>
      </x:c>
      <x:c r="H956" s="45" t="n">
        <x:v>2000</x:v>
      </x:c>
      <x:c r="I956" s="46" t="n">
        <x:v>0</x:v>
      </x:c>
      <x:c r="J956" s="47" t="n">
        <x:f>G956*H956*(1-I956)</x:f>
        <x:v>6000</x:v>
      </x:c>
      <x:c r="K956" s="47" t="n">
        <x:v>960</x:v>
      </x:c>
      <x:c r="L956" s="47" t="n">
        <x:f>G956*K956</x:f>
        <x:v>2880</x:v>
      </x:c>
      <x:c r="M956" s="47" t="n">
        <x:f>J956-L956</x:f>
        <x:v>3120</x:v>
      </x:c>
      <x:c r="N956" s="5" t="str">
        <x:v>Takeaway</x:v>
      </x:c>
      <x:c r="O956" s="5" t="str">
        <x:v>Transfer</x:v>
      </x:c>
      <x:c r="P956" s="5" t="str">
        <x:v>Lunch</x:v>
      </x:c>
      <x:c r="Q956" s="48" t="n">
        <x:v>11</x:v>
      </x:c>
      <x:c r="R956" s="5" t="n">
        <x:v>4</x:v>
      </x:c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5" t="str">
        <x:v>ORD-01639</x:v>
      </x:c>
      <x:c r="B957" s="43" t="n">
        <x:v>46144</x:v>
      </x:c>
      <x:c r="C957" s="5" t="str">
        <x:v>CUST-0557</x:v>
      </x:c>
      <x:c r="D957" s="5" t="str">
        <x:v>FD012</x:v>
      </x:c>
      <x:c r="E957" s="5" t="str">
        <x:v>Fried Plantain</x:v>
      </x:c>
      <x:c r="F957" s="5" t="str">
        <x:v>Sides</x:v>
      </x:c>
      <x:c r="G957" s="44" t="n">
        <x:v>3</x:v>
      </x:c>
      <x:c r="H957" s="45" t="n">
        <x:v>700</x:v>
      </x:c>
      <x:c r="I957" s="46" t="n">
        <x:v>0</x:v>
      </x:c>
      <x:c r="J957" s="47" t="n">
        <x:f>G957*H957*(1-I957)</x:f>
        <x:v>2100</x:v>
      </x:c>
      <x:c r="K957" s="47" t="n">
        <x:v>300</x:v>
      </x:c>
      <x:c r="L957" s="47" t="n">
        <x:f>G957*K957</x:f>
        <x:v>900</x:v>
      </x:c>
      <x:c r="M957" s="47" t="n">
        <x:f>J957-L957</x:f>
        <x:v>1200</x:v>
      </x:c>
      <x:c r="N957" s="5" t="str">
        <x:v>Walk-in</x:v>
      </x:c>
      <x:c r="O957" s="5" t="str">
        <x:v>Transfer</x:v>
      </x:c>
      <x:c r="P957" s="5" t="str">
        <x:v>Dinner</x:v>
      </x:c>
      <x:c r="Q957" s="48" t="n">
        <x:v>16</x:v>
      </x:c>
      <x:c r="R957" s="5" t="n">
        <x:v>4</x:v>
      </x:c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5" t="str">
        <x:v>ORD-00008</x:v>
      </x:c>
      <x:c r="B958" s="43" t="n">
        <x:v>46145</x:v>
      </x:c>
      <x:c r="C958" s="5" t="str">
        <x:v>CUST-0421</x:v>
      </x:c>
      <x:c r="D958" s="5" t="str">
        <x:v>FD006</x:v>
      </x:c>
      <x:c r="E958" s="5" t="str">
        <x:v>Eba &amp; Egusi Soup</x:v>
      </x:c>
      <x:c r="F958" s="5" t="str">
        <x:v>Swallow</x:v>
      </x:c>
      <x:c r="G958" s="44" t="n">
        <x:v>1</x:v>
      </x:c>
      <x:c r="H958" s="45" t="n">
        <x:v>2600</x:v>
      </x:c>
      <x:c r="I958" s="46" t="n">
        <x:v>0</x:v>
      </x:c>
      <x:c r="J958" s="47" t="n">
        <x:f>G958*H958*(1-I958)</x:f>
        <x:v>2600</x:v>
      </x:c>
      <x:c r="K958" s="47" t="n">
        <x:v>1320</x:v>
      </x:c>
      <x:c r="L958" s="47" t="n">
        <x:f>G958*K958</x:f>
        <x:v>1320</x:v>
      </x:c>
      <x:c r="M958" s="47" t="n">
        <x:f>J958-L958</x:f>
        <x:v>1280</x:v>
      </x:c>
      <x:c r="N958" s="5" t="str">
        <x:v>Walk-in</x:v>
      </x:c>
      <x:c r="O958" s="5" t="str">
        <x:v>POS</x:v>
      </x:c>
      <x:c r="P958" s="5" t="str">
        <x:v>Lunch</x:v>
      </x:c>
      <x:c r="Q958" s="48" t="n">
        <x:v>13</x:v>
      </x:c>
      <x:c r="R958" s="5" t="n">
        <x:v>5</x:v>
      </x:c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5" t="str">
        <x:v>ORD-00069</x:v>
      </x:c>
      <x:c r="B959" s="43" t="n">
        <x:v>46145</x:v>
      </x:c>
      <x:c r="C959" s="5" t="str">
        <x:v>CUST-0591</x:v>
      </x:c>
      <x:c r="D959" s="5" t="str">
        <x:v>FD003</x:v>
      </x:c>
      <x:c r="E959" s="5" t="str">
        <x:v>Fried Rice &amp; Chicken</x:v>
      </x:c>
      <x:c r="F959" s="5" t="str">
        <x:v>Rice Meals</x:v>
      </x:c>
      <x:c r="G959" s="44" t="n">
        <x:v>4</x:v>
      </x:c>
      <x:c r="H959" s="45" t="n">
        <x:v>3000</x:v>
      </x:c>
      <x:c r="I959" s="46" t="n">
        <x:v>0.1</x:v>
      </x:c>
      <x:c r="J959" s="47" t="n">
        <x:f>G959*H959*(1-I959)</x:f>
        <x:v>10800</x:v>
      </x:c>
      <x:c r="K959" s="47" t="n">
        <x:v>1580</x:v>
      </x:c>
      <x:c r="L959" s="47" t="n">
        <x:f>G959*K959</x:f>
        <x:v>6320</x:v>
      </x:c>
      <x:c r="M959" s="47" t="n">
        <x:f>J959-L959</x:f>
        <x:v>4480</x:v>
      </x:c>
      <x:c r="N959" s="5" t="str">
        <x:v>Takeaway</x:v>
      </x:c>
      <x:c r="O959" s="5" t="str">
        <x:v>Transfer</x:v>
      </x:c>
      <x:c r="P959" s="5" t="str">
        <x:v>Dinner</x:v>
      </x:c>
      <x:c r="Q959" s="48" t="n">
        <x:v>18</x:v>
      </x:c>
      <x:c r="R959" s="5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5" t="str">
        <x:v>ORD-00285</x:v>
      </x:c>
      <x:c r="B960" s="43" t="n">
        <x:v>46145</x:v>
      </x:c>
      <x:c r="C960" s="5" t="str">
        <x:v>CUST-0022</x:v>
      </x:c>
      <x:c r="D960" s="5" t="str">
        <x:v>FD002</x:v>
      </x:c>
      <x:c r="E960" s="5" t="str">
        <x:v>Jollof Rice &amp; Chicken</x:v>
      </x:c>
      <x:c r="F960" s="5" t="str">
        <x:v>Rice Meals</x:v>
      </x:c>
      <x:c r="G960" s="44" t="n">
        <x:v>2</x:v>
      </x:c>
      <x:c r="H960" s="45" t="n">
        <x:v>2800</x:v>
      </x:c>
      <x:c r="I960" s="46" t="n">
        <x:v>0</x:v>
      </x:c>
      <x:c r="J960" s="47" t="n">
        <x:f>G960*H960*(1-I960)</x:f>
        <x:v>5600</x:v>
      </x:c>
      <x:c r="K960" s="47" t="n">
        <x:v>1450</x:v>
      </x:c>
      <x:c r="L960" s="47" t="n">
        <x:f>G960*K960</x:f>
        <x:v>2900</x:v>
      </x:c>
      <x:c r="M960" s="47" t="n">
        <x:f>J960-L960</x:f>
        <x:v>2700</x:v>
      </x:c>
      <x:c r="N960" s="5" t="str">
        <x:v>Walk-in</x:v>
      </x:c>
      <x:c r="O960" s="5" t="str">
        <x:v>Cash</x:v>
      </x:c>
      <x:c r="P960" s="5" t="str">
        <x:v>Lunch</x:v>
      </x:c>
      <x:c r="Q960" s="48" t="n">
        <x:v>12</x:v>
      </x:c>
      <x:c r="R960" s="5" t="n">
        <x:v>5</x:v>
      </x:c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5" t="str">
        <x:v>ORD-00999</x:v>
      </x:c>
      <x:c r="B961" s="43" t="n">
        <x:v>46145</x:v>
      </x:c>
      <x:c r="C961" s="5" t="str">
        <x:v>CUST-0580</x:v>
      </x:c>
      <x:c r="D961" s="5" t="str">
        <x:v>FD009</x:v>
      </x:c>
      <x:c r="E961" s="5" t="str">
        <x:v>Moi Moi</x:v>
      </x:c>
      <x:c r="F961" s="5" t="str">
        <x:v>Sides</x:v>
      </x:c>
      <x:c r="G961" s="44" t="n">
        <x:v>4</x:v>
      </x:c>
      <x:c r="H961" s="45" t="n">
        <x:v>900</x:v>
      </x:c>
      <x:c r="I961" s="46" t="n">
        <x:v>0</x:v>
      </x:c>
      <x:c r="J961" s="47" t="n">
        <x:f>G961*H961*(1-I961)</x:f>
        <x:v>3600</x:v>
      </x:c>
      <x:c r="K961" s="47" t="n">
        <x:v>380</x:v>
      </x:c>
      <x:c r="L961" s="47" t="n">
        <x:f>G961*K961</x:f>
        <x:v>1520</x:v>
      </x:c>
      <x:c r="M961" s="47" t="n">
        <x:f>J961-L961</x:f>
        <x:v>2080</x:v>
      </x:c>
      <x:c r="N961" s="5" t="str">
        <x:v>Takeaway</x:v>
      </x:c>
      <x:c r="O961" s="5" t="str">
        <x:v>Cash</x:v>
      </x:c>
      <x:c r="P961" s="5" t="str">
        <x:v>Lunch</x:v>
      </x:c>
      <x:c r="Q961" s="48" t="n">
        <x:v>12</x:v>
      </x:c>
      <x:c r="R961" s="5" t="n">
        <x:v>3</x:v>
      </x:c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5" t="str">
        <x:v>ORD-01249</x:v>
      </x:c>
      <x:c r="B962" s="43" t="n">
        <x:v>46145</x:v>
      </x:c>
      <x:c r="C962" s="5" t="str">
        <x:v>CUST-0208</x:v>
      </x:c>
      <x:c r="D962" s="5" t="str">
        <x:v>FD005</x:v>
      </x:c>
      <x:c r="E962" s="5" t="str">
        <x:v>Yam Porridge</x:v>
      </x:c>
      <x:c r="F962" s="5" t="str">
        <x:v>Traditional Meals</x:v>
      </x:c>
      <x:c r="G962" s="44" t="n">
        <x:v>1</x:v>
      </x:c>
      <x:c r="H962" s="45" t="n">
        <x:v>2200</x:v>
      </x:c>
      <x:c r="I962" s="46" t="n">
        <x:v>0</x:v>
      </x:c>
      <x:c r="J962" s="47" t="n">
        <x:f>G962*H962*(1-I962)</x:f>
        <x:v>2200</x:v>
      </x:c>
      <x:c r="K962" s="47" t="n">
        <x:v>1050</x:v>
      </x:c>
      <x:c r="L962" s="47" t="n">
        <x:f>G962*K962</x:f>
        <x:v>1050</x:v>
      </x:c>
      <x:c r="M962" s="47" t="n">
        <x:f>J962-L962</x:f>
        <x:v>1150</x:v>
      </x:c>
      <x:c r="N962" s="5" t="str">
        <x:v>Walk-in</x:v>
      </x:c>
      <x:c r="O962" s="5" t="str">
        <x:v>Transfer</x:v>
      </x:c>
      <x:c r="P962" s="5" t="str">
        <x:v>Dinner</x:v>
      </x:c>
      <x:c r="Q962" s="48" t="n">
        <x:v>16</x:v>
      </x:c>
      <x:c r="R962" s="5" t="n">
        <x:v>5</x:v>
      </x:c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5" t="str">
        <x:v>ORD-01352</x:v>
      </x:c>
      <x:c r="B963" s="43" t="n">
        <x:v>46145</x:v>
      </x:c>
      <x:c r="C963" s="5" t="str">
        <x:v>CUST-0017</x:v>
      </x:c>
      <x:c r="D963" s="5" t="str">
        <x:v>FD003</x:v>
      </x:c>
      <x:c r="E963" s="5" t="str">
        <x:v>Fried Rice &amp; Chicken</x:v>
      </x:c>
      <x:c r="F963" s="5" t="str">
        <x:v>Rice Meals</x:v>
      </x:c>
      <x:c r="G963" s="44" t="n">
        <x:v>1</x:v>
      </x:c>
      <x:c r="H963" s="45" t="n">
        <x:v>3000</x:v>
      </x:c>
      <x:c r="I963" s="46" t="n">
        <x:v>0</x:v>
      </x:c>
      <x:c r="J963" s="47" t="n">
        <x:f>G963*H963*(1-I963)</x:f>
        <x:v>3000</x:v>
      </x:c>
      <x:c r="K963" s="47" t="n">
        <x:v>1580</x:v>
      </x:c>
      <x:c r="L963" s="47" t="n">
        <x:f>G963*K963</x:f>
        <x:v>1580</x:v>
      </x:c>
      <x:c r="M963" s="47" t="n">
        <x:f>J963-L963</x:f>
        <x:v>1420</x:v>
      </x:c>
      <x:c r="N963" s="5" t="str">
        <x:v>Takeaway</x:v>
      </x:c>
      <x:c r="O963" s="5" t="str">
        <x:v>POS</x:v>
      </x:c>
      <x:c r="P963" s="5" t="str">
        <x:v>Breakfast</x:v>
      </x:c>
      <x:c r="Q963" s="48" t="n">
        <x:v>10</x:v>
      </x:c>
      <x:c r="R963" s="5" t="n">
        <x:v>4</x:v>
      </x:c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5" t="str">
        <x:v>ORD-01529</x:v>
      </x:c>
      <x:c r="B964" s="43" t="n">
        <x:v>46145</x:v>
      </x:c>
      <x:c r="C964" s="5" t="str">
        <x:v>CUST-0087</x:v>
      </x:c>
      <x:c r="D964" s="5" t="str">
        <x:v>FD008</x:v>
      </x:c>
      <x:c r="E964" s="5" t="str">
        <x:v>Pounded Yam &amp; Vegetable Soup</x:v>
      </x:c>
      <x:c r="F964" s="5" t="str">
        <x:v>Swallow</x:v>
      </x:c>
      <x:c r="G964" s="44" t="n">
        <x:v>4</x:v>
      </x:c>
      <x:c r="H964" s="45" t="n">
        <x:v>3200</x:v>
      </x:c>
      <x:c r="I964" s="46" t="n">
        <x:v>0</x:v>
      </x:c>
      <x:c r="J964" s="47" t="n">
        <x:f>G964*H964*(1-I964)</x:f>
        <x:v>12800</x:v>
      </x:c>
      <x:c r="K964" s="47" t="n">
        <x:v>1710</x:v>
      </x:c>
      <x:c r="L964" s="47" t="n">
        <x:f>G964*K964</x:f>
        <x:v>6840</x:v>
      </x:c>
      <x:c r="M964" s="47" t="n">
        <x:f>J964-L964</x:f>
        <x:v>5960</x:v>
      </x:c>
      <x:c r="N964" s="5" t="str">
        <x:v>Walk-in</x:v>
      </x:c>
      <x:c r="O964" s="5" t="str">
        <x:v>Cash</x:v>
      </x:c>
      <x:c r="P964" s="5" t="str">
        <x:v>Lunch</x:v>
      </x:c>
      <x:c r="Q964" s="48" t="n">
        <x:v>14</x:v>
      </x:c>
      <x:c r="R964" s="5" t="n">
        <x:v>5</x:v>
      </x:c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5" t="str">
        <x:v>ORD-01640</x:v>
      </x:c>
      <x:c r="B965" s="43" t="n">
        <x:v>46145</x:v>
      </x:c>
      <x:c r="C965" s="5" t="str">
        <x:v>CUST-0024</x:v>
      </x:c>
      <x:c r="D965" s="5" t="str">
        <x:v>FD006</x:v>
      </x:c>
      <x:c r="E965" s="5" t="str">
        <x:v>Eba &amp; Egusi Soup</x:v>
      </x:c>
      <x:c r="F965" s="5" t="str">
        <x:v>Swallow</x:v>
      </x:c>
      <x:c r="G965" s="44" t="n">
        <x:v>4</x:v>
      </x:c>
      <x:c r="H965" s="45" t="n">
        <x:v>2600</x:v>
      </x:c>
      <x:c r="I965" s="46" t="n">
        <x:v>0</x:v>
      </x:c>
      <x:c r="J965" s="47" t="n">
        <x:f>G965*H965*(1-I965)</x:f>
        <x:v>10400</x:v>
      </x:c>
      <x:c r="K965" s="47" t="n">
        <x:v>1320</x:v>
      </x:c>
      <x:c r="L965" s="47" t="n">
        <x:f>G965*K965</x:f>
        <x:v>5280</x:v>
      </x:c>
      <x:c r="M965" s="47" t="n">
        <x:f>J965-L965</x:f>
        <x:v>5120</x:v>
      </x:c>
      <x:c r="N965" s="5" t="str">
        <x:v>Walk-in</x:v>
      </x:c>
      <x:c r="O965" s="5" t="str">
        <x:v>Transfer</x:v>
      </x:c>
      <x:c r="P965" s="5" t="str">
        <x:v>Breakfast</x:v>
      </x:c>
      <x:c r="Q965" s="48" t="n">
        <x:v>10</x:v>
      </x:c>
      <x:c r="R965" s="5" t="n">
        <x:v>5</x:v>
      </x:c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5" t="str">
        <x:v>ORD-00100</x:v>
      </x:c>
      <x:c r="B966" s="43" t="n">
        <x:v>46146</x:v>
      </x:c>
      <x:c r="C966" s="5" t="str">
        <x:v>CUST-0169</x:v>
      </x:c>
      <x:c r="D966" s="5" t="str">
        <x:v>FD003</x:v>
      </x:c>
      <x:c r="E966" s="5" t="str">
        <x:v>Fried Rice &amp; Chicken</x:v>
      </x:c>
      <x:c r="F966" s="5" t="str">
        <x:v>Rice Meals</x:v>
      </x:c>
      <x:c r="G966" s="44" t="n">
        <x:v>4</x:v>
      </x:c>
      <x:c r="H966" s="45" t="n">
        <x:v>3000</x:v>
      </x:c>
      <x:c r="I966" s="46" t="n">
        <x:v>0</x:v>
      </x:c>
      <x:c r="J966" s="47" t="n">
        <x:f>G966*H966*(1-I966)</x:f>
        <x:v>12000</x:v>
      </x:c>
      <x:c r="K966" s="47" t="n">
        <x:v>1580</x:v>
      </x:c>
      <x:c r="L966" s="47" t="n">
        <x:f>G966*K966</x:f>
        <x:v>6320</x:v>
      </x:c>
      <x:c r="M966" s="47" t="n">
        <x:f>J966-L966</x:f>
        <x:v>5680</x:v>
      </x:c>
      <x:c r="N966" s="5" t="str">
        <x:v>Walk-in</x:v>
      </x:c>
      <x:c r="O966" s="5" t="str">
        <x:v>Transfer</x:v>
      </x:c>
      <x:c r="P966" s="5" t="str">
        <x:v>Lunch</x:v>
      </x:c>
      <x:c r="Q966" s="48" t="n">
        <x:v>12</x:v>
      </x:c>
      <x:c r="R966" s="5" t="n">
        <x:v>4</x:v>
      </x:c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5" t="str">
        <x:v>ORD-00182</x:v>
      </x:c>
      <x:c r="B967" s="43" t="n">
        <x:v>46146</x:v>
      </x:c>
      <x:c r="C967" s="5" t="str">
        <x:v>CUST-0356</x:v>
      </x:c>
      <x:c r="D967" s="5" t="str">
        <x:v>FD008</x:v>
      </x:c>
      <x:c r="E967" s="5" t="str">
        <x:v>Pounded Yam &amp; Vegetable Soup</x:v>
      </x:c>
      <x:c r="F967" s="5" t="str">
        <x:v>Swallow</x:v>
      </x:c>
      <x:c r="G967" s="44" t="n">
        <x:v>4</x:v>
      </x:c>
      <x:c r="H967" s="45" t="n">
        <x:v>3200</x:v>
      </x:c>
      <x:c r="I967" s="46" t="n">
        <x:v>0</x:v>
      </x:c>
      <x:c r="J967" s="47" t="n">
        <x:f>G967*H967*(1-I967)</x:f>
        <x:v>12800</x:v>
      </x:c>
      <x:c r="K967" s="47" t="n">
        <x:v>1710</x:v>
      </x:c>
      <x:c r="L967" s="47" t="n">
        <x:f>G967*K967</x:f>
        <x:v>6840</x:v>
      </x:c>
      <x:c r="M967" s="47" t="n">
        <x:f>J967-L967</x:f>
        <x:v>5960</x:v>
      </x:c>
      <x:c r="N967" s="5" t="str">
        <x:v>Walk-in</x:v>
      </x:c>
      <x:c r="O967" s="5" t="str">
        <x:v>Transfer</x:v>
      </x:c>
      <x:c r="P967" s="5" t="str">
        <x:v>Lunch</x:v>
      </x:c>
      <x:c r="Q967" s="48" t="n">
        <x:v>14</x:v>
      </x:c>
      <x:c r="R967" s="5" t="n">
        <x:v>5</x:v>
      </x:c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5" t="str">
        <x:v>ORD-00211</x:v>
      </x:c>
      <x:c r="B968" s="43" t="n">
        <x:v>46146</x:v>
      </x:c>
      <x:c r="C968" s="5" t="str">
        <x:v>CUST-0215</x:v>
      </x:c>
      <x:c r="D968" s="5" t="str">
        <x:v>FD008</x:v>
      </x:c>
      <x:c r="E968" s="5" t="str">
        <x:v>Pounded Yam &amp; Vegetable Soup</x:v>
      </x:c>
      <x:c r="F968" s="5" t="str">
        <x:v>Swallow</x:v>
      </x:c>
      <x:c r="G968" s="44" t="n">
        <x:v>3</x:v>
      </x:c>
      <x:c r="H968" s="45" t="n">
        <x:v>3200</x:v>
      </x:c>
      <x:c r="I968" s="46" t="n">
        <x:v>0.05</x:v>
      </x:c>
      <x:c r="J968" s="47" t="n">
        <x:f>G968*H968*(1-I968)</x:f>
        <x:v>9120</x:v>
      </x:c>
      <x:c r="K968" s="47" t="n">
        <x:v>1710</x:v>
      </x:c>
      <x:c r="L968" s="47" t="n">
        <x:f>G968*K968</x:f>
        <x:v>5130</x:v>
      </x:c>
      <x:c r="M968" s="47" t="n">
        <x:f>J968-L968</x:f>
        <x:v>3990</x:v>
      </x:c>
      <x:c r="N968" s="5" t="str">
        <x:v>Takeaway</x:v>
      </x:c>
      <x:c r="O968" s="5" t="str">
        <x:v>Transfer</x:v>
      </x:c>
      <x:c r="P968" s="5" t="str">
        <x:v>Lunch</x:v>
      </x:c>
      <x:c r="Q968" s="48" t="n">
        <x:v>12</x:v>
      </x:c>
      <x:c r="R968" s="5" t="n">
        <x:v>3</x:v>
      </x:c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5" t="str">
        <x:v>ORD-00368</x:v>
      </x:c>
      <x:c r="B969" s="43" t="n">
        <x:v>46146</x:v>
      </x:c>
      <x:c r="C969" s="5" t="str">
        <x:v>CUST-0431</x:v>
      </x:c>
      <x:c r="D969" s="5" t="str">
        <x:v>FD004</x:v>
      </x:c>
      <x:c r="E969" s="5" t="str">
        <x:v>Beans &amp; Plantain</x:v>
      </x:c>
      <x:c r="F969" s="5" t="str">
        <x:v>Traditional Meals</x:v>
      </x:c>
      <x:c r="G969" s="44" t="n">
        <x:v>4</x:v>
      </x:c>
      <x:c r="H969" s="45" t="n">
        <x:v>2000</x:v>
      </x:c>
      <x:c r="I969" s="46" t="n">
        <x:v>0</x:v>
      </x:c>
      <x:c r="J969" s="47" t="n">
        <x:f>G969*H969*(1-I969)</x:f>
        <x:v>8000</x:v>
      </x:c>
      <x:c r="K969" s="47" t="n">
        <x:v>960</x:v>
      </x:c>
      <x:c r="L969" s="47" t="n">
        <x:f>G969*K969</x:f>
        <x:v>3840</x:v>
      </x:c>
      <x:c r="M969" s="47" t="n">
        <x:f>J969-L969</x:f>
        <x:v>4160</x:v>
      </x:c>
      <x:c r="N969" s="5" t="str">
        <x:v>Walk-in</x:v>
      </x:c>
      <x:c r="O969" s="5" t="str">
        <x:v>Transfer</x:v>
      </x:c>
      <x:c r="P969" s="5" t="str">
        <x:v>Lunch</x:v>
      </x:c>
      <x:c r="Q969" s="48" t="n">
        <x:v>15</x:v>
      </x:c>
      <x:c r="R969" s="5" t="n">
        <x:v>3</x:v>
      </x:c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5" t="str">
        <x:v>ORD-00638</x:v>
      </x:c>
      <x:c r="B970" s="43" t="n">
        <x:v>46146</x:v>
      </x:c>
      <x:c r="C970" s="5" t="str">
        <x:v>CUST-0418</x:v>
      </x:c>
      <x:c r="D970" s="5" t="str">
        <x:v>FD009</x:v>
      </x:c>
      <x:c r="E970" s="5" t="str">
        <x:v>Moi Moi</x:v>
      </x:c>
      <x:c r="F970" s="5" t="str">
        <x:v>Sides</x:v>
      </x:c>
      <x:c r="G970" s="44" t="n">
        <x:v>3</x:v>
      </x:c>
      <x:c r="H970" s="45" t="n">
        <x:v>900</x:v>
      </x:c>
      <x:c r="I970" s="46" t="n">
        <x:v>0</x:v>
      </x:c>
      <x:c r="J970" s="47" t="n">
        <x:f>G970*H970*(1-I970)</x:f>
        <x:v>2700</x:v>
      </x:c>
      <x:c r="K970" s="47" t="n">
        <x:v>380</x:v>
      </x:c>
      <x:c r="L970" s="47" t="n">
        <x:f>G970*K970</x:f>
        <x:v>1140</x:v>
      </x:c>
      <x:c r="M970" s="47" t="n">
        <x:f>J970-L970</x:f>
        <x:v>1560</x:v>
      </x:c>
      <x:c r="N970" s="5" t="str">
        <x:v>Takeaway</x:v>
      </x:c>
      <x:c r="O970" s="5" t="str">
        <x:v>POS</x:v>
      </x:c>
      <x:c r="P970" s="5" t="str">
        <x:v>Lunch</x:v>
      </x:c>
      <x:c r="Q970" s="48" t="n">
        <x:v>15</x:v>
      </x:c>
      <x:c r="R970" s="5" t="n">
        <x:v>5</x:v>
      </x:c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5" t="str">
        <x:v>ORD-00650</x:v>
      </x:c>
      <x:c r="B971" s="43" t="n">
        <x:v>46146</x:v>
      </x:c>
      <x:c r="C971" s="5" t="str">
        <x:v>CUST-0307</x:v>
      </x:c>
      <x:c r="D971" s="5" t="str">
        <x:v>FD003</x:v>
      </x:c>
      <x:c r="E971" s="5" t="str">
        <x:v>Fried Rice &amp; Chicken</x:v>
      </x:c>
      <x:c r="F971" s="5" t="str">
        <x:v>Rice Meals</x:v>
      </x:c>
      <x:c r="G971" s="44" t="n">
        <x:v>1</x:v>
      </x:c>
      <x:c r="H971" s="45" t="n">
        <x:v>3000</x:v>
      </x:c>
      <x:c r="I971" s="46" t="n">
        <x:v>0</x:v>
      </x:c>
      <x:c r="J971" s="47" t="n">
        <x:f>G971*H971*(1-I971)</x:f>
        <x:v>3000</x:v>
      </x:c>
      <x:c r="K971" s="47" t="n">
        <x:v>1580</x:v>
      </x:c>
      <x:c r="L971" s="47" t="n">
        <x:f>G971*K971</x:f>
        <x:v>1580</x:v>
      </x:c>
      <x:c r="M971" s="47" t="n">
        <x:f>J971-L971</x:f>
        <x:v>1420</x:v>
      </x:c>
      <x:c r="N971" s="5" t="str">
        <x:v>Walk-in</x:v>
      </x:c>
      <x:c r="O971" s="5" t="str">
        <x:v>POS</x:v>
      </x:c>
      <x:c r="P971" s="5" t="str">
        <x:v>Lunch</x:v>
      </x:c>
      <x:c r="Q971" s="48" t="n">
        <x:v>15</x:v>
      </x:c>
      <x:c r="R971" s="5" t="n">
        <x:v>5</x:v>
      </x:c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5" t="str">
        <x:v>ORD-00952</x:v>
      </x:c>
      <x:c r="B972" s="43" t="n">
        <x:v>46146</x:v>
      </x:c>
      <x:c r="C972" s="5" t="str">
        <x:v>CUST-0255</x:v>
      </x:c>
      <x:c r="D972" s="5" t="str">
        <x:v>FD009</x:v>
      </x:c>
      <x:c r="E972" s="5" t="str">
        <x:v>Moi Moi</x:v>
      </x:c>
      <x:c r="F972" s="5" t="str">
        <x:v>Sides</x:v>
      </x:c>
      <x:c r="G972" s="44" t="n">
        <x:v>4</x:v>
      </x:c>
      <x:c r="H972" s="45" t="n">
        <x:v>900</x:v>
      </x:c>
      <x:c r="I972" s="46" t="n">
        <x:v>0</x:v>
      </x:c>
      <x:c r="J972" s="47" t="n">
        <x:f>G972*H972*(1-I972)</x:f>
        <x:v>3600</x:v>
      </x:c>
      <x:c r="K972" s="47" t="n">
        <x:v>380</x:v>
      </x:c>
      <x:c r="L972" s="47" t="n">
        <x:f>G972*K972</x:f>
        <x:v>1520</x:v>
      </x:c>
      <x:c r="M972" s="47" t="n">
        <x:f>J972-L972</x:f>
        <x:v>2080</x:v>
      </x:c>
      <x:c r="N972" s="5" t="str">
        <x:v>Delivery</x:v>
      </x:c>
      <x:c r="O972" s="5" t="str">
        <x:v>Cash</x:v>
      </x:c>
      <x:c r="P972" s="5" t="str">
        <x:v>Breakfast</x:v>
      </x:c>
      <x:c r="Q972" s="48" t="n">
        <x:v>9</x:v>
      </x:c>
      <x:c r="R972" s="5" t="n">
        <x:v>5</x:v>
      </x:c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5" t="str">
        <x:v>ORD-00979</x:v>
      </x:c>
      <x:c r="B973" s="43" t="n">
        <x:v>46146</x:v>
      </x:c>
      <x:c r="C973" s="5" t="str">
        <x:v>CUST-0611</x:v>
      </x:c>
      <x:c r="D973" s="5" t="str">
        <x:v>FD009</x:v>
      </x:c>
      <x:c r="E973" s="5" t="str">
        <x:v>Moi Moi</x:v>
      </x:c>
      <x:c r="F973" s="5" t="str">
        <x:v>Sides</x:v>
      </x:c>
      <x:c r="G973" s="44" t="n">
        <x:v>4</x:v>
      </x:c>
      <x:c r="H973" s="45" t="n">
        <x:v>900</x:v>
      </x:c>
      <x:c r="I973" s="46" t="n">
        <x:v>0.1</x:v>
      </x:c>
      <x:c r="J973" s="47" t="n">
        <x:f>G973*H973*(1-I973)</x:f>
        <x:v>3240</x:v>
      </x:c>
      <x:c r="K973" s="47" t="n">
        <x:v>380</x:v>
      </x:c>
      <x:c r="L973" s="47" t="n">
        <x:f>G973*K973</x:f>
        <x:v>1520</x:v>
      </x:c>
      <x:c r="M973" s="47" t="n">
        <x:f>J973-L973</x:f>
        <x:v>1720</x:v>
      </x:c>
      <x:c r="N973" s="5" t="str">
        <x:v>Delivery</x:v>
      </x:c>
      <x:c r="O973" s="5" t="str">
        <x:v>Cash</x:v>
      </x:c>
      <x:c r="P973" s="5" t="str">
        <x:v>Breakfast</x:v>
      </x:c>
      <x:c r="Q973" s="48" t="n">
        <x:v>8</x:v>
      </x:c>
      <x:c r="R973" s="5" t="n">
        <x:v>4</x:v>
      </x:c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5" t="str">
        <x:v>ORD-01063</x:v>
      </x:c>
      <x:c r="B974" s="43" t="n">
        <x:v>46146</x:v>
      </x:c>
      <x:c r="C974" s="5" t="str">
        <x:v>CUST-0071</x:v>
      </x:c>
      <x:c r="D974" s="5" t="str">
        <x:v>FD006</x:v>
      </x:c>
      <x:c r="E974" s="5" t="str">
        <x:v>Eba &amp; Egusi Soup</x:v>
      </x:c>
      <x:c r="F974" s="5" t="str">
        <x:v>Swallow</x:v>
      </x:c>
      <x:c r="G974" s="44" t="n">
        <x:v>4</x:v>
      </x:c>
      <x:c r="H974" s="45" t="n">
        <x:v>2600</x:v>
      </x:c>
      <x:c r="I974" s="46" t="n">
        <x:v>0.1</x:v>
      </x:c>
      <x:c r="J974" s="47" t="n">
        <x:f>G974*H974*(1-I974)</x:f>
        <x:v>9360</x:v>
      </x:c>
      <x:c r="K974" s="47" t="n">
        <x:v>1320</x:v>
      </x:c>
      <x:c r="L974" s="47" t="n">
        <x:f>G974*K974</x:f>
        <x:v>5280</x:v>
      </x:c>
      <x:c r="M974" s="47" t="n">
        <x:f>J974-L974</x:f>
        <x:v>4080</x:v>
      </x:c>
      <x:c r="N974" s="5" t="str">
        <x:v>Walk-in</x:v>
      </x:c>
      <x:c r="O974" s="5" t="str">
        <x:v>Transfer</x:v>
      </x:c>
      <x:c r="P974" s="5" t="str">
        <x:v>Lunch</x:v>
      </x:c>
      <x:c r="Q974" s="48" t="n">
        <x:v>13</x:v>
      </x:c>
      <x:c r="R974" s="5" t="n">
        <x:v>4</x:v>
      </x:c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5" t="str">
        <x:v>ORD-01163</x:v>
      </x:c>
      <x:c r="B975" s="43" t="n">
        <x:v>46146</x:v>
      </x:c>
      <x:c r="C975" s="5" t="str">
        <x:v>CUST-0119</x:v>
      </x:c>
      <x:c r="D975" s="5" t="str">
        <x:v>FD003</x:v>
      </x:c>
      <x:c r="E975" s="5" t="str">
        <x:v>Fried Rice &amp; Chicken</x:v>
      </x:c>
      <x:c r="F975" s="5" t="str">
        <x:v>Rice Meals</x:v>
      </x:c>
      <x:c r="G975" s="44" t="n">
        <x:v>1</x:v>
      </x:c>
      <x:c r="H975" s="45" t="n">
        <x:v>3000</x:v>
      </x:c>
      <x:c r="I975" s="46" t="n">
        <x:v>0</x:v>
      </x:c>
      <x:c r="J975" s="47" t="n">
        <x:f>G975*H975*(1-I975)</x:f>
        <x:v>3000</x:v>
      </x:c>
      <x:c r="K975" s="47" t="n">
        <x:v>1580</x:v>
      </x:c>
      <x:c r="L975" s="47" t="n">
        <x:f>G975*K975</x:f>
        <x:v>1580</x:v>
      </x:c>
      <x:c r="M975" s="47" t="n">
        <x:f>J975-L975</x:f>
        <x:v>1420</x:v>
      </x:c>
      <x:c r="N975" s="5" t="str">
        <x:v>Walk-in</x:v>
      </x:c>
      <x:c r="O975" s="5" t="str">
        <x:v>Cash</x:v>
      </x:c>
      <x:c r="P975" s="5" t="str">
        <x:v>Lunch</x:v>
      </x:c>
      <x:c r="Q975" s="48" t="n">
        <x:v>15</x:v>
      </x:c>
      <x:c r="R975" s="5" t="n">
        <x:v>4</x:v>
      </x:c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5" t="str">
        <x:v>ORD-01260</x:v>
      </x:c>
      <x:c r="B976" s="43" t="n">
        <x:v>46146</x:v>
      </x:c>
      <x:c r="C976" s="5" t="str">
        <x:v>CUST-0186</x:v>
      </x:c>
      <x:c r="D976" s="5" t="str">
        <x:v>FD004</x:v>
      </x:c>
      <x:c r="E976" s="5" t="str">
        <x:v>Beans &amp; Plantain</x:v>
      </x:c>
      <x:c r="F976" s="5" t="str">
        <x:v>Traditional Meals</x:v>
      </x:c>
      <x:c r="G976" s="44" t="n">
        <x:v>1</x:v>
      </x:c>
      <x:c r="H976" s="45" t="n">
        <x:v>2000</x:v>
      </x:c>
      <x:c r="I976" s="46" t="n">
        <x:v>0</x:v>
      </x:c>
      <x:c r="J976" s="47" t="n">
        <x:f>G976*H976*(1-I976)</x:f>
        <x:v>2000</x:v>
      </x:c>
      <x:c r="K976" s="47" t="n">
        <x:v>960</x:v>
      </x:c>
      <x:c r="L976" s="47" t="n">
        <x:f>G976*K976</x:f>
        <x:v>960</x:v>
      </x:c>
      <x:c r="M976" s="47" t="n">
        <x:f>J976-L976</x:f>
        <x:v>1040</x:v>
      </x:c>
      <x:c r="N976" s="5" t="str">
        <x:v>Takeaway</x:v>
      </x:c>
      <x:c r="O976" s="5" t="str">
        <x:v>POS</x:v>
      </x:c>
      <x:c r="P976" s="5" t="str">
        <x:v>Breakfast</x:v>
      </x:c>
      <x:c r="Q976" s="48" t="n">
        <x:v>9</x:v>
      </x:c>
      <x:c r="R976" s="5" t="n">
        <x:v>5</x:v>
      </x:c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5" t="str">
        <x:v>ORD-01528</x:v>
      </x:c>
      <x:c r="B977" s="43" t="n">
        <x:v>46146</x:v>
      </x:c>
      <x:c r="C977" s="5" t="str">
        <x:v>CUST-0547</x:v>
      </x:c>
      <x:c r="D977" s="5" t="str">
        <x:v>FD001</x:v>
      </x:c>
      <x:c r="E977" s="5" t="str">
        <x:v>White Rice &amp; Stew</x:v>
      </x:c>
      <x:c r="F977" s="5" t="str">
        <x:v>Rice Meals</x:v>
      </x:c>
      <x:c r="G977" s="44" t="n">
        <x:v>1</x:v>
      </x:c>
      <x:c r="H977" s="45" t="n">
        <x:v>1800</x:v>
      </x:c>
      <x:c r="I977" s="46" t="n">
        <x:v>0</x:v>
      </x:c>
      <x:c r="J977" s="47" t="n">
        <x:f>G977*H977*(1-I977)</x:f>
        <x:v>1800</x:v>
      </x:c>
      <x:c r="K977" s="47" t="n">
        <x:v>820</x:v>
      </x:c>
      <x:c r="L977" s="47" t="n">
        <x:f>G977*K977</x:f>
        <x:v>820</x:v>
      </x:c>
      <x:c r="M977" s="47" t="n">
        <x:f>J977-L977</x:f>
        <x:v>980</x:v>
      </x:c>
      <x:c r="N977" s="5" t="str">
        <x:v>Walk-in</x:v>
      </x:c>
      <x:c r="O977" s="5" t="str">
        <x:v>Transfer</x:v>
      </x:c>
      <x:c r="P977" s="5" t="str">
        <x:v>Lunch</x:v>
      </x:c>
      <x:c r="Q977" s="48" t="n">
        <x:v>14</x:v>
      </x:c>
      <x:c r="R977" s="5" t="n">
        <x:v>4</x:v>
      </x:c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5" t="str">
        <x:v>ORD-01674</x:v>
      </x:c>
      <x:c r="B978" s="43" t="n">
        <x:v>46146</x:v>
      </x:c>
      <x:c r="C978" s="5" t="str">
        <x:v>CUST-0052</x:v>
      </x:c>
      <x:c r="D978" s="5" t="str">
        <x:v>FD001</x:v>
      </x:c>
      <x:c r="E978" s="5" t="str">
        <x:v>White Rice &amp; Stew</x:v>
      </x:c>
      <x:c r="F978" s="5" t="str">
        <x:v>Rice Meals</x:v>
      </x:c>
      <x:c r="G978" s="44" t="n">
        <x:v>1</x:v>
      </x:c>
      <x:c r="H978" s="45" t="n">
        <x:v>1800</x:v>
      </x:c>
      <x:c r="I978" s="46" t="n">
        <x:v>0</x:v>
      </x:c>
      <x:c r="J978" s="47" t="n">
        <x:f>G978*H978*(1-I978)</x:f>
        <x:v>1800</x:v>
      </x:c>
      <x:c r="K978" s="47" t="n">
        <x:v>820</x:v>
      </x:c>
      <x:c r="L978" s="47" t="n">
        <x:f>G978*K978</x:f>
        <x:v>820</x:v>
      </x:c>
      <x:c r="M978" s="47" t="n">
        <x:f>J978-L978</x:f>
        <x:v>980</x:v>
      </x:c>
      <x:c r="N978" s="5" t="str">
        <x:v>Delivery</x:v>
      </x:c>
      <x:c r="O978" s="5" t="str">
        <x:v>Cash</x:v>
      </x:c>
      <x:c r="P978" s="5" t="str">
        <x:v>Lunch</x:v>
      </x:c>
      <x:c r="Q978" s="48" t="n">
        <x:v>14</x:v>
      </x:c>
      <x:c r="R978" s="5" t="n">
        <x:v>4</x:v>
      </x:c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5" t="str">
        <x:v>ORD-00369</x:v>
      </x:c>
      <x:c r="B979" s="43" t="n">
        <x:v>46147</x:v>
      </x:c>
      <x:c r="C979" s="5" t="str">
        <x:v>CUST-0503</x:v>
      </x:c>
      <x:c r="D979" s="5" t="str">
        <x:v>FD010</x:v>
      </x:c>
      <x:c r="E979" s="5" t="str">
        <x:v>Soft Drink</x:v>
      </x:c>
      <x:c r="F979" s="5" t="str">
        <x:v>Beverages</x:v>
      </x:c>
      <x:c r="G979" s="44" t="n">
        <x:v>1</x:v>
      </x:c>
      <x:c r="H979" s="45" t="n">
        <x:v>600</x:v>
      </x:c>
      <x:c r="I979" s="46" t="n">
        <x:v>0.05</x:v>
      </x:c>
      <x:c r="J979" s="47" t="n">
        <x:f>G979*H979*(1-I979)</x:f>
        <x:v>570</x:v>
      </x:c>
      <x:c r="K979" s="47" t="n">
        <x:v>280</x:v>
      </x:c>
      <x:c r="L979" s="47" t="n">
        <x:f>G979*K979</x:f>
        <x:v>280</x:v>
      </x:c>
      <x:c r="M979" s="47" t="n">
        <x:f>J979-L979</x:f>
        <x:v>290</x:v>
      </x:c>
      <x:c r="N979" s="5" t="str">
        <x:v>Walk-in</x:v>
      </x:c>
      <x:c r="O979" s="5" t="str">
        <x:v>POS</x:v>
      </x:c>
      <x:c r="P979" s="5" t="str">
        <x:v>Lunch</x:v>
      </x:c>
      <x:c r="Q979" s="48" t="n">
        <x:v>15</x:v>
      </x:c>
      <x:c r="R979" s="5" t="n">
        <x:v>5</x:v>
      </x:c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5" t="str">
        <x:v>ORD-00395</x:v>
      </x:c>
      <x:c r="B980" s="43" t="n">
        <x:v>46147</x:v>
      </x:c>
      <x:c r="C980" s="5" t="str">
        <x:v>CUST-0437</x:v>
      </x:c>
      <x:c r="D980" s="5" t="str">
        <x:v>FD006</x:v>
      </x:c>
      <x:c r="E980" s="5" t="str">
        <x:v>Eba &amp; Egusi Soup</x:v>
      </x:c>
      <x:c r="F980" s="5" t="str">
        <x:v>Swallow</x:v>
      </x:c>
      <x:c r="G980" s="44" t="n">
        <x:v>1</x:v>
      </x:c>
      <x:c r="H980" s="45" t="n">
        <x:v>2600</x:v>
      </x:c>
      <x:c r="I980" s="46" t="n">
        <x:v>0</x:v>
      </x:c>
      <x:c r="J980" s="47" t="n">
        <x:f>G980*H980*(1-I980)</x:f>
        <x:v>2600</x:v>
      </x:c>
      <x:c r="K980" s="47" t="n">
        <x:v>1320</x:v>
      </x:c>
      <x:c r="L980" s="47" t="n">
        <x:f>G980*K980</x:f>
        <x:v>1320</x:v>
      </x:c>
      <x:c r="M980" s="47" t="n">
        <x:f>J980-L980</x:f>
        <x:v>1280</x:v>
      </x:c>
      <x:c r="N980" s="5" t="str">
        <x:v>Takeaway</x:v>
      </x:c>
      <x:c r="O980" s="5" t="str">
        <x:v>Transfer</x:v>
      </x:c>
      <x:c r="P980" s="5" t="str">
        <x:v>Lunch</x:v>
      </x:c>
      <x:c r="Q980" s="48" t="n">
        <x:v>12</x:v>
      </x:c>
      <x:c r="R980" s="5" t="n">
        <x:v>4</x:v>
      </x:c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5" t="str">
        <x:v>ORD-01722</x:v>
      </x:c>
      <x:c r="B981" s="43" t="n">
        <x:v>46147</x:v>
      </x:c>
      <x:c r="C981" s="5" t="str">
        <x:v>CUST-0240</x:v>
      </x:c>
      <x:c r="D981" s="5" t="str">
        <x:v>FD008</x:v>
      </x:c>
      <x:c r="E981" s="5" t="str">
        <x:v>Pounded Yam &amp; Vegetable Soup</x:v>
      </x:c>
      <x:c r="F981" s="5" t="str">
        <x:v>Swallow</x:v>
      </x:c>
      <x:c r="G981" s="44" t="n">
        <x:v>4</x:v>
      </x:c>
      <x:c r="H981" s="45" t="n">
        <x:v>3200</x:v>
      </x:c>
      <x:c r="I981" s="46" t="n">
        <x:v>0</x:v>
      </x:c>
      <x:c r="J981" s="47" t="n">
        <x:f>G981*H981*(1-I981)</x:f>
        <x:v>12800</x:v>
      </x:c>
      <x:c r="K981" s="47" t="n">
        <x:v>1710</x:v>
      </x:c>
      <x:c r="L981" s="47" t="n">
        <x:f>G981*K981</x:f>
        <x:v>6840</x:v>
      </x:c>
      <x:c r="M981" s="47" t="n">
        <x:f>J981-L981</x:f>
        <x:v>5960</x:v>
      </x:c>
      <x:c r="N981" s="5" t="str">
        <x:v>Walk-in</x:v>
      </x:c>
      <x:c r="O981" s="5" t="str">
        <x:v>POS</x:v>
      </x:c>
      <x:c r="P981" s="5" t="str">
        <x:v>Lunch</x:v>
      </x:c>
      <x:c r="Q981" s="48" t="n">
        <x:v>13</x:v>
      </x:c>
      <x:c r="R981" s="5" t="n">
        <x:v>5</x:v>
      </x:c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5" t="str">
        <x:v>ORD-00041</x:v>
      </x:c>
      <x:c r="B982" s="43" t="n">
        <x:v>46148</x:v>
      </x:c>
      <x:c r="C982" s="5" t="str">
        <x:v>CUST-0378</x:v>
      </x:c>
      <x:c r="D982" s="5" t="str">
        <x:v>FD001</x:v>
      </x:c>
      <x:c r="E982" s="5" t="str">
        <x:v>White Rice &amp; Stew</x:v>
      </x:c>
      <x:c r="F982" s="5" t="str">
        <x:v>Rice Meals</x:v>
      </x:c>
      <x:c r="G982" s="44" t="n">
        <x:v>3</x:v>
      </x:c>
      <x:c r="H982" s="45" t="n">
        <x:v>1800</x:v>
      </x:c>
      <x:c r="I982" s="46" t="n">
        <x:v>0</x:v>
      </x:c>
      <x:c r="J982" s="47" t="n">
        <x:f>G982*H982*(1-I982)</x:f>
        <x:v>5400</x:v>
      </x:c>
      <x:c r="K982" s="47" t="n">
        <x:v>820</x:v>
      </x:c>
      <x:c r="L982" s="47" t="n">
        <x:f>G982*K982</x:f>
        <x:v>2460</x:v>
      </x:c>
      <x:c r="M982" s="47" t="n">
        <x:f>J982-L982</x:f>
        <x:v>2940</x:v>
      </x:c>
      <x:c r="N982" s="5" t="str">
        <x:v>Walk-in</x:v>
      </x:c>
      <x:c r="O982" s="5" t="str">
        <x:v>Transfer</x:v>
      </x:c>
      <x:c r="P982" s="5" t="str">
        <x:v>Lunch</x:v>
      </x:c>
      <x:c r="Q982" s="48" t="n">
        <x:v>11</x:v>
      </x:c>
      <x:c r="R982" s="5" t="n">
        <x:v>5</x:v>
      </x:c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5" t="str">
        <x:v>ORD-00336</x:v>
      </x:c>
      <x:c r="B983" s="43" t="n">
        <x:v>46148</x:v>
      </x:c>
      <x:c r="C983" s="5" t="str">
        <x:v>CUST-0564</x:v>
      </x:c>
      <x:c r="D983" s="5" t="str">
        <x:v>FD002</x:v>
      </x:c>
      <x:c r="E983" s="5" t="str">
        <x:v>Jollof Rice &amp; Chicken</x:v>
      </x:c>
      <x:c r="F983" s="5" t="str">
        <x:v>Rice Meals</x:v>
      </x:c>
      <x:c r="G983" s="44" t="n">
        <x:v>3</x:v>
      </x:c>
      <x:c r="H983" s="45" t="n">
        <x:v>2800</x:v>
      </x:c>
      <x:c r="I983" s="46" t="n">
        <x:v>0</x:v>
      </x:c>
      <x:c r="J983" s="47" t="n">
        <x:f>G983*H983*(1-I983)</x:f>
        <x:v>8400</x:v>
      </x:c>
      <x:c r="K983" s="47" t="n">
        <x:v>1450</x:v>
      </x:c>
      <x:c r="L983" s="47" t="n">
        <x:f>G983*K983</x:f>
        <x:v>4350</x:v>
      </x:c>
      <x:c r="M983" s="47" t="n">
        <x:f>J983-L983</x:f>
        <x:v>4050</x:v>
      </x:c>
      <x:c r="N983" s="5" t="str">
        <x:v>Delivery</x:v>
      </x:c>
      <x:c r="O983" s="5" t="str">
        <x:v>Transfer</x:v>
      </x:c>
      <x:c r="P983" s="5" t="str">
        <x:v>Lunch</x:v>
      </x:c>
      <x:c r="Q983" s="48" t="n">
        <x:v>14</x:v>
      </x:c>
      <x:c r="R983" s="5" t="n">
        <x:v>3</x:v>
      </x:c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5" t="str">
        <x:v>ORD-01137</x:v>
      </x:c>
      <x:c r="B984" s="43" t="n">
        <x:v>46148</x:v>
      </x:c>
      <x:c r="C984" s="5" t="str">
        <x:v>CUST-0259</x:v>
      </x:c>
      <x:c r="D984" s="5" t="str">
        <x:v>FD002</x:v>
      </x:c>
      <x:c r="E984" s="5" t="str">
        <x:v>Jollof Rice &amp; Chicken</x:v>
      </x:c>
      <x:c r="F984" s="5" t="str">
        <x:v>Rice Meals</x:v>
      </x:c>
      <x:c r="G984" s="44" t="n">
        <x:v>4</x:v>
      </x:c>
      <x:c r="H984" s="45" t="n">
        <x:v>2800</x:v>
      </x:c>
      <x:c r="I984" s="46" t="n">
        <x:v>0</x:v>
      </x:c>
      <x:c r="J984" s="47" t="n">
        <x:f>G984*H984*(1-I984)</x:f>
        <x:v>11200</x:v>
      </x:c>
      <x:c r="K984" s="47" t="n">
        <x:v>1450</x:v>
      </x:c>
      <x:c r="L984" s="47" t="n">
        <x:f>G984*K984</x:f>
        <x:v>5800</x:v>
      </x:c>
      <x:c r="M984" s="47" t="n">
        <x:f>J984-L984</x:f>
        <x:v>5400</x:v>
      </x:c>
      <x:c r="N984" s="5" t="str">
        <x:v>Walk-in</x:v>
      </x:c>
      <x:c r="O984" s="5" t="str">
        <x:v>Transfer</x:v>
      </x:c>
      <x:c r="P984" s="5" t="str">
        <x:v>Dinner</x:v>
      </x:c>
      <x:c r="Q984" s="48" t="n">
        <x:v>17</x:v>
      </x:c>
      <x:c r="R984" s="5" t="n">
        <x:v>3</x:v>
      </x:c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5" t="str">
        <x:v>ORD-01251</x:v>
      </x:c>
      <x:c r="B985" s="43" t="n">
        <x:v>46148</x:v>
      </x:c>
      <x:c r="C985" s="5" t="str">
        <x:v>CUST-0427</x:v>
      </x:c>
      <x:c r="D985" s="5" t="str">
        <x:v>FD002</x:v>
      </x:c>
      <x:c r="E985" s="5" t="str">
        <x:v>Jollof Rice &amp; Chicken</x:v>
      </x:c>
      <x:c r="F985" s="5" t="str">
        <x:v>Rice Meals</x:v>
      </x:c>
      <x:c r="G985" s="44" t="n">
        <x:v>3</x:v>
      </x:c>
      <x:c r="H985" s="45" t="n">
        <x:v>2800</x:v>
      </x:c>
      <x:c r="I985" s="46" t="n">
        <x:v>0</x:v>
      </x:c>
      <x:c r="J985" s="47" t="n">
        <x:f>G985*H985*(1-I985)</x:f>
        <x:v>8400</x:v>
      </x:c>
      <x:c r="K985" s="47" t="n">
        <x:v>1450</x:v>
      </x:c>
      <x:c r="L985" s="47" t="n">
        <x:f>G985*K985</x:f>
        <x:v>4350</x:v>
      </x:c>
      <x:c r="M985" s="47" t="n">
        <x:f>J985-L985</x:f>
        <x:v>4050</x:v>
      </x:c>
      <x:c r="N985" s="5" t="str">
        <x:v>Takeaway</x:v>
      </x:c>
      <x:c r="O985" s="5" t="str">
        <x:v>POS</x:v>
      </x:c>
      <x:c r="P985" s="5" t="str">
        <x:v>Dinner</x:v>
      </x:c>
      <x:c r="Q985" s="48" t="n">
        <x:v>16</x:v>
      </x:c>
      <x:c r="R985" s="5" t="n">
        <x:v>4</x:v>
      </x:c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5" t="str">
        <x:v>ORD-01190</x:v>
      </x:c>
      <x:c r="B986" s="43" t="n">
        <x:v>46149</x:v>
      </x:c>
      <x:c r="C986" s="5" t="str">
        <x:v>CUST-0083</x:v>
      </x:c>
      <x:c r="D986" s="5" t="str">
        <x:v>FD005</x:v>
      </x:c>
      <x:c r="E986" s="5" t="str">
        <x:v>Yam Porridge</x:v>
      </x:c>
      <x:c r="F986" s="5" t="str">
        <x:v>Traditional Meals</x:v>
      </x:c>
      <x:c r="G986" s="44" t="n">
        <x:v>3</x:v>
      </x:c>
      <x:c r="H986" s="45" t="n">
        <x:v>2200</x:v>
      </x:c>
      <x:c r="I986" s="46" t="n">
        <x:v>0</x:v>
      </x:c>
      <x:c r="J986" s="47" t="n">
        <x:f>G986*H986*(1-I986)</x:f>
        <x:v>6600</x:v>
      </x:c>
      <x:c r="K986" s="47" t="n">
        <x:v>1050</x:v>
      </x:c>
      <x:c r="L986" s="47" t="n">
        <x:f>G986*K986</x:f>
        <x:v>3150</x:v>
      </x:c>
      <x:c r="M986" s="47" t="n">
        <x:f>J986-L986</x:f>
        <x:v>3450</x:v>
      </x:c>
      <x:c r="N986" s="5" t="str">
        <x:v>Takeaway</x:v>
      </x:c>
      <x:c r="O986" s="5" t="str">
        <x:v>Cash</x:v>
      </x:c>
      <x:c r="P986" s="5" t="str">
        <x:v>Lunch</x:v>
      </x:c>
      <x:c r="Q986" s="48" t="n">
        <x:v>12</x:v>
      </x:c>
      <x:c r="R986" s="5" t="n">
        <x:v>3</x:v>
      </x:c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5" t="str">
        <x:v>ORD-01265</x:v>
      </x:c>
      <x:c r="B987" s="43" t="n">
        <x:v>46149</x:v>
      </x:c>
      <x:c r="C987" s="5" t="str">
        <x:v>CUST-0432</x:v>
      </x:c>
      <x:c r="D987" s="5" t="str">
        <x:v>FD010</x:v>
      </x:c>
      <x:c r="E987" s="5" t="str">
        <x:v>Soft Drink</x:v>
      </x:c>
      <x:c r="F987" s="5" t="str">
        <x:v>Beverages</x:v>
      </x:c>
      <x:c r="G987" s="44" t="n">
        <x:v>1</x:v>
      </x:c>
      <x:c r="H987" s="45" t="n">
        <x:v>600</x:v>
      </x:c>
      <x:c r="I987" s="46" t="n">
        <x:v>0</x:v>
      </x:c>
      <x:c r="J987" s="47" t="n">
        <x:f>G987*H987*(1-I987)</x:f>
        <x:v>600</x:v>
      </x:c>
      <x:c r="K987" s="47" t="n">
        <x:v>280</x:v>
      </x:c>
      <x:c r="L987" s="47" t="n">
        <x:f>G987*K987</x:f>
        <x:v>280</x:v>
      </x:c>
      <x:c r="M987" s="47" t="n">
        <x:f>J987-L987</x:f>
        <x:v>320</x:v>
      </x:c>
      <x:c r="N987" s="5" t="str">
        <x:v>Takeaway</x:v>
      </x:c>
      <x:c r="O987" s="5" t="str">
        <x:v>Cash</x:v>
      </x:c>
      <x:c r="P987" s="5" t="str">
        <x:v>Dinner</x:v>
      </x:c>
      <x:c r="Q987" s="48" t="n">
        <x:v>19</x:v>
      </x:c>
      <x:c r="R987" s="5" t="n">
        <x:v>5</x:v>
      </x:c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5" t="str">
        <x:v>ORD-01482</x:v>
      </x:c>
      <x:c r="B988" s="43" t="n">
        <x:v>46149</x:v>
      </x:c>
      <x:c r="C988" s="5" t="str">
        <x:v>CUST-0445</x:v>
      </x:c>
      <x:c r="D988" s="5" t="str">
        <x:v>FD002</x:v>
      </x:c>
      <x:c r="E988" s="5" t="str">
        <x:v>Jollof Rice &amp; Chicken</x:v>
      </x:c>
      <x:c r="F988" s="5" t="str">
        <x:v>Rice Meals</x:v>
      </x:c>
      <x:c r="G988" s="44" t="n">
        <x:v>1</x:v>
      </x:c>
      <x:c r="H988" s="45" t="n">
        <x:v>2800</x:v>
      </x:c>
      <x:c r="I988" s="46" t="n">
        <x:v>0</x:v>
      </x:c>
      <x:c r="J988" s="47" t="n">
        <x:f>G988*H988*(1-I988)</x:f>
        <x:v>2800</x:v>
      </x:c>
      <x:c r="K988" s="47" t="n">
        <x:v>1450</x:v>
      </x:c>
      <x:c r="L988" s="47" t="n">
        <x:f>G988*K988</x:f>
        <x:v>1450</x:v>
      </x:c>
      <x:c r="M988" s="47" t="n">
        <x:f>J988-L988</x:f>
        <x:v>1350</x:v>
      </x:c>
      <x:c r="N988" s="5" t="str">
        <x:v>Delivery</x:v>
      </x:c>
      <x:c r="O988" s="5" t="str">
        <x:v>POS</x:v>
      </x:c>
      <x:c r="P988" s="5" t="str">
        <x:v>Breakfast</x:v>
      </x:c>
      <x:c r="Q988" s="48" t="n">
        <x:v>8</x:v>
      </x:c>
      <x:c r="R988" s="5" t="n">
        <x:v>4</x:v>
      </x:c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5" t="str">
        <x:v>ORD-01650</x:v>
      </x:c>
      <x:c r="B989" s="43" t="n">
        <x:v>46149</x:v>
      </x:c>
      <x:c r="C989" s="5" t="str">
        <x:v>CUST-0539</x:v>
      </x:c>
      <x:c r="D989" s="5" t="str">
        <x:v>FD011</x:v>
      </x:c>
      <x:c r="E989" s="5" t="str">
        <x:v>Bottled Water</x:v>
      </x:c>
      <x:c r="F989" s="5" t="str">
        <x:v>Beverages</x:v>
      </x:c>
      <x:c r="G989" s="44" t="n">
        <x:v>4</x:v>
      </x:c>
      <x:c r="H989" s="45" t="n">
        <x:v>300</x:v>
      </x:c>
      <x:c r="I989" s="46" t="n">
        <x:v>0</x:v>
      </x:c>
      <x:c r="J989" s="47" t="n">
        <x:f>G989*H989*(1-I989)</x:f>
        <x:v>1200</x:v>
      </x:c>
      <x:c r="K989" s="47" t="n">
        <x:v>120</x:v>
      </x:c>
      <x:c r="L989" s="47" t="n">
        <x:f>G989*K989</x:f>
        <x:v>480</x:v>
      </x:c>
      <x:c r="M989" s="47" t="n">
        <x:f>J989-L989</x:f>
        <x:v>720</x:v>
      </x:c>
      <x:c r="N989" s="5" t="str">
        <x:v>Walk-in</x:v>
      </x:c>
      <x:c r="O989" s="5" t="str">
        <x:v>Cash</x:v>
      </x:c>
      <x:c r="P989" s="5" t="str">
        <x:v>Dinner</x:v>
      </x:c>
      <x:c r="Q989" s="48" t="n">
        <x:v>19</x:v>
      </x:c>
      <x:c r="R989" s="5" t="n">
        <x:v>3</x:v>
      </x:c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5" t="str">
        <x:v>ORD-00060</x:v>
      </x:c>
      <x:c r="B990" s="43" t="n">
        <x:v>46150</x:v>
      </x:c>
      <x:c r="C990" s="5" t="str">
        <x:v>CUST-0187</x:v>
      </x:c>
      <x:c r="D990" s="5" t="str">
        <x:v>FD001</x:v>
      </x:c>
      <x:c r="E990" s="5" t="str">
        <x:v>White Rice &amp; Stew</x:v>
      </x:c>
      <x:c r="F990" s="5" t="str">
        <x:v>Rice Meals</x:v>
      </x:c>
      <x:c r="G990" s="44" t="n">
        <x:v>3</x:v>
      </x:c>
      <x:c r="H990" s="45" t="n">
        <x:v>1800</x:v>
      </x:c>
      <x:c r="I990" s="46" t="n">
        <x:v>0</x:v>
      </x:c>
      <x:c r="J990" s="47" t="n">
        <x:f>G990*H990*(1-I990)</x:f>
        <x:v>5400</x:v>
      </x:c>
      <x:c r="K990" s="47" t="n">
        <x:v>820</x:v>
      </x:c>
      <x:c r="L990" s="47" t="n">
        <x:f>G990*K990</x:f>
        <x:v>2460</x:v>
      </x:c>
      <x:c r="M990" s="47" t="n">
        <x:f>J990-L990</x:f>
        <x:v>2940</x:v>
      </x:c>
      <x:c r="N990" s="5" t="str">
        <x:v>Walk-in</x:v>
      </x:c>
      <x:c r="O990" s="5" t="str">
        <x:v>POS</x:v>
      </x:c>
      <x:c r="P990" s="5" t="str">
        <x:v>Dinner</x:v>
      </x:c>
      <x:c r="Q990" s="48" t="n">
        <x:v>17</x:v>
      </x:c>
      <x:c r="R990" s="5" t="n">
        <x:v>4</x:v>
      </x:c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5" t="str">
        <x:v>ORD-00155</x:v>
      </x:c>
      <x:c r="B991" s="43" t="n">
        <x:v>46150</x:v>
      </x:c>
      <x:c r="C991" s="5" t="str">
        <x:v>CUST-0318</x:v>
      </x:c>
      <x:c r="D991" s="5" t="str">
        <x:v>FD012</x:v>
      </x:c>
      <x:c r="E991" s="5" t="str">
        <x:v>Fried Plantain</x:v>
      </x:c>
      <x:c r="F991" s="5" t="str">
        <x:v>Sides</x:v>
      </x:c>
      <x:c r="G991" s="44" t="n">
        <x:v>2</x:v>
      </x:c>
      <x:c r="H991" s="45" t="n">
        <x:v>700</x:v>
      </x:c>
      <x:c r="I991" s="46" t="n">
        <x:v>0</x:v>
      </x:c>
      <x:c r="J991" s="47" t="n">
        <x:f>G991*H991*(1-I991)</x:f>
        <x:v>1400</x:v>
      </x:c>
      <x:c r="K991" s="47" t="n">
        <x:v>300</x:v>
      </x:c>
      <x:c r="L991" s="47" t="n">
        <x:f>G991*K991</x:f>
        <x:v>600</x:v>
      </x:c>
      <x:c r="M991" s="47" t="n">
        <x:f>J991-L991</x:f>
        <x:v>800</x:v>
      </x:c>
      <x:c r="N991" s="5" t="str">
        <x:v>Takeaway</x:v>
      </x:c>
      <x:c r="O991" s="5" t="str">
        <x:v>POS</x:v>
      </x:c>
      <x:c r="P991" s="5" t="str">
        <x:v>Breakfast</x:v>
      </x:c>
      <x:c r="Q991" s="48" t="n">
        <x:v>10</x:v>
      </x:c>
      <x:c r="R991" s="5" t="n">
        <x:v>5</x:v>
      </x:c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5" t="str">
        <x:v>ORD-00231</x:v>
      </x:c>
      <x:c r="B992" s="43" t="n">
        <x:v>46150</x:v>
      </x:c>
      <x:c r="C992" s="5" t="str">
        <x:v>CUST-0352</x:v>
      </x:c>
      <x:c r="D992" s="5" t="str">
        <x:v>FD006</x:v>
      </x:c>
      <x:c r="E992" s="5" t="str">
        <x:v>Eba &amp; Egusi Soup</x:v>
      </x:c>
      <x:c r="F992" s="5" t="str">
        <x:v>Swallow</x:v>
      </x:c>
      <x:c r="G992" s="44" t="n">
        <x:v>3</x:v>
      </x:c>
      <x:c r="H992" s="45" t="n">
        <x:v>2600</x:v>
      </x:c>
      <x:c r="I992" s="46" t="n">
        <x:v>0</x:v>
      </x:c>
      <x:c r="J992" s="47" t="n">
        <x:f>G992*H992*(1-I992)</x:f>
        <x:v>7800</x:v>
      </x:c>
      <x:c r="K992" s="47" t="n">
        <x:v>1320</x:v>
      </x:c>
      <x:c r="L992" s="47" t="n">
        <x:f>G992*K992</x:f>
        <x:v>3960</x:v>
      </x:c>
      <x:c r="M992" s="47" t="n">
        <x:f>J992-L992</x:f>
        <x:v>3840</x:v>
      </x:c>
      <x:c r="N992" s="5" t="str">
        <x:v>Delivery</x:v>
      </x:c>
      <x:c r="O992" s="5" t="str">
        <x:v>Transfer</x:v>
      </x:c>
      <x:c r="P992" s="5" t="str">
        <x:v>Lunch</x:v>
      </x:c>
      <x:c r="Q992" s="48" t="n">
        <x:v>11</x:v>
      </x:c>
      <x:c r="R992" s="5" t="n">
        <x:v>4</x:v>
      </x:c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5" t="str">
        <x:v>ORD-00513</x:v>
      </x:c>
      <x:c r="B993" s="43" t="n">
        <x:v>46150</x:v>
      </x:c>
      <x:c r="C993" s="5" t="str">
        <x:v>CUST-0207</x:v>
      </x:c>
      <x:c r="D993" s="5" t="str">
        <x:v>FD005</x:v>
      </x:c>
      <x:c r="E993" s="5" t="str">
        <x:v>Yam Porridge</x:v>
      </x:c>
      <x:c r="F993" s="5" t="str">
        <x:v>Traditional Meals</x:v>
      </x:c>
      <x:c r="G993" s="44" t="n">
        <x:v>4</x:v>
      </x:c>
      <x:c r="H993" s="45" t="n">
        <x:v>2200</x:v>
      </x:c>
      <x:c r="I993" s="46" t="n">
        <x:v>0</x:v>
      </x:c>
      <x:c r="J993" s="47" t="n">
        <x:f>G993*H993*(1-I993)</x:f>
        <x:v>8800</x:v>
      </x:c>
      <x:c r="K993" s="47" t="n">
        <x:v>1050</x:v>
      </x:c>
      <x:c r="L993" s="47" t="n">
        <x:f>G993*K993</x:f>
        <x:v>4200</x:v>
      </x:c>
      <x:c r="M993" s="47" t="n">
        <x:f>J993-L993</x:f>
        <x:v>4600</x:v>
      </x:c>
      <x:c r="N993" s="5" t="str">
        <x:v>Takeaway</x:v>
      </x:c>
      <x:c r="O993" s="5" t="str">
        <x:v>Transfer</x:v>
      </x:c>
      <x:c r="P993" s="5" t="str">
        <x:v>Lunch</x:v>
      </x:c>
      <x:c r="Q993" s="48" t="n">
        <x:v>14</x:v>
      </x:c>
      <x:c r="R993" s="5" t="n">
        <x:v>4</x:v>
      </x:c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5" t="str">
        <x:v>ORD-00543</x:v>
      </x:c>
      <x:c r="B994" s="43" t="n">
        <x:v>46150</x:v>
      </x:c>
      <x:c r="C994" s="5" t="str">
        <x:v>CUST-0263</x:v>
      </x:c>
      <x:c r="D994" s="5" t="str">
        <x:v>FD002</x:v>
      </x:c>
      <x:c r="E994" s="5" t="str">
        <x:v>Jollof Rice &amp; Chicken</x:v>
      </x:c>
      <x:c r="F994" s="5" t="str">
        <x:v>Rice Meals</x:v>
      </x:c>
      <x:c r="G994" s="44" t="n">
        <x:v>2</x:v>
      </x:c>
      <x:c r="H994" s="45" t="n">
        <x:v>2800</x:v>
      </x:c>
      <x:c r="I994" s="46" t="n">
        <x:v>0</x:v>
      </x:c>
      <x:c r="J994" s="47" t="n">
        <x:f>G994*H994*(1-I994)</x:f>
        <x:v>5600</x:v>
      </x:c>
      <x:c r="K994" s="47" t="n">
        <x:v>1450</x:v>
      </x:c>
      <x:c r="L994" s="47" t="n">
        <x:f>G994*K994</x:f>
        <x:v>2900</x:v>
      </x:c>
      <x:c r="M994" s="47" t="n">
        <x:f>J994-L994</x:f>
        <x:v>2700</x:v>
      </x:c>
      <x:c r="N994" s="5" t="str">
        <x:v>Walk-in</x:v>
      </x:c>
      <x:c r="O994" s="5" t="str">
        <x:v>Transfer</x:v>
      </x:c>
      <x:c r="P994" s="5" t="str">
        <x:v>Lunch</x:v>
      </x:c>
      <x:c r="Q994" s="48" t="n">
        <x:v>13</x:v>
      </x:c>
      <x:c r="R994" s="5" t="n">
        <x:v>3</x:v>
      </x:c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5" t="str">
        <x:v>ORD-00903</x:v>
      </x:c>
      <x:c r="B995" s="43" t="n">
        <x:v>46150</x:v>
      </x:c>
      <x:c r="C995" s="5" t="str">
        <x:v>CUST-0447</x:v>
      </x:c>
      <x:c r="D995" s="5" t="str">
        <x:v>FD005</x:v>
      </x:c>
      <x:c r="E995" s="5" t="str">
        <x:v>Yam Porridge</x:v>
      </x:c>
      <x:c r="F995" s="5" t="str">
        <x:v>Traditional Meals</x:v>
      </x:c>
      <x:c r="G995" s="44" t="n">
        <x:v>3</x:v>
      </x:c>
      <x:c r="H995" s="45" t="n">
        <x:v>2200</x:v>
      </x:c>
      <x:c r="I995" s="46" t="n">
        <x:v>0</x:v>
      </x:c>
      <x:c r="J995" s="47" t="n">
        <x:f>G995*H995*(1-I995)</x:f>
        <x:v>6600</x:v>
      </x:c>
      <x:c r="K995" s="47" t="n">
        <x:v>1050</x:v>
      </x:c>
      <x:c r="L995" s="47" t="n">
        <x:f>G995*K995</x:f>
        <x:v>3150</x:v>
      </x:c>
      <x:c r="M995" s="47" t="n">
        <x:f>J995-L995</x:f>
        <x:v>3450</x:v>
      </x:c>
      <x:c r="N995" s="5" t="str">
        <x:v>Walk-in</x:v>
      </x:c>
      <x:c r="O995" s="5" t="str">
        <x:v>Cash</x:v>
      </x:c>
      <x:c r="P995" s="5" t="str">
        <x:v>Lunch</x:v>
      </x:c>
      <x:c r="Q995" s="48" t="n">
        <x:v>11</x:v>
      </x:c>
      <x:c r="R995" s="5" t="n">
        <x:v>4</x:v>
      </x:c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5" t="str">
        <x:v>ORD-01124</x:v>
      </x:c>
      <x:c r="B996" s="43" t="n">
        <x:v>46150</x:v>
      </x:c>
      <x:c r="C996" s="5" t="str">
        <x:v>CUST-0474</x:v>
      </x:c>
      <x:c r="D996" s="5" t="str">
        <x:v>FD003</x:v>
      </x:c>
      <x:c r="E996" s="5" t="str">
        <x:v>Fried Rice &amp; Chicken</x:v>
      </x:c>
      <x:c r="F996" s="5" t="str">
        <x:v>Rice Meals</x:v>
      </x:c>
      <x:c r="G996" s="44" t="n">
        <x:v>4</x:v>
      </x:c>
      <x:c r="H996" s="45" t="n">
        <x:v>3000</x:v>
      </x:c>
      <x:c r="I996" s="46" t="n">
        <x:v>0</x:v>
      </x:c>
      <x:c r="J996" s="47" t="n">
        <x:f>G996*H996*(1-I996)</x:f>
        <x:v>12000</x:v>
      </x:c>
      <x:c r="K996" s="47" t="n">
        <x:v>1580</x:v>
      </x:c>
      <x:c r="L996" s="47" t="n">
        <x:f>G996*K996</x:f>
        <x:v>6320</x:v>
      </x:c>
      <x:c r="M996" s="47" t="n">
        <x:f>J996-L996</x:f>
        <x:v>5680</x:v>
      </x:c>
      <x:c r="N996" s="5" t="str">
        <x:v>Walk-in</x:v>
      </x:c>
      <x:c r="O996" s="5" t="str">
        <x:v>Transfer</x:v>
      </x:c>
      <x:c r="P996" s="5" t="str">
        <x:v>Lunch</x:v>
      </x:c>
      <x:c r="Q996" s="48" t="n">
        <x:v>13</x:v>
      </x:c>
      <x:c r="R996" s="5" t="n">
        <x:v>4</x:v>
      </x:c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5" t="str">
        <x:v>ORD-01770</x:v>
      </x:c>
      <x:c r="B997" s="43" t="n">
        <x:v>46150</x:v>
      </x:c>
      <x:c r="C997" s="5" t="str">
        <x:v>CUST-0395</x:v>
      </x:c>
      <x:c r="D997" s="5" t="str">
        <x:v>FD004</x:v>
      </x:c>
      <x:c r="E997" s="5" t="str">
        <x:v>Beans &amp; Plantain</x:v>
      </x:c>
      <x:c r="F997" s="5" t="str">
        <x:v>Traditional Meals</x:v>
      </x:c>
      <x:c r="G997" s="44" t="n">
        <x:v>4</x:v>
      </x:c>
      <x:c r="H997" s="45" t="n">
        <x:v>2000</x:v>
      </x:c>
      <x:c r="I997" s="46" t="n">
        <x:v>0</x:v>
      </x:c>
      <x:c r="J997" s="47" t="n">
        <x:f>G997*H997*(1-I997)</x:f>
        <x:v>8000</x:v>
      </x:c>
      <x:c r="K997" s="47" t="n">
        <x:v>960</x:v>
      </x:c>
      <x:c r="L997" s="47" t="n">
        <x:f>G997*K997</x:f>
        <x:v>3840</x:v>
      </x:c>
      <x:c r="M997" s="47" t="n">
        <x:f>J997-L997</x:f>
        <x:v>4160</x:v>
      </x:c>
      <x:c r="N997" s="5" t="str">
        <x:v>Walk-in</x:v>
      </x:c>
      <x:c r="O997" s="5" t="str">
        <x:v>Transfer</x:v>
      </x:c>
      <x:c r="P997" s="5" t="str">
        <x:v>Lunch</x:v>
      </x:c>
      <x:c r="Q997" s="48" t="n">
        <x:v>12</x:v>
      </x:c>
      <x:c r="R997" s="5" t="n">
        <x:v>4</x:v>
      </x:c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5" t="str">
        <x:v>ORD-00164</x:v>
      </x:c>
      <x:c r="B998" s="43" t="n">
        <x:v>46151</x:v>
      </x:c>
      <x:c r="C998" s="5" t="str">
        <x:v>CUST-0209</x:v>
      </x:c>
      <x:c r="D998" s="5" t="str">
        <x:v>FD005</x:v>
      </x:c>
      <x:c r="E998" s="5" t="str">
        <x:v>Yam Porridge</x:v>
      </x:c>
      <x:c r="F998" s="5" t="str">
        <x:v>Traditional Meals</x:v>
      </x:c>
      <x:c r="G998" s="44" t="n">
        <x:v>1</x:v>
      </x:c>
      <x:c r="H998" s="45" t="n">
        <x:v>2200</x:v>
      </x:c>
      <x:c r="I998" s="46" t="n">
        <x:v>0</x:v>
      </x:c>
      <x:c r="J998" s="47" t="n">
        <x:f>G998*H998*(1-I998)</x:f>
        <x:v>2200</x:v>
      </x:c>
      <x:c r="K998" s="47" t="n">
        <x:v>1050</x:v>
      </x:c>
      <x:c r="L998" s="47" t="n">
        <x:f>G998*K998</x:f>
        <x:v>1050</x:v>
      </x:c>
      <x:c r="M998" s="47" t="n">
        <x:f>J998-L998</x:f>
        <x:v>1150</x:v>
      </x:c>
      <x:c r="N998" s="5" t="str">
        <x:v>Walk-in</x:v>
      </x:c>
      <x:c r="O998" s="5" t="str">
        <x:v>POS</x:v>
      </x:c>
      <x:c r="P998" s="5" t="str">
        <x:v>Lunch</x:v>
      </x:c>
      <x:c r="Q998" s="48" t="n">
        <x:v>12</x:v>
      </x:c>
      <x:c r="R998" s="5" t="n">
        <x:v>3</x:v>
      </x:c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5" t="str">
        <x:v>ORD-00223</x:v>
      </x:c>
      <x:c r="B999" s="43" t="n">
        <x:v>46151</x:v>
      </x:c>
      <x:c r="C999" s="5" t="str">
        <x:v>CUST-0052</x:v>
      </x:c>
      <x:c r="D999" s="5" t="str">
        <x:v>FD001</x:v>
      </x:c>
      <x:c r="E999" s="5" t="str">
        <x:v>White Rice &amp; Stew</x:v>
      </x:c>
      <x:c r="F999" s="5" t="str">
        <x:v>Rice Meals</x:v>
      </x:c>
      <x:c r="G999" s="44" t="n">
        <x:v>3</x:v>
      </x:c>
      <x:c r="H999" s="45" t="n">
        <x:v>1800</x:v>
      </x:c>
      <x:c r="I999" s="46" t="n">
        <x:v>0</x:v>
      </x:c>
      <x:c r="J999" s="47" t="n">
        <x:f>G999*H999*(1-I999)</x:f>
        <x:v>5400</x:v>
      </x:c>
      <x:c r="K999" s="47" t="n">
        <x:v>820</x:v>
      </x:c>
      <x:c r="L999" s="47" t="n">
        <x:f>G999*K999</x:f>
        <x:v>2460</x:v>
      </x:c>
      <x:c r="M999" s="47" t="n">
        <x:f>J999-L999</x:f>
        <x:v>2940</x:v>
      </x:c>
      <x:c r="N999" s="5" t="str">
        <x:v>Walk-in</x:v>
      </x:c>
      <x:c r="O999" s="5" t="str">
        <x:v>Cash</x:v>
      </x:c>
      <x:c r="P999" s="5" t="str">
        <x:v>Lunch</x:v>
      </x:c>
      <x:c r="Q999" s="48" t="n">
        <x:v>11</x:v>
      </x:c>
      <x:c r="R999" s="5" t="n">
        <x:v>4</x:v>
      </x:c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5" t="str">
        <x:v>ORD-00717</x:v>
      </x:c>
      <x:c r="B1000" s="43" t="n">
        <x:v>46151</x:v>
      </x:c>
      <x:c r="C1000" s="5" t="str">
        <x:v>CUST-0391</x:v>
      </x:c>
      <x:c r="D1000" s="5" t="str">
        <x:v>FD007</x:v>
      </x:c>
      <x:c r="E1000" s="5" t="str">
        <x:v>Amala &amp; Ewedu</x:v>
      </x:c>
      <x:c r="F1000" s="5" t="str">
        <x:v>Swallow</x:v>
      </x:c>
      <x:c r="G1000" s="44" t="n">
        <x:v>4</x:v>
      </x:c>
      <x:c r="H1000" s="45" t="n">
        <x:v>2500</x:v>
      </x:c>
      <x:c r="I1000" s="46" t="n">
        <x:v>0</x:v>
      </x:c>
      <x:c r="J1000" s="47" t="n">
        <x:f>G1000*H1000*(1-I1000)</x:f>
        <x:v>10000</x:v>
      </x:c>
      <x:c r="K1000" s="47" t="n">
        <x:v>1250</x:v>
      </x:c>
      <x:c r="L1000" s="47" t="n">
        <x:f>G1000*K1000</x:f>
        <x:v>5000</x:v>
      </x:c>
      <x:c r="M1000" s="47" t="n">
        <x:f>J1000-L1000</x:f>
        <x:v>5000</x:v>
      </x:c>
      <x:c r="N1000" s="5" t="str">
        <x:v>Walk-in</x:v>
      </x:c>
      <x:c r="O1000" s="5" t="str">
        <x:v>POS</x:v>
      </x:c>
      <x:c r="P1000" s="5" t="str">
        <x:v>Breakfast</x:v>
      </x:c>
      <x:c r="Q1000" s="48" t="n">
        <x:v>9</x:v>
      </x:c>
      <x:c r="R1000" s="5" t="n">
        <x:v>4</x:v>
      </x:c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5" t="str">
        <x:v>ORD-01537</x:v>
      </x:c>
      <x:c r="B1001" s="43" t="n">
        <x:v>46151</x:v>
      </x:c>
      <x:c r="C1001" s="5" t="str">
        <x:v>CUST-0639</x:v>
      </x:c>
      <x:c r="D1001" s="5" t="str">
        <x:v>FD001</x:v>
      </x:c>
      <x:c r="E1001" s="5" t="str">
        <x:v>White Rice &amp; Stew</x:v>
      </x:c>
      <x:c r="F1001" s="5" t="str">
        <x:v>Rice Meals</x:v>
      </x:c>
      <x:c r="G1001" s="44" t="n">
        <x:v>2</x:v>
      </x:c>
      <x:c r="H1001" s="45" t="n">
        <x:v>1800</x:v>
      </x:c>
      <x:c r="I1001" s="46" t="n">
        <x:v>0.1</x:v>
      </x:c>
      <x:c r="J1001" s="47" t="n">
        <x:f>G1001*H1001*(1-I1001)</x:f>
        <x:v>3240</x:v>
      </x:c>
      <x:c r="K1001" s="47" t="n">
        <x:v>820</x:v>
      </x:c>
      <x:c r="L1001" s="47" t="n">
        <x:f>G1001*K1001</x:f>
        <x:v>1640</x:v>
      </x:c>
      <x:c r="M1001" s="47" t="n">
        <x:f>J1001-L1001</x:f>
        <x:v>1600</x:v>
      </x:c>
      <x:c r="N1001" s="5" t="str">
        <x:v>Walk-in</x:v>
      </x:c>
      <x:c r="O1001" s="5" t="str">
        <x:v>POS</x:v>
      </x:c>
      <x:c r="P1001" s="5" t="str">
        <x:v>Lunch</x:v>
      </x:c>
      <x:c r="Q1001" s="48" t="n">
        <x:v>12</x:v>
      </x:c>
      <x:c r="R1001" s="5" t="n">
        <x:v>5</x:v>
      </x:c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5" t="str">
        <x:v>ORD-00021</x:v>
      </x:c>
      <x:c r="B1002" s="43" t="n">
        <x:v>46152</x:v>
      </x:c>
      <x:c r="C1002" s="5" t="str">
        <x:v>CUST-0046</x:v>
      </x:c>
      <x:c r="D1002" s="5" t="str">
        <x:v>FD004</x:v>
      </x:c>
      <x:c r="E1002" s="5" t="str">
        <x:v>Beans &amp; Plantain</x:v>
      </x:c>
      <x:c r="F1002" s="5" t="str">
        <x:v>Traditional Meals</x:v>
      </x:c>
      <x:c r="G1002" s="44" t="n">
        <x:v>4</x:v>
      </x:c>
      <x:c r="H1002" s="45" t="n">
        <x:v>2000</x:v>
      </x:c>
      <x:c r="I1002" s="46" t="n">
        <x:v>0</x:v>
      </x:c>
      <x:c r="J1002" s="47" t="n">
        <x:f>G1002*H1002*(1-I1002)</x:f>
        <x:v>8000</x:v>
      </x:c>
      <x:c r="K1002" s="47" t="n">
        <x:v>960</x:v>
      </x:c>
      <x:c r="L1002" s="47" t="n">
        <x:f>G1002*K1002</x:f>
        <x:v>3840</x:v>
      </x:c>
      <x:c r="M1002" s="47" t="n">
        <x:f>J1002-L1002</x:f>
        <x:v>4160</x:v>
      </x:c>
      <x:c r="N1002" s="5" t="str">
        <x:v>Walk-in</x:v>
      </x:c>
      <x:c r="O1002" s="5" t="str">
        <x:v>Cash</x:v>
      </x:c>
      <x:c r="P1002" s="5" t="str">
        <x:v>Dinner</x:v>
      </x:c>
      <x:c r="Q1002" s="48" t="n">
        <x:v>20</x:v>
      </x:c>
      <x:c r="R1002" s="5" t="n">
        <x:v>4</x:v>
      </x:c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5" t="str">
        <x:v>ORD-00703</x:v>
      </x:c>
      <x:c r="B1003" s="43" t="n">
        <x:v>46152</x:v>
      </x:c>
      <x:c r="C1003" s="5" t="str">
        <x:v>CUST-0078</x:v>
      </x:c>
      <x:c r="D1003" s="5" t="str">
        <x:v>FD008</x:v>
      </x:c>
      <x:c r="E1003" s="5" t="str">
        <x:v>Pounded Yam &amp; Vegetable Soup</x:v>
      </x:c>
      <x:c r="F1003" s="5" t="str">
        <x:v>Swallow</x:v>
      </x:c>
      <x:c r="G1003" s="44" t="n">
        <x:v>4</x:v>
      </x:c>
      <x:c r="H1003" s="45" t="n">
        <x:v>3200</x:v>
      </x:c>
      <x:c r="I1003" s="46" t="n">
        <x:v>0</x:v>
      </x:c>
      <x:c r="J1003" s="47" t="n">
        <x:f>G1003*H1003*(1-I1003)</x:f>
        <x:v>12800</x:v>
      </x:c>
      <x:c r="K1003" s="47" t="n">
        <x:v>1710</x:v>
      </x:c>
      <x:c r="L1003" s="47" t="n">
        <x:f>G1003*K1003</x:f>
        <x:v>6840</x:v>
      </x:c>
      <x:c r="M1003" s="47" t="n">
        <x:f>J1003-L1003</x:f>
        <x:v>5960</x:v>
      </x:c>
      <x:c r="N1003" s="5" t="str">
        <x:v>Takeaway</x:v>
      </x:c>
      <x:c r="O1003" s="5" t="str">
        <x:v>POS</x:v>
      </x:c>
      <x:c r="P1003" s="5" t="str">
        <x:v>Lunch</x:v>
      </x:c>
      <x:c r="Q1003" s="48" t="n">
        <x:v>12</x:v>
      </x:c>
      <x:c r="R1003" s="5" t="n">
        <x:v>4</x:v>
      </x:c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5" t="str">
        <x:v>ORD-00922</x:v>
      </x:c>
      <x:c r="B1004" s="43" t="n">
        <x:v>46152</x:v>
      </x:c>
      <x:c r="C1004" s="5" t="str">
        <x:v>CUST-0559</x:v>
      </x:c>
      <x:c r="D1004" s="5" t="str">
        <x:v>FD007</x:v>
      </x:c>
      <x:c r="E1004" s="5" t="str">
        <x:v>Amala &amp; Ewedu</x:v>
      </x:c>
      <x:c r="F1004" s="5" t="str">
        <x:v>Swallow</x:v>
      </x:c>
      <x:c r="G1004" s="44" t="n">
        <x:v>2</x:v>
      </x:c>
      <x:c r="H1004" s="45" t="n">
        <x:v>2500</x:v>
      </x:c>
      <x:c r="I1004" s="46" t="n">
        <x:v>0</x:v>
      </x:c>
      <x:c r="J1004" s="47" t="n">
        <x:f>G1004*H1004*(1-I1004)</x:f>
        <x:v>5000</x:v>
      </x:c>
      <x:c r="K1004" s="47" t="n">
        <x:v>1250</x:v>
      </x:c>
      <x:c r="L1004" s="47" t="n">
        <x:f>G1004*K1004</x:f>
        <x:v>2500</x:v>
      </x:c>
      <x:c r="M1004" s="47" t="n">
        <x:f>J1004-L1004</x:f>
        <x:v>2500</x:v>
      </x:c>
      <x:c r="N1004" s="5" t="str">
        <x:v>Walk-in</x:v>
      </x:c>
      <x:c r="O1004" s="5" t="str">
        <x:v>Transfer</x:v>
      </x:c>
      <x:c r="P1004" s="5" t="str">
        <x:v>Dinner</x:v>
      </x:c>
      <x:c r="Q1004" s="48" t="n">
        <x:v>20</x:v>
      </x:c>
      <x:c r="R1004" s="5" t="n">
        <x:v>3</x:v>
      </x:c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5" t="str">
        <x:v>ORD-01338</x:v>
      </x:c>
      <x:c r="B1005" s="43" t="n">
        <x:v>46152</x:v>
      </x:c>
      <x:c r="C1005" s="5" t="str">
        <x:v>CUST-0115</x:v>
      </x:c>
      <x:c r="D1005" s="5" t="str">
        <x:v>FD006</x:v>
      </x:c>
      <x:c r="E1005" s="5" t="str">
        <x:v>Eba &amp; Egusi Soup</x:v>
      </x:c>
      <x:c r="F1005" s="5" t="str">
        <x:v>Swallow</x:v>
      </x:c>
      <x:c r="G1005" s="44" t="n">
        <x:v>3</x:v>
      </x:c>
      <x:c r="H1005" s="45" t="n">
        <x:v>2600</x:v>
      </x:c>
      <x:c r="I1005" s="46" t="n">
        <x:v>0</x:v>
      </x:c>
      <x:c r="J1005" s="47" t="n">
        <x:f>G1005*H1005*(1-I1005)</x:f>
        <x:v>7800</x:v>
      </x:c>
      <x:c r="K1005" s="47" t="n">
        <x:v>1320</x:v>
      </x:c>
      <x:c r="L1005" s="47" t="n">
        <x:f>G1005*K1005</x:f>
        <x:v>3960</x:v>
      </x:c>
      <x:c r="M1005" s="47" t="n">
        <x:f>J1005-L1005</x:f>
        <x:v>3840</x:v>
      </x:c>
      <x:c r="N1005" s="5" t="str">
        <x:v>Walk-in</x:v>
      </x:c>
      <x:c r="O1005" s="5" t="str">
        <x:v>POS</x:v>
      </x:c>
      <x:c r="P1005" s="5" t="str">
        <x:v>Dinner</x:v>
      </x:c>
      <x:c r="Q1005" s="48" t="n">
        <x:v>18</x:v>
      </x:c>
      <x:c r="R1005" s="5" t="n">
        <x:v>4</x:v>
      </x:c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5" t="str">
        <x:v>ORD-00418</x:v>
      </x:c>
      <x:c r="B1006" s="43" t="n">
        <x:v>46153</x:v>
      </x:c>
      <x:c r="C1006" s="5" t="str">
        <x:v>CUST-0582</x:v>
      </x:c>
      <x:c r="D1006" s="5" t="str">
        <x:v>FD007</x:v>
      </x:c>
      <x:c r="E1006" s="5" t="str">
        <x:v>Amala &amp; Ewedu</x:v>
      </x:c>
      <x:c r="F1006" s="5" t="str">
        <x:v>Swallow</x:v>
      </x:c>
      <x:c r="G1006" s="44" t="n">
        <x:v>4</x:v>
      </x:c>
      <x:c r="H1006" s="45" t="n">
        <x:v>2500</x:v>
      </x:c>
      <x:c r="I1006" s="46" t="n">
        <x:v>0</x:v>
      </x:c>
      <x:c r="J1006" s="47" t="n">
        <x:f>G1006*H1006*(1-I1006)</x:f>
        <x:v>10000</x:v>
      </x:c>
      <x:c r="K1006" s="47" t="n">
        <x:v>1250</x:v>
      </x:c>
      <x:c r="L1006" s="47" t="n">
        <x:f>G1006*K1006</x:f>
        <x:v>5000</x:v>
      </x:c>
      <x:c r="M1006" s="47" t="n">
        <x:f>J1006-L1006</x:f>
        <x:v>5000</x:v>
      </x:c>
      <x:c r="N1006" s="5" t="str">
        <x:v>Delivery</x:v>
      </x:c>
      <x:c r="O1006" s="5" t="str">
        <x:v>Cash</x:v>
      </x:c>
      <x:c r="P1006" s="5" t="str">
        <x:v>Dinner</x:v>
      </x:c>
      <x:c r="Q1006" s="48" t="n">
        <x:v>18</x:v>
      </x:c>
      <x:c r="R1006" s="5" t="n">
        <x:v>4</x:v>
      </x:c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5" t="str">
        <x:v>ORD-00474</x:v>
      </x:c>
      <x:c r="B1007" s="43" t="n">
        <x:v>46153</x:v>
      </x:c>
      <x:c r="C1007" s="5" t="str">
        <x:v>CUST-0088</x:v>
      </x:c>
      <x:c r="D1007" s="5" t="str">
        <x:v>FD002</x:v>
      </x:c>
      <x:c r="E1007" s="5" t="str">
        <x:v>Jollof Rice &amp; Chicken</x:v>
      </x:c>
      <x:c r="F1007" s="5" t="str">
        <x:v>Rice Meals</x:v>
      </x:c>
      <x:c r="G1007" s="44" t="n">
        <x:v>1</x:v>
      </x:c>
      <x:c r="H1007" s="45" t="n">
        <x:v>2800</x:v>
      </x:c>
      <x:c r="I1007" s="46" t="n">
        <x:v>0.1</x:v>
      </x:c>
      <x:c r="J1007" s="47" t="n">
        <x:f>G1007*H1007*(1-I1007)</x:f>
        <x:v>2520</x:v>
      </x:c>
      <x:c r="K1007" s="47" t="n">
        <x:v>1450</x:v>
      </x:c>
      <x:c r="L1007" s="47" t="n">
        <x:f>G1007*K1007</x:f>
        <x:v>1450</x:v>
      </x:c>
      <x:c r="M1007" s="47" t="n">
        <x:f>J1007-L1007</x:f>
        <x:v>1070</x:v>
      </x:c>
      <x:c r="N1007" s="5" t="str">
        <x:v>Takeaway</x:v>
      </x:c>
      <x:c r="O1007" s="5" t="str">
        <x:v>POS</x:v>
      </x:c>
      <x:c r="P1007" s="5" t="str">
        <x:v>Lunch</x:v>
      </x:c>
      <x:c r="Q1007" s="48" t="n">
        <x:v>13</x:v>
      </x:c>
      <x:c r="R1007" s="5" t="n">
        <x:v>4</x:v>
      </x:c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5" t="str">
        <x:v>ORD-00557</x:v>
      </x:c>
      <x:c r="B1008" s="43" t="n">
        <x:v>46153</x:v>
      </x:c>
      <x:c r="C1008" s="5" t="str">
        <x:v>CUST-0642</x:v>
      </x:c>
      <x:c r="D1008" s="5" t="str">
        <x:v>FD005</x:v>
      </x:c>
      <x:c r="E1008" s="5" t="str">
        <x:v>Yam Porridge</x:v>
      </x:c>
      <x:c r="F1008" s="5" t="str">
        <x:v>Traditional Meals</x:v>
      </x:c>
      <x:c r="G1008" s="44" t="n">
        <x:v>4</x:v>
      </x:c>
      <x:c r="H1008" s="45" t="n">
        <x:v>2200</x:v>
      </x:c>
      <x:c r="I1008" s="46" t="n">
        <x:v>0</x:v>
      </x:c>
      <x:c r="J1008" s="47" t="n">
        <x:f>G1008*H1008*(1-I1008)</x:f>
        <x:v>8800</x:v>
      </x:c>
      <x:c r="K1008" s="47" t="n">
        <x:v>1050</x:v>
      </x:c>
      <x:c r="L1008" s="47" t="n">
        <x:f>G1008*K1008</x:f>
        <x:v>4200</x:v>
      </x:c>
      <x:c r="M1008" s="47" t="n">
        <x:f>J1008-L1008</x:f>
        <x:v>4600</x:v>
      </x:c>
      <x:c r="N1008" s="5" t="str">
        <x:v>Walk-in</x:v>
      </x:c>
      <x:c r="O1008" s="5" t="str">
        <x:v>Transfer</x:v>
      </x:c>
      <x:c r="P1008" s="5" t="str">
        <x:v>Dinner</x:v>
      </x:c>
      <x:c r="Q1008" s="48" t="n">
        <x:v>17</x:v>
      </x:c>
      <x:c r="R1008" s="5" t="n">
        <x:v>4</x:v>
      </x:c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5" t="str">
        <x:v>ORD-00671</x:v>
      </x:c>
      <x:c r="B1009" s="43" t="n">
        <x:v>46153</x:v>
      </x:c>
      <x:c r="C1009" s="5" t="str">
        <x:v>CUST-0476</x:v>
      </x:c>
      <x:c r="D1009" s="5" t="str">
        <x:v>FD003</x:v>
      </x:c>
      <x:c r="E1009" s="5" t="str">
        <x:v>Fried Rice &amp; Chicken</x:v>
      </x:c>
      <x:c r="F1009" s="5" t="str">
        <x:v>Rice Meals</x:v>
      </x:c>
      <x:c r="G1009" s="44" t="n">
        <x:v>4</x:v>
      </x:c>
      <x:c r="H1009" s="45" t="n">
        <x:v>3000</x:v>
      </x:c>
      <x:c r="I1009" s="46" t="n">
        <x:v>0</x:v>
      </x:c>
      <x:c r="J1009" s="47" t="n">
        <x:f>G1009*H1009*(1-I1009)</x:f>
        <x:v>12000</x:v>
      </x:c>
      <x:c r="K1009" s="47" t="n">
        <x:v>1580</x:v>
      </x:c>
      <x:c r="L1009" s="47" t="n">
        <x:f>G1009*K1009</x:f>
        <x:v>6320</x:v>
      </x:c>
      <x:c r="M1009" s="47" t="n">
        <x:f>J1009-L1009</x:f>
        <x:v>5680</x:v>
      </x:c>
      <x:c r="N1009" s="5" t="str">
        <x:v>Delivery</x:v>
      </x:c>
      <x:c r="O1009" s="5" t="str">
        <x:v>Cash</x:v>
      </x:c>
      <x:c r="P1009" s="5" t="str">
        <x:v>Lunch</x:v>
      </x:c>
      <x:c r="Q1009" s="48" t="n">
        <x:v>14</x:v>
      </x:c>
      <x:c r="R1009" s="5" t="n">
        <x:v>4</x:v>
      </x:c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5" t="str">
        <x:v>ORD-00721</x:v>
      </x:c>
      <x:c r="B1010" s="43" t="n">
        <x:v>46153</x:v>
      </x:c>
      <x:c r="C1010" s="5" t="str">
        <x:v>CUST-0263</x:v>
      </x:c>
      <x:c r="D1010" s="5" t="str">
        <x:v>FD004</x:v>
      </x:c>
      <x:c r="E1010" s="5" t="str">
        <x:v>Beans &amp; Plantain</x:v>
      </x:c>
      <x:c r="F1010" s="5" t="str">
        <x:v>Traditional Meals</x:v>
      </x:c>
      <x:c r="G1010" s="44" t="n">
        <x:v>2</x:v>
      </x:c>
      <x:c r="H1010" s="45" t="n">
        <x:v>2000</x:v>
      </x:c>
      <x:c r="I1010" s="46" t="n">
        <x:v>0</x:v>
      </x:c>
      <x:c r="J1010" s="47" t="n">
        <x:f>G1010*H1010*(1-I1010)</x:f>
        <x:v>4000</x:v>
      </x:c>
      <x:c r="K1010" s="47" t="n">
        <x:v>960</x:v>
      </x:c>
      <x:c r="L1010" s="47" t="n">
        <x:f>G1010*K1010</x:f>
        <x:v>1920</x:v>
      </x:c>
      <x:c r="M1010" s="47" t="n">
        <x:f>J1010-L1010</x:f>
        <x:v>2080</x:v>
      </x:c>
      <x:c r="N1010" s="5" t="str">
        <x:v>Walk-in</x:v>
      </x:c>
      <x:c r="O1010" s="5" t="str">
        <x:v>Cash</x:v>
      </x:c>
      <x:c r="P1010" s="5" t="str">
        <x:v>Dinner</x:v>
      </x:c>
      <x:c r="Q1010" s="48" t="n">
        <x:v>19</x:v>
      </x:c>
      <x:c r="R1010" s="5" t="n">
        <x:v>4</x:v>
      </x:c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5" t="str">
        <x:v>ORD-01233</x:v>
      </x:c>
      <x:c r="B1011" s="43" t="n">
        <x:v>46153</x:v>
      </x:c>
      <x:c r="C1011" s="5" t="str">
        <x:v>CUST-0255</x:v>
      </x:c>
      <x:c r="D1011" s="5" t="str">
        <x:v>FD006</x:v>
      </x:c>
      <x:c r="E1011" s="5" t="str">
        <x:v>Eba &amp; Egusi Soup</x:v>
      </x:c>
      <x:c r="F1011" s="5" t="str">
        <x:v>Swallow</x:v>
      </x:c>
      <x:c r="G1011" s="44" t="n">
        <x:v>1</x:v>
      </x:c>
      <x:c r="H1011" s="45" t="n">
        <x:v>2600</x:v>
      </x:c>
      <x:c r="I1011" s="46" t="n">
        <x:v>0.1</x:v>
      </x:c>
      <x:c r="J1011" s="47" t="n">
        <x:f>G1011*H1011*(1-I1011)</x:f>
        <x:v>2340</x:v>
      </x:c>
      <x:c r="K1011" s="47" t="n">
        <x:v>1320</x:v>
      </x:c>
      <x:c r="L1011" s="47" t="n">
        <x:f>G1011*K1011</x:f>
        <x:v>1320</x:v>
      </x:c>
      <x:c r="M1011" s="47" t="n">
        <x:f>J1011-L1011</x:f>
        <x:v>1020</x:v>
      </x:c>
      <x:c r="N1011" s="5" t="str">
        <x:v>Takeaway</x:v>
      </x:c>
      <x:c r="O1011" s="5" t="str">
        <x:v>Transfer</x:v>
      </x:c>
      <x:c r="P1011" s="5" t="str">
        <x:v>Dinner</x:v>
      </x:c>
      <x:c r="Q1011" s="48" t="n">
        <x:v>20</x:v>
      </x:c>
      <x:c r="R1011" s="5" t="n">
        <x:v>4</x:v>
      </x:c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5" t="str">
        <x:v>ORD-01402</x:v>
      </x:c>
      <x:c r="B1012" s="43" t="n">
        <x:v>46153</x:v>
      </x:c>
      <x:c r="C1012" s="5" t="str">
        <x:v>CUST-0189</x:v>
      </x:c>
      <x:c r="D1012" s="5" t="str">
        <x:v>FD007</x:v>
      </x:c>
      <x:c r="E1012" s="5" t="str">
        <x:v>Amala &amp; Ewedu</x:v>
      </x:c>
      <x:c r="F1012" s="5" t="str">
        <x:v>Swallow</x:v>
      </x:c>
      <x:c r="G1012" s="44" t="n">
        <x:v>2</x:v>
      </x:c>
      <x:c r="H1012" s="45" t="n">
        <x:v>2500</x:v>
      </x:c>
      <x:c r="I1012" s="46" t="n">
        <x:v>0</x:v>
      </x:c>
      <x:c r="J1012" s="47" t="n">
        <x:f>G1012*H1012*(1-I1012)</x:f>
        <x:v>5000</x:v>
      </x:c>
      <x:c r="K1012" s="47" t="n">
        <x:v>1250</x:v>
      </x:c>
      <x:c r="L1012" s="47" t="n">
        <x:f>G1012*K1012</x:f>
        <x:v>2500</x:v>
      </x:c>
      <x:c r="M1012" s="47" t="n">
        <x:f>J1012-L1012</x:f>
        <x:v>2500</x:v>
      </x:c>
      <x:c r="N1012" s="5" t="str">
        <x:v>Walk-in</x:v>
      </x:c>
      <x:c r="O1012" s="5" t="str">
        <x:v>POS</x:v>
      </x:c>
      <x:c r="P1012" s="5" t="str">
        <x:v>Dinner</x:v>
      </x:c>
      <x:c r="Q1012" s="48" t="n">
        <x:v>19</x:v>
      </x:c>
      <x:c r="R1012" s="5" t="n">
        <x:v>4</x:v>
      </x:c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5" t="str">
        <x:v>ORD-01423</x:v>
      </x:c>
      <x:c r="B1013" s="43" t="n">
        <x:v>46153</x:v>
      </x:c>
      <x:c r="C1013" s="5" t="str">
        <x:v>CUST-0010</x:v>
      </x:c>
      <x:c r="D1013" s="5" t="str">
        <x:v>FD002</x:v>
      </x:c>
      <x:c r="E1013" s="5" t="str">
        <x:v>Jollof Rice &amp; Chicken</x:v>
      </x:c>
      <x:c r="F1013" s="5" t="str">
        <x:v>Rice Meals</x:v>
      </x:c>
      <x:c r="G1013" s="44" t="n">
        <x:v>3</x:v>
      </x:c>
      <x:c r="H1013" s="45" t="n">
        <x:v>2800</x:v>
      </x:c>
      <x:c r="I1013" s="46" t="n">
        <x:v>0</x:v>
      </x:c>
      <x:c r="J1013" s="47" t="n">
        <x:f>G1013*H1013*(1-I1013)</x:f>
        <x:v>8400</x:v>
      </x:c>
      <x:c r="K1013" s="47" t="n">
        <x:v>1450</x:v>
      </x:c>
      <x:c r="L1013" s="47" t="n">
        <x:f>G1013*K1013</x:f>
        <x:v>4350</x:v>
      </x:c>
      <x:c r="M1013" s="47" t="n">
        <x:f>J1013-L1013</x:f>
        <x:v>4050</x:v>
      </x:c>
      <x:c r="N1013" s="5" t="str">
        <x:v>Delivery</x:v>
      </x:c>
      <x:c r="O1013" s="5" t="str">
        <x:v>Cash</x:v>
      </x:c>
      <x:c r="P1013" s="5" t="str">
        <x:v>Lunch</x:v>
      </x:c>
      <x:c r="Q1013" s="48" t="n">
        <x:v>14</x:v>
      </x:c>
      <x:c r="R1013" s="5" t="n">
        <x:v>5</x:v>
      </x:c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5" t="str">
        <x:v>ORD-01522</x:v>
      </x:c>
      <x:c r="B1014" s="43" t="n">
        <x:v>46153</x:v>
      </x:c>
      <x:c r="C1014" s="5" t="str">
        <x:v>CUST-0369</x:v>
      </x:c>
      <x:c r="D1014" s="5" t="str">
        <x:v>FD006</x:v>
      </x:c>
      <x:c r="E1014" s="5" t="str">
        <x:v>Eba &amp; Egusi Soup</x:v>
      </x:c>
      <x:c r="F1014" s="5" t="str">
        <x:v>Swallow</x:v>
      </x:c>
      <x:c r="G1014" s="44" t="n">
        <x:v>1</x:v>
      </x:c>
      <x:c r="H1014" s="45" t="n">
        <x:v>2600</x:v>
      </x:c>
      <x:c r="I1014" s="46" t="n">
        <x:v>0</x:v>
      </x:c>
      <x:c r="J1014" s="47" t="n">
        <x:f>G1014*H1014*(1-I1014)</x:f>
        <x:v>2600</x:v>
      </x:c>
      <x:c r="K1014" s="47" t="n">
        <x:v>1320</x:v>
      </x:c>
      <x:c r="L1014" s="47" t="n">
        <x:f>G1014*K1014</x:f>
        <x:v>1320</x:v>
      </x:c>
      <x:c r="M1014" s="47" t="n">
        <x:f>J1014-L1014</x:f>
        <x:v>1280</x:v>
      </x:c>
      <x:c r="N1014" s="5" t="str">
        <x:v>Walk-in</x:v>
      </x:c>
      <x:c r="O1014" s="5" t="str">
        <x:v>POS</x:v>
      </x:c>
      <x:c r="P1014" s="5" t="str">
        <x:v>Lunch</x:v>
      </x:c>
      <x:c r="Q1014" s="48" t="n">
        <x:v>11</x:v>
      </x:c>
      <x:c r="R1014" s="5" t="n">
        <x:v>5</x:v>
      </x:c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5" t="str">
        <x:v>ORD-00347</x:v>
      </x:c>
      <x:c r="B1015" s="43" t="n">
        <x:v>46154</x:v>
      </x:c>
      <x:c r="C1015" s="5" t="str">
        <x:v>CUST-0461</x:v>
      </x:c>
      <x:c r="D1015" s="5" t="str">
        <x:v>FD001</x:v>
      </x:c>
      <x:c r="E1015" s="5" t="str">
        <x:v>White Rice &amp; Stew</x:v>
      </x:c>
      <x:c r="F1015" s="5" t="str">
        <x:v>Rice Meals</x:v>
      </x:c>
      <x:c r="G1015" s="44" t="n">
        <x:v>3</x:v>
      </x:c>
      <x:c r="H1015" s="45" t="n">
        <x:v>1800</x:v>
      </x:c>
      <x:c r="I1015" s="46" t="n">
        <x:v>0</x:v>
      </x:c>
      <x:c r="J1015" s="47" t="n">
        <x:f>G1015*H1015*(1-I1015)</x:f>
        <x:v>5400</x:v>
      </x:c>
      <x:c r="K1015" s="47" t="n">
        <x:v>820</x:v>
      </x:c>
      <x:c r="L1015" s="47" t="n">
        <x:f>G1015*K1015</x:f>
        <x:v>2460</x:v>
      </x:c>
      <x:c r="M1015" s="47" t="n">
        <x:f>J1015-L1015</x:f>
        <x:v>2940</x:v>
      </x:c>
      <x:c r="N1015" s="5" t="str">
        <x:v>Walk-in</x:v>
      </x:c>
      <x:c r="O1015" s="5" t="str">
        <x:v>Transfer</x:v>
      </x:c>
      <x:c r="P1015" s="5" t="str">
        <x:v>Breakfast</x:v>
      </x:c>
      <x:c r="Q1015" s="48" t="n">
        <x:v>8</x:v>
      </x:c>
      <x:c r="R1015" s="5" t="n">
        <x:v>3</x:v>
      </x:c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5" t="str">
        <x:v>ORD-00471</x:v>
      </x:c>
      <x:c r="B1016" s="43" t="n">
        <x:v>46154</x:v>
      </x:c>
      <x:c r="C1016" s="5" t="str">
        <x:v>CUST-0532</x:v>
      </x:c>
      <x:c r="D1016" s="5" t="str">
        <x:v>FD002</x:v>
      </x:c>
      <x:c r="E1016" s="5" t="str">
        <x:v>Jollof Rice &amp; Chicken</x:v>
      </x:c>
      <x:c r="F1016" s="5" t="str">
        <x:v>Rice Meals</x:v>
      </x:c>
      <x:c r="G1016" s="44" t="n">
        <x:v>3</x:v>
      </x:c>
      <x:c r="H1016" s="45" t="n">
        <x:v>2800</x:v>
      </x:c>
      <x:c r="I1016" s="46" t="n">
        <x:v>0</x:v>
      </x:c>
      <x:c r="J1016" s="47" t="n">
        <x:f>G1016*H1016*(1-I1016)</x:f>
        <x:v>8400</x:v>
      </x:c>
      <x:c r="K1016" s="47" t="n">
        <x:v>1450</x:v>
      </x:c>
      <x:c r="L1016" s="47" t="n">
        <x:f>G1016*K1016</x:f>
        <x:v>4350</x:v>
      </x:c>
      <x:c r="M1016" s="47" t="n">
        <x:f>J1016-L1016</x:f>
        <x:v>4050</x:v>
      </x:c>
      <x:c r="N1016" s="5" t="str">
        <x:v>Takeaway</x:v>
      </x:c>
      <x:c r="O1016" s="5" t="str">
        <x:v>Transfer</x:v>
      </x:c>
      <x:c r="P1016" s="5" t="str">
        <x:v>Lunch</x:v>
      </x:c>
      <x:c r="Q1016" s="48" t="n">
        <x:v>13</x:v>
      </x:c>
      <x:c r="R1016" s="5" t="n">
        <x:v>4</x:v>
      </x:c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5" t="str">
        <x:v>ORD-00825</x:v>
      </x:c>
      <x:c r="B1017" s="43" t="n">
        <x:v>46154</x:v>
      </x:c>
      <x:c r="C1017" s="5" t="str">
        <x:v>CUST-0536</x:v>
      </x:c>
      <x:c r="D1017" s="5" t="str">
        <x:v>FD006</x:v>
      </x:c>
      <x:c r="E1017" s="5" t="str">
        <x:v>Eba &amp; Egusi Soup</x:v>
      </x:c>
      <x:c r="F1017" s="5" t="str">
        <x:v>Swallow</x:v>
      </x:c>
      <x:c r="G1017" s="44" t="n">
        <x:v>3</x:v>
      </x:c>
      <x:c r="H1017" s="45" t="n">
        <x:v>2600</x:v>
      </x:c>
      <x:c r="I1017" s="46" t="n">
        <x:v>0</x:v>
      </x:c>
      <x:c r="J1017" s="47" t="n">
        <x:f>G1017*H1017*(1-I1017)</x:f>
        <x:v>7800</x:v>
      </x:c>
      <x:c r="K1017" s="47" t="n">
        <x:v>1320</x:v>
      </x:c>
      <x:c r="L1017" s="47" t="n">
        <x:f>G1017*K1017</x:f>
        <x:v>3960</x:v>
      </x:c>
      <x:c r="M1017" s="47" t="n">
        <x:f>J1017-L1017</x:f>
        <x:v>3840</x:v>
      </x:c>
      <x:c r="N1017" s="5" t="str">
        <x:v>Walk-in</x:v>
      </x:c>
      <x:c r="O1017" s="5" t="str">
        <x:v>Cash</x:v>
      </x:c>
      <x:c r="P1017" s="5" t="str">
        <x:v>Dinner</x:v>
      </x:c>
      <x:c r="Q1017" s="48" t="n">
        <x:v>16</x:v>
      </x:c>
      <x:c r="R1017" s="5" t="n">
        <x:v>5</x:v>
      </x:c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5" t="str">
        <x:v>ORD-00884</x:v>
      </x:c>
      <x:c r="B1018" s="43" t="n">
        <x:v>46154</x:v>
      </x:c>
      <x:c r="C1018" s="5" t="str">
        <x:v>CUST-0522</x:v>
      </x:c>
      <x:c r="D1018" s="5" t="str">
        <x:v>FD004</x:v>
      </x:c>
      <x:c r="E1018" s="5" t="str">
        <x:v>Beans &amp; Plantain</x:v>
      </x:c>
      <x:c r="F1018" s="5" t="str">
        <x:v>Traditional Meals</x:v>
      </x:c>
      <x:c r="G1018" s="44" t="n">
        <x:v>4</x:v>
      </x:c>
      <x:c r="H1018" s="45" t="n">
        <x:v>2000</x:v>
      </x:c>
      <x:c r="I1018" s="46" t="n">
        <x:v>0</x:v>
      </x:c>
      <x:c r="J1018" s="47" t="n">
        <x:f>G1018*H1018*(1-I1018)</x:f>
        <x:v>8000</x:v>
      </x:c>
      <x:c r="K1018" s="47" t="n">
        <x:v>960</x:v>
      </x:c>
      <x:c r="L1018" s="47" t="n">
        <x:f>G1018*K1018</x:f>
        <x:v>3840</x:v>
      </x:c>
      <x:c r="M1018" s="47" t="n">
        <x:f>J1018-L1018</x:f>
        <x:v>4160</x:v>
      </x:c>
      <x:c r="N1018" s="5" t="str">
        <x:v>Takeaway</x:v>
      </x:c>
      <x:c r="O1018" s="5" t="str">
        <x:v>Transfer</x:v>
      </x:c>
      <x:c r="P1018" s="5" t="str">
        <x:v>Dinner</x:v>
      </x:c>
      <x:c r="Q1018" s="48" t="n">
        <x:v>19</x:v>
      </x:c>
      <x:c r="R1018" s="5" t="n">
        <x:v>5</x:v>
      </x:c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5" t="str">
        <x:v>ORD-00930</x:v>
      </x:c>
      <x:c r="B1019" s="43" t="n">
        <x:v>46154</x:v>
      </x:c>
      <x:c r="C1019" s="5" t="str">
        <x:v>CUST-0114</x:v>
      </x:c>
      <x:c r="D1019" s="5" t="str">
        <x:v>FD008</x:v>
      </x:c>
      <x:c r="E1019" s="5" t="str">
        <x:v>Pounded Yam &amp; Vegetable Soup</x:v>
      </x:c>
      <x:c r="F1019" s="5" t="str">
        <x:v>Swallow</x:v>
      </x:c>
      <x:c r="G1019" s="44" t="n">
        <x:v>2</x:v>
      </x:c>
      <x:c r="H1019" s="45" t="n">
        <x:v>3200</x:v>
      </x:c>
      <x:c r="I1019" s="46" t="n">
        <x:v>0</x:v>
      </x:c>
      <x:c r="J1019" s="47" t="n">
        <x:f>G1019*H1019*(1-I1019)</x:f>
        <x:v>6400</x:v>
      </x:c>
      <x:c r="K1019" s="47" t="n">
        <x:v>1710</x:v>
      </x:c>
      <x:c r="L1019" s="47" t="n">
        <x:f>G1019*K1019</x:f>
        <x:v>3420</x:v>
      </x:c>
      <x:c r="M1019" s="47" t="n">
        <x:f>J1019-L1019</x:f>
        <x:v>2980</x:v>
      </x:c>
      <x:c r="N1019" s="5" t="str">
        <x:v>Delivery</x:v>
      </x:c>
      <x:c r="O1019" s="5" t="str">
        <x:v>POS</x:v>
      </x:c>
      <x:c r="P1019" s="5" t="str">
        <x:v>Lunch</x:v>
      </x:c>
      <x:c r="Q1019" s="48" t="n">
        <x:v>13</x:v>
      </x:c>
      <x:c r="R1019" s="5" t="n">
        <x:v>4</x:v>
      </x:c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5" t="str">
        <x:v>ORD-00941</x:v>
      </x:c>
      <x:c r="B1020" s="43" t="n">
        <x:v>46154</x:v>
      </x:c>
      <x:c r="C1020" s="5" t="str">
        <x:v>CUST-0037</x:v>
      </x:c>
      <x:c r="D1020" s="5" t="str">
        <x:v>FD005</x:v>
      </x:c>
      <x:c r="E1020" s="5" t="str">
        <x:v>Yam Porridge</x:v>
      </x:c>
      <x:c r="F1020" s="5" t="str">
        <x:v>Traditional Meals</x:v>
      </x:c>
      <x:c r="G1020" s="44" t="n">
        <x:v>4</x:v>
      </x:c>
      <x:c r="H1020" s="45" t="n">
        <x:v>2200</x:v>
      </x:c>
      <x:c r="I1020" s="46" t="n">
        <x:v>0</x:v>
      </x:c>
      <x:c r="J1020" s="47" t="n">
        <x:f>G1020*H1020*(1-I1020)</x:f>
        <x:v>8800</x:v>
      </x:c>
      <x:c r="K1020" s="47" t="n">
        <x:v>1050</x:v>
      </x:c>
      <x:c r="L1020" s="47" t="n">
        <x:f>G1020*K1020</x:f>
        <x:v>4200</x:v>
      </x:c>
      <x:c r="M1020" s="47" t="n">
        <x:f>J1020-L1020</x:f>
        <x:v>4600</x:v>
      </x:c>
      <x:c r="N1020" s="5" t="str">
        <x:v>Delivery</x:v>
      </x:c>
      <x:c r="O1020" s="5" t="str">
        <x:v>Transfer</x:v>
      </x:c>
      <x:c r="P1020" s="5" t="str">
        <x:v>Breakfast</x:v>
      </x:c>
      <x:c r="Q1020" s="48" t="n">
        <x:v>10</x:v>
      </x:c>
      <x:c r="R1020" s="5" t="n">
        <x:v>5</x:v>
      </x:c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5" t="str">
        <x:v>ORD-00080</x:v>
      </x:c>
      <x:c r="B1021" s="43" t="n">
        <x:v>46155</x:v>
      </x:c>
      <x:c r="C1021" s="5" t="str">
        <x:v>CUST-0336</x:v>
      </x:c>
      <x:c r="D1021" s="5" t="str">
        <x:v>FD004</x:v>
      </x:c>
      <x:c r="E1021" s="5" t="str">
        <x:v>Beans &amp; Plantain</x:v>
      </x:c>
      <x:c r="F1021" s="5" t="str">
        <x:v>Traditional Meals</x:v>
      </x:c>
      <x:c r="G1021" s="44" t="n">
        <x:v>2</x:v>
      </x:c>
      <x:c r="H1021" s="45" t="n">
        <x:v>2000</x:v>
      </x:c>
      <x:c r="I1021" s="46" t="n">
        <x:v>0</x:v>
      </x:c>
      <x:c r="J1021" s="47" t="n">
        <x:f>G1021*H1021*(1-I1021)</x:f>
        <x:v>4000</x:v>
      </x:c>
      <x:c r="K1021" s="47" t="n">
        <x:v>960</x:v>
      </x:c>
      <x:c r="L1021" s="47" t="n">
        <x:f>G1021*K1021</x:f>
        <x:v>1920</x:v>
      </x:c>
      <x:c r="M1021" s="47" t="n">
        <x:f>J1021-L1021</x:f>
        <x:v>2080</x:v>
      </x:c>
      <x:c r="N1021" s="5" t="str">
        <x:v>Walk-in</x:v>
      </x:c>
      <x:c r="O1021" s="5" t="str">
        <x:v>Transfer</x:v>
      </x:c>
      <x:c r="P1021" s="5" t="str">
        <x:v>Lunch</x:v>
      </x:c>
      <x:c r="Q1021" s="48" t="n">
        <x:v>13</x:v>
      </x:c>
      <x:c r="R1021" s="5" t="n">
        <x:v>5</x:v>
      </x:c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5" t="str">
        <x:v>ORD-00315</x:v>
      </x:c>
      <x:c r="B1022" s="43" t="n">
        <x:v>46155</x:v>
      </x:c>
      <x:c r="C1022" s="5" t="str">
        <x:v>CUST-0008</x:v>
      </x:c>
      <x:c r="D1022" s="5" t="str">
        <x:v>FD007</x:v>
      </x:c>
      <x:c r="E1022" s="5" t="str">
        <x:v>Amala &amp; Ewedu</x:v>
      </x:c>
      <x:c r="F1022" s="5" t="str">
        <x:v>Swallow</x:v>
      </x:c>
      <x:c r="G1022" s="44" t="n">
        <x:v>3</x:v>
      </x:c>
      <x:c r="H1022" s="45" t="n">
        <x:v>2500</x:v>
      </x:c>
      <x:c r="I1022" s="46" t="n">
        <x:v>0</x:v>
      </x:c>
      <x:c r="J1022" s="47" t="n">
        <x:f>G1022*H1022*(1-I1022)</x:f>
        <x:v>7500</x:v>
      </x:c>
      <x:c r="K1022" s="47" t="n">
        <x:v>1250</x:v>
      </x:c>
      <x:c r="L1022" s="47" t="n">
        <x:f>G1022*K1022</x:f>
        <x:v>3750</x:v>
      </x:c>
      <x:c r="M1022" s="47" t="n">
        <x:f>J1022-L1022</x:f>
        <x:v>3750</x:v>
      </x:c>
      <x:c r="N1022" s="5" t="str">
        <x:v>Delivery</x:v>
      </x:c>
      <x:c r="O1022" s="5" t="str">
        <x:v>Transfer</x:v>
      </x:c>
      <x:c r="P1022" s="5" t="str">
        <x:v>Lunch</x:v>
      </x:c>
      <x:c r="Q1022" s="48" t="n">
        <x:v>14</x:v>
      </x:c>
      <x:c r="R1022" s="5" t="n">
        <x:v>4</x:v>
      </x:c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5" t="str">
        <x:v>ORD-00344</x:v>
      </x:c>
      <x:c r="B1023" s="43" t="n">
        <x:v>46155</x:v>
      </x:c>
      <x:c r="C1023" s="5" t="str">
        <x:v>CUST-0311</x:v>
      </x:c>
      <x:c r="D1023" s="5" t="str">
        <x:v>FD002</x:v>
      </x:c>
      <x:c r="E1023" s="5" t="str">
        <x:v>Jollof Rice &amp; Chicken</x:v>
      </x:c>
      <x:c r="F1023" s="5" t="str">
        <x:v>Rice Meals</x:v>
      </x:c>
      <x:c r="G1023" s="44" t="n">
        <x:v>4</x:v>
      </x:c>
      <x:c r="H1023" s="45" t="n">
        <x:v>2800</x:v>
      </x:c>
      <x:c r="I1023" s="46" t="n">
        <x:v>0</x:v>
      </x:c>
      <x:c r="J1023" s="47" t="n">
        <x:f>G1023*H1023*(1-I1023)</x:f>
        <x:v>11200</x:v>
      </x:c>
      <x:c r="K1023" s="47" t="n">
        <x:v>1450</x:v>
      </x:c>
      <x:c r="L1023" s="47" t="n">
        <x:f>G1023*K1023</x:f>
        <x:v>5800</x:v>
      </x:c>
      <x:c r="M1023" s="47" t="n">
        <x:f>J1023-L1023</x:f>
        <x:v>5400</x:v>
      </x:c>
      <x:c r="N1023" s="5" t="str">
        <x:v>Walk-in</x:v>
      </x:c>
      <x:c r="O1023" s="5" t="str">
        <x:v>Cash</x:v>
      </x:c>
      <x:c r="P1023" s="5" t="str">
        <x:v>Breakfast</x:v>
      </x:c>
      <x:c r="Q1023" s="48" t="n">
        <x:v>9</x:v>
      </x:c>
      <x:c r="R1023" s="5" t="n">
        <x:v>4</x:v>
      </x:c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5" t="str">
        <x:v>ORD-00523</x:v>
      </x:c>
      <x:c r="B1024" s="43" t="n">
        <x:v>46155</x:v>
      </x:c>
      <x:c r="C1024" s="5" t="str">
        <x:v>CUST-0355</x:v>
      </x:c>
      <x:c r="D1024" s="5" t="str">
        <x:v>FD003</x:v>
      </x:c>
      <x:c r="E1024" s="5" t="str">
        <x:v>Fried Rice &amp; Chicken</x:v>
      </x:c>
      <x:c r="F1024" s="5" t="str">
        <x:v>Rice Meals</x:v>
      </x:c>
      <x:c r="G1024" s="44" t="n">
        <x:v>2</x:v>
      </x:c>
      <x:c r="H1024" s="45" t="n">
        <x:v>3000</x:v>
      </x:c>
      <x:c r="I1024" s="46" t="n">
        <x:v>0</x:v>
      </x:c>
      <x:c r="J1024" s="47" t="n">
        <x:f>G1024*H1024*(1-I1024)</x:f>
        <x:v>6000</x:v>
      </x:c>
      <x:c r="K1024" s="47" t="n">
        <x:v>1580</x:v>
      </x:c>
      <x:c r="L1024" s="47" t="n">
        <x:f>G1024*K1024</x:f>
        <x:v>3160</x:v>
      </x:c>
      <x:c r="M1024" s="47" t="n">
        <x:f>J1024-L1024</x:f>
        <x:v>2840</x:v>
      </x:c>
      <x:c r="N1024" s="5" t="str">
        <x:v>Walk-in</x:v>
      </x:c>
      <x:c r="O1024" s="5" t="str">
        <x:v>POS</x:v>
      </x:c>
      <x:c r="P1024" s="5" t="str">
        <x:v>Lunch</x:v>
      </x:c>
      <x:c r="Q1024" s="48" t="n">
        <x:v>11</x:v>
      </x:c>
      <x:c r="R1024" s="5" t="n">
        <x:v>4</x:v>
      </x:c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5" t="str">
        <x:v>ORD-00601</x:v>
      </x:c>
      <x:c r="B1025" s="43" t="n">
        <x:v>46155</x:v>
      </x:c>
      <x:c r="C1025" s="5" t="str">
        <x:v>CUST-0326</x:v>
      </x:c>
      <x:c r="D1025" s="5" t="str">
        <x:v>FD001</x:v>
      </x:c>
      <x:c r="E1025" s="5" t="str">
        <x:v>White Rice &amp; Stew</x:v>
      </x:c>
      <x:c r="F1025" s="5" t="str">
        <x:v>Rice Meals</x:v>
      </x:c>
      <x:c r="G1025" s="44" t="n">
        <x:v>1</x:v>
      </x:c>
      <x:c r="H1025" s="45" t="n">
        <x:v>1800</x:v>
      </x:c>
      <x:c r="I1025" s="46" t="n">
        <x:v>0</x:v>
      </x:c>
      <x:c r="J1025" s="47" t="n">
        <x:f>G1025*H1025*(1-I1025)</x:f>
        <x:v>1800</x:v>
      </x:c>
      <x:c r="K1025" s="47" t="n">
        <x:v>820</x:v>
      </x:c>
      <x:c r="L1025" s="47" t="n">
        <x:f>G1025*K1025</x:f>
        <x:v>820</x:v>
      </x:c>
      <x:c r="M1025" s="47" t="n">
        <x:f>J1025-L1025</x:f>
        <x:v>980</x:v>
      </x:c>
      <x:c r="N1025" s="5" t="str">
        <x:v>Walk-in</x:v>
      </x:c>
      <x:c r="O1025" s="5" t="str">
        <x:v>POS</x:v>
      </x:c>
      <x:c r="P1025" s="5" t="str">
        <x:v>Lunch</x:v>
      </x:c>
      <x:c r="Q1025" s="48" t="n">
        <x:v>14</x:v>
      </x:c>
      <x:c r="R1025" s="5" t="n">
        <x:v>4</x:v>
      </x:c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5" t="str">
        <x:v>ORD-00829</x:v>
      </x:c>
      <x:c r="B1026" s="43" t="n">
        <x:v>46155</x:v>
      </x:c>
      <x:c r="C1026" s="5" t="str">
        <x:v>CUST-0353</x:v>
      </x:c>
      <x:c r="D1026" s="5" t="str">
        <x:v>FD003</x:v>
      </x:c>
      <x:c r="E1026" s="5" t="str">
        <x:v>Fried Rice &amp; Chicken</x:v>
      </x:c>
      <x:c r="F1026" s="5" t="str">
        <x:v>Rice Meals</x:v>
      </x:c>
      <x:c r="G1026" s="44" t="n">
        <x:v>4</x:v>
      </x:c>
      <x:c r="H1026" s="45" t="n">
        <x:v>3000</x:v>
      </x:c>
      <x:c r="I1026" s="46" t="n">
        <x:v>0</x:v>
      </x:c>
      <x:c r="J1026" s="47" t="n">
        <x:f>G1026*H1026*(1-I1026)</x:f>
        <x:v>12000</x:v>
      </x:c>
      <x:c r="K1026" s="47" t="n">
        <x:v>1580</x:v>
      </x:c>
      <x:c r="L1026" s="47" t="n">
        <x:f>G1026*K1026</x:f>
        <x:v>6320</x:v>
      </x:c>
      <x:c r="M1026" s="47" t="n">
        <x:f>J1026-L1026</x:f>
        <x:v>5680</x:v>
      </x:c>
      <x:c r="N1026" s="5" t="str">
        <x:v>Walk-in</x:v>
      </x:c>
      <x:c r="O1026" s="5" t="str">
        <x:v>Transfer</x:v>
      </x:c>
      <x:c r="P1026" s="5" t="str">
        <x:v>Lunch</x:v>
      </x:c>
      <x:c r="Q1026" s="48" t="n">
        <x:v>15</x:v>
      </x:c>
      <x:c r="R1026" s="5" t="n">
        <x:v>4</x:v>
      </x:c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5" t="str">
        <x:v>ORD-01136</x:v>
      </x:c>
      <x:c r="B1027" s="43" t="n">
        <x:v>46155</x:v>
      </x:c>
      <x:c r="C1027" s="5" t="str">
        <x:v>CUST-0315</x:v>
      </x:c>
      <x:c r="D1027" s="5" t="str">
        <x:v>FD002</x:v>
      </x:c>
      <x:c r="E1027" s="5" t="str">
        <x:v>Jollof Rice &amp; Chicken</x:v>
      </x:c>
      <x:c r="F1027" s="5" t="str">
        <x:v>Rice Meals</x:v>
      </x:c>
      <x:c r="G1027" s="44" t="n">
        <x:v>3</x:v>
      </x:c>
      <x:c r="H1027" s="45" t="n">
        <x:v>2800</x:v>
      </x:c>
      <x:c r="I1027" s="46" t="n">
        <x:v>0</x:v>
      </x:c>
      <x:c r="J1027" s="47" t="n">
        <x:f>G1027*H1027*(1-I1027)</x:f>
        <x:v>8400</x:v>
      </x:c>
      <x:c r="K1027" s="47" t="n">
        <x:v>1450</x:v>
      </x:c>
      <x:c r="L1027" s="47" t="n">
        <x:f>G1027*K1027</x:f>
        <x:v>4350</x:v>
      </x:c>
      <x:c r="M1027" s="47" t="n">
        <x:f>J1027-L1027</x:f>
        <x:v>4050</x:v>
      </x:c>
      <x:c r="N1027" s="5" t="str">
        <x:v>Takeaway</x:v>
      </x:c>
      <x:c r="O1027" s="5" t="str">
        <x:v>Cash</x:v>
      </x:c>
      <x:c r="P1027" s="5" t="str">
        <x:v>Lunch</x:v>
      </x:c>
      <x:c r="Q1027" s="48" t="n">
        <x:v>11</x:v>
      </x:c>
      <x:c r="R1027" s="5" t="n">
        <x:v>4</x:v>
      </x:c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5" t="str">
        <x:v>ORD-01256</x:v>
      </x:c>
      <x:c r="B1028" s="43" t="n">
        <x:v>46155</x:v>
      </x:c>
      <x:c r="C1028" s="5" t="str">
        <x:v>CUST-0310</x:v>
      </x:c>
      <x:c r="D1028" s="5" t="str">
        <x:v>FD005</x:v>
      </x:c>
      <x:c r="E1028" s="5" t="str">
        <x:v>Yam Porridge</x:v>
      </x:c>
      <x:c r="F1028" s="5" t="str">
        <x:v>Traditional Meals</x:v>
      </x:c>
      <x:c r="G1028" s="44" t="n">
        <x:v>2</x:v>
      </x:c>
      <x:c r="H1028" s="45" t="n">
        <x:v>2200</x:v>
      </x:c>
      <x:c r="I1028" s="46" t="n">
        <x:v>0</x:v>
      </x:c>
      <x:c r="J1028" s="47" t="n">
        <x:f>G1028*H1028*(1-I1028)</x:f>
        <x:v>4400</x:v>
      </x:c>
      <x:c r="K1028" s="47" t="n">
        <x:v>1050</x:v>
      </x:c>
      <x:c r="L1028" s="47" t="n">
        <x:f>G1028*K1028</x:f>
        <x:v>2100</x:v>
      </x:c>
      <x:c r="M1028" s="47" t="n">
        <x:f>J1028-L1028</x:f>
        <x:v>2300</x:v>
      </x:c>
      <x:c r="N1028" s="5" t="str">
        <x:v>Takeaway</x:v>
      </x:c>
      <x:c r="O1028" s="5" t="str">
        <x:v>Transfer</x:v>
      </x:c>
      <x:c r="P1028" s="5" t="str">
        <x:v>Lunch</x:v>
      </x:c>
      <x:c r="Q1028" s="48" t="n">
        <x:v>11</x:v>
      </x:c>
      <x:c r="R1028" s="5" t="n">
        <x:v>4</x:v>
      </x:c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5" t="str">
        <x:v>ORD-01589</x:v>
      </x:c>
      <x:c r="B1029" s="43" t="n">
        <x:v>46155</x:v>
      </x:c>
      <x:c r="C1029" s="5" t="str">
        <x:v>CUST-0260</x:v>
      </x:c>
      <x:c r="D1029" s="5" t="str">
        <x:v>FD005</x:v>
      </x:c>
      <x:c r="E1029" s="5" t="str">
        <x:v>Yam Porridge</x:v>
      </x:c>
      <x:c r="F1029" s="5" t="str">
        <x:v>Traditional Meals</x:v>
      </x:c>
      <x:c r="G1029" s="44" t="n">
        <x:v>3</x:v>
      </x:c>
      <x:c r="H1029" s="45" t="n">
        <x:v>2200</x:v>
      </x:c>
      <x:c r="I1029" s="46" t="n">
        <x:v>0</x:v>
      </x:c>
      <x:c r="J1029" s="47" t="n">
        <x:f>G1029*H1029*(1-I1029)</x:f>
        <x:v>6600</x:v>
      </x:c>
      <x:c r="K1029" s="47" t="n">
        <x:v>1050</x:v>
      </x:c>
      <x:c r="L1029" s="47" t="n">
        <x:f>G1029*K1029</x:f>
        <x:v>3150</x:v>
      </x:c>
      <x:c r="M1029" s="47" t="n">
        <x:f>J1029-L1029</x:f>
        <x:v>3450</x:v>
      </x:c>
      <x:c r="N1029" s="5" t="str">
        <x:v>Delivery</x:v>
      </x:c>
      <x:c r="O1029" s="5" t="str">
        <x:v>Cash</x:v>
      </x:c>
      <x:c r="P1029" s="5" t="str">
        <x:v>Lunch</x:v>
      </x:c>
      <x:c r="Q1029" s="48" t="n">
        <x:v>14</x:v>
      </x:c>
      <x:c r="R1029" s="5" t="n">
        <x:v>5</x:v>
      </x:c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5" t="str">
        <x:v>ORD-01756</x:v>
      </x:c>
      <x:c r="B1030" s="43" t="n">
        <x:v>46155</x:v>
      </x:c>
      <x:c r="C1030" s="5" t="str">
        <x:v>CUST-0192</x:v>
      </x:c>
      <x:c r="D1030" s="5" t="str">
        <x:v>FD002</x:v>
      </x:c>
      <x:c r="E1030" s="5" t="str">
        <x:v>Jollof Rice &amp; Chicken</x:v>
      </x:c>
      <x:c r="F1030" s="5" t="str">
        <x:v>Rice Meals</x:v>
      </x:c>
      <x:c r="G1030" s="44" t="n">
        <x:v>2</x:v>
      </x:c>
      <x:c r="H1030" s="45" t="n">
        <x:v>2800</x:v>
      </x:c>
      <x:c r="I1030" s="46" t="n">
        <x:v>0</x:v>
      </x:c>
      <x:c r="J1030" s="47" t="n">
        <x:f>G1030*H1030*(1-I1030)</x:f>
        <x:v>5600</x:v>
      </x:c>
      <x:c r="K1030" s="47" t="n">
        <x:v>1450</x:v>
      </x:c>
      <x:c r="L1030" s="47" t="n">
        <x:f>G1030*K1030</x:f>
        <x:v>2900</x:v>
      </x:c>
      <x:c r="M1030" s="47" t="n">
        <x:f>J1030-L1030</x:f>
        <x:v>2700</x:v>
      </x:c>
      <x:c r="N1030" s="5" t="str">
        <x:v>Walk-in</x:v>
      </x:c>
      <x:c r="O1030" s="5" t="str">
        <x:v>Cash</x:v>
      </x:c>
      <x:c r="P1030" s="5" t="str">
        <x:v>Lunch</x:v>
      </x:c>
      <x:c r="Q1030" s="48" t="n">
        <x:v>14</x:v>
      </x:c>
      <x:c r="R1030" s="5" t="n">
        <x:v>5</x:v>
      </x:c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5" t="str">
        <x:v>ORD-01026</x:v>
      </x:c>
      <x:c r="B1031" s="43" t="n">
        <x:v>46156</x:v>
      </x:c>
      <x:c r="C1031" s="5" t="str">
        <x:v>CUST-0361</x:v>
      </x:c>
      <x:c r="D1031" s="5" t="str">
        <x:v>FD007</x:v>
      </x:c>
      <x:c r="E1031" s="5" t="str">
        <x:v>Amala &amp; Ewedu</x:v>
      </x:c>
      <x:c r="F1031" s="5" t="str">
        <x:v>Swallow</x:v>
      </x:c>
      <x:c r="G1031" s="44" t="n">
        <x:v>2</x:v>
      </x:c>
      <x:c r="H1031" s="45" t="n">
        <x:v>2500</x:v>
      </x:c>
      <x:c r="I1031" s="46" t="n">
        <x:v>0</x:v>
      </x:c>
      <x:c r="J1031" s="47" t="n">
        <x:f>G1031*H1031*(1-I1031)</x:f>
        <x:v>5000</x:v>
      </x:c>
      <x:c r="K1031" s="47" t="n">
        <x:v>1250</x:v>
      </x:c>
      <x:c r="L1031" s="47" t="n">
        <x:f>G1031*K1031</x:f>
        <x:v>2500</x:v>
      </x:c>
      <x:c r="M1031" s="47" t="n">
        <x:f>J1031-L1031</x:f>
        <x:v>2500</x:v>
      </x:c>
      <x:c r="N1031" s="5" t="str">
        <x:v>Takeaway</x:v>
      </x:c>
      <x:c r="O1031" s="5" t="str">
        <x:v>Transfer</x:v>
      </x:c>
      <x:c r="P1031" s="5" t="str">
        <x:v>Lunch</x:v>
      </x:c>
      <x:c r="Q1031" s="48" t="n">
        <x:v>14</x:v>
      </x:c>
      <x:c r="R1031" s="5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5" t="str">
        <x:v>ORD-01154</x:v>
      </x:c>
      <x:c r="B1032" s="43" t="n">
        <x:v>46156</x:v>
      </x:c>
      <x:c r="C1032" s="5" t="str">
        <x:v>CUST-0337</x:v>
      </x:c>
      <x:c r="D1032" s="5" t="str">
        <x:v>FD003</x:v>
      </x:c>
      <x:c r="E1032" s="5" t="str">
        <x:v>Fried Rice &amp; Chicken</x:v>
      </x:c>
      <x:c r="F1032" s="5" t="str">
        <x:v>Rice Meals</x:v>
      </x:c>
      <x:c r="G1032" s="44" t="n">
        <x:v>1</x:v>
      </x:c>
      <x:c r="H1032" s="45" t="n">
        <x:v>3000</x:v>
      </x:c>
      <x:c r="I1032" s="46" t="n">
        <x:v>0</x:v>
      </x:c>
      <x:c r="J1032" s="47" t="n">
        <x:f>G1032*H1032*(1-I1032)</x:f>
        <x:v>3000</x:v>
      </x:c>
      <x:c r="K1032" s="47" t="n">
        <x:v>1580</x:v>
      </x:c>
      <x:c r="L1032" s="47" t="n">
        <x:f>G1032*K1032</x:f>
        <x:v>1580</x:v>
      </x:c>
      <x:c r="M1032" s="47" t="n">
        <x:f>J1032-L1032</x:f>
        <x:v>1420</x:v>
      </x:c>
      <x:c r="N1032" s="5" t="str">
        <x:v>Walk-in</x:v>
      </x:c>
      <x:c r="O1032" s="5" t="str">
        <x:v>POS</x:v>
      </x:c>
      <x:c r="P1032" s="5" t="str">
        <x:v>Breakfast</x:v>
      </x:c>
      <x:c r="Q1032" s="48" t="n">
        <x:v>8</x:v>
      </x:c>
      <x:c r="R1032" s="5" t="n">
        <x:v>5</x:v>
      </x:c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5" t="str">
        <x:v>ORD-01443</x:v>
      </x:c>
      <x:c r="B1033" s="43" t="n">
        <x:v>46156</x:v>
      </x:c>
      <x:c r="C1033" s="5" t="str">
        <x:v>CUST-0440</x:v>
      </x:c>
      <x:c r="D1033" s="5" t="str">
        <x:v>FD002</x:v>
      </x:c>
      <x:c r="E1033" s="5" t="str">
        <x:v>Jollof Rice &amp; Chicken</x:v>
      </x:c>
      <x:c r="F1033" s="5" t="str">
        <x:v>Rice Meals</x:v>
      </x:c>
      <x:c r="G1033" s="44" t="n">
        <x:v>2</x:v>
      </x:c>
      <x:c r="H1033" s="45" t="n">
        <x:v>2800</x:v>
      </x:c>
      <x:c r="I1033" s="46" t="n">
        <x:v>0</x:v>
      </x:c>
      <x:c r="J1033" s="47" t="n">
        <x:f>G1033*H1033*(1-I1033)</x:f>
        <x:v>5600</x:v>
      </x:c>
      <x:c r="K1033" s="47" t="n">
        <x:v>1450</x:v>
      </x:c>
      <x:c r="L1033" s="47" t="n">
        <x:f>G1033*K1033</x:f>
        <x:v>2900</x:v>
      </x:c>
      <x:c r="M1033" s="47" t="n">
        <x:f>J1033-L1033</x:f>
        <x:v>2700</x:v>
      </x:c>
      <x:c r="N1033" s="5" t="str">
        <x:v>Walk-in</x:v>
      </x:c>
      <x:c r="O1033" s="5" t="str">
        <x:v>Transfer</x:v>
      </x:c>
      <x:c r="P1033" s="5" t="str">
        <x:v>Lunch</x:v>
      </x:c>
      <x:c r="Q1033" s="48" t="n">
        <x:v>14</x:v>
      </x:c>
      <x:c r="R1033" s="5" t="n">
        <x:v>5</x:v>
      </x:c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5" t="str">
        <x:v>ORD-01527</x:v>
      </x:c>
      <x:c r="B1034" s="43" t="n">
        <x:v>46156</x:v>
      </x:c>
      <x:c r="C1034" s="5" t="str">
        <x:v>CUST-0491</x:v>
      </x:c>
      <x:c r="D1034" s="5" t="str">
        <x:v>FD008</x:v>
      </x:c>
      <x:c r="E1034" s="5" t="str">
        <x:v>Pounded Yam &amp; Vegetable Soup</x:v>
      </x:c>
      <x:c r="F1034" s="5" t="str">
        <x:v>Swallow</x:v>
      </x:c>
      <x:c r="G1034" s="44" t="n">
        <x:v>4</x:v>
      </x:c>
      <x:c r="H1034" s="45" t="n">
        <x:v>3200</x:v>
      </x:c>
      <x:c r="I1034" s="46" t="n">
        <x:v>0</x:v>
      </x:c>
      <x:c r="J1034" s="47" t="n">
        <x:f>G1034*H1034*(1-I1034)</x:f>
        <x:v>12800</x:v>
      </x:c>
      <x:c r="K1034" s="47" t="n">
        <x:v>1710</x:v>
      </x:c>
      <x:c r="L1034" s="47" t="n">
        <x:f>G1034*K1034</x:f>
        <x:v>6840</x:v>
      </x:c>
      <x:c r="M1034" s="47" t="n">
        <x:f>J1034-L1034</x:f>
        <x:v>5960</x:v>
      </x:c>
      <x:c r="N1034" s="5" t="str">
        <x:v>Walk-in</x:v>
      </x:c>
      <x:c r="O1034" s="5" t="str">
        <x:v>POS</x:v>
      </x:c>
      <x:c r="P1034" s="5" t="str">
        <x:v>Lunch</x:v>
      </x:c>
      <x:c r="Q1034" s="48" t="n">
        <x:v>12</x:v>
      </x:c>
      <x:c r="R1034" s="5" t="n">
        <x:v>4</x:v>
      </x:c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5" t="str">
        <x:v>ORD-01542</x:v>
      </x:c>
      <x:c r="B1035" s="43" t="n">
        <x:v>46156</x:v>
      </x:c>
      <x:c r="C1035" s="5" t="str">
        <x:v>CUST-0229</x:v>
      </x:c>
      <x:c r="D1035" s="5" t="str">
        <x:v>FD003</x:v>
      </x:c>
      <x:c r="E1035" s="5" t="str">
        <x:v>Fried Rice &amp; Chicken</x:v>
      </x:c>
      <x:c r="F1035" s="5" t="str">
        <x:v>Rice Meals</x:v>
      </x:c>
      <x:c r="G1035" s="44" t="n">
        <x:v>2</x:v>
      </x:c>
      <x:c r="H1035" s="45" t="n">
        <x:v>3000</x:v>
      </x:c>
      <x:c r="I1035" s="46" t="n">
        <x:v>0</x:v>
      </x:c>
      <x:c r="J1035" s="47" t="n">
        <x:f>G1035*H1035*(1-I1035)</x:f>
        <x:v>6000</x:v>
      </x:c>
      <x:c r="K1035" s="47" t="n">
        <x:v>1580</x:v>
      </x:c>
      <x:c r="L1035" s="47" t="n">
        <x:f>G1035*K1035</x:f>
        <x:v>3160</x:v>
      </x:c>
      <x:c r="M1035" s="47" t="n">
        <x:f>J1035-L1035</x:f>
        <x:v>2840</x:v>
      </x:c>
      <x:c r="N1035" s="5" t="str">
        <x:v>Takeaway</x:v>
      </x:c>
      <x:c r="O1035" s="5" t="str">
        <x:v>Transfer</x:v>
      </x:c>
      <x:c r="P1035" s="5" t="str">
        <x:v>Lunch</x:v>
      </x:c>
      <x:c r="Q1035" s="48" t="n">
        <x:v>13</x:v>
      </x:c>
      <x:c r="R1035" s="5" t="n">
        <x:v>3</x:v>
      </x:c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5" t="str">
        <x:v>ORD-01566</x:v>
      </x:c>
      <x:c r="B1036" s="43" t="n">
        <x:v>46156</x:v>
      </x:c>
      <x:c r="C1036" s="5" t="str">
        <x:v>CUST-0558</x:v>
      </x:c>
      <x:c r="D1036" s="5" t="str">
        <x:v>FD003</x:v>
      </x:c>
      <x:c r="E1036" s="5" t="str">
        <x:v>Fried Rice &amp; Chicken</x:v>
      </x:c>
      <x:c r="F1036" s="5" t="str">
        <x:v>Rice Meals</x:v>
      </x:c>
      <x:c r="G1036" s="44" t="n">
        <x:v>3</x:v>
      </x:c>
      <x:c r="H1036" s="45" t="n">
        <x:v>3000</x:v>
      </x:c>
      <x:c r="I1036" s="46" t="n">
        <x:v>0</x:v>
      </x:c>
      <x:c r="J1036" s="47" t="n">
        <x:f>G1036*H1036*(1-I1036)</x:f>
        <x:v>9000</x:v>
      </x:c>
      <x:c r="K1036" s="47" t="n">
        <x:v>1580</x:v>
      </x:c>
      <x:c r="L1036" s="47" t="n">
        <x:f>G1036*K1036</x:f>
        <x:v>4740</x:v>
      </x:c>
      <x:c r="M1036" s="47" t="n">
        <x:f>J1036-L1036</x:f>
        <x:v>4260</x:v>
      </x:c>
      <x:c r="N1036" s="5" t="str">
        <x:v>Takeaway</x:v>
      </x:c>
      <x:c r="O1036" s="5" t="str">
        <x:v>Transfer</x:v>
      </x:c>
      <x:c r="P1036" s="5" t="str">
        <x:v>Lunch</x:v>
      </x:c>
      <x:c r="Q1036" s="48" t="n">
        <x:v>12</x:v>
      </x:c>
      <x:c r="R1036" s="5" t="n">
        <x:v>4</x:v>
      </x:c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5" t="str">
        <x:v>ORD-00098</x:v>
      </x:c>
      <x:c r="B1037" s="43" t="n">
        <x:v>46157</x:v>
      </x:c>
      <x:c r="C1037" s="5" t="str">
        <x:v>CUST-0574</x:v>
      </x:c>
      <x:c r="D1037" s="5" t="str">
        <x:v>FD012</x:v>
      </x:c>
      <x:c r="E1037" s="5" t="str">
        <x:v>Fried Plantain</x:v>
      </x:c>
      <x:c r="F1037" s="5" t="str">
        <x:v>Sides</x:v>
      </x:c>
      <x:c r="G1037" s="44" t="n">
        <x:v>4</x:v>
      </x:c>
      <x:c r="H1037" s="45" t="n">
        <x:v>700</x:v>
      </x:c>
      <x:c r="I1037" s="46" t="n">
        <x:v>0</x:v>
      </x:c>
      <x:c r="J1037" s="47" t="n">
        <x:f>G1037*H1037*(1-I1037)</x:f>
        <x:v>2800</x:v>
      </x:c>
      <x:c r="K1037" s="47" t="n">
        <x:v>300</x:v>
      </x:c>
      <x:c r="L1037" s="47" t="n">
        <x:f>G1037*K1037</x:f>
        <x:v>1200</x:v>
      </x:c>
      <x:c r="M1037" s="47" t="n">
        <x:f>J1037-L1037</x:f>
        <x:v>1600</x:v>
      </x:c>
      <x:c r="N1037" s="5" t="str">
        <x:v>Walk-in</x:v>
      </x:c>
      <x:c r="O1037" s="5" t="str">
        <x:v>Transfer</x:v>
      </x:c>
      <x:c r="P1037" s="5" t="str">
        <x:v>Lunch</x:v>
      </x:c>
      <x:c r="Q1037" s="48" t="n">
        <x:v>15</x:v>
      </x:c>
      <x:c r="R1037" s="5" t="n">
        <x:v>4</x:v>
      </x:c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5" t="str">
        <x:v>ORD-00300</x:v>
      </x:c>
      <x:c r="B1038" s="43" t="n">
        <x:v>46157</x:v>
      </x:c>
      <x:c r="C1038" s="5" t="str">
        <x:v>CUST-0426</x:v>
      </x:c>
      <x:c r="D1038" s="5" t="str">
        <x:v>FD003</x:v>
      </x:c>
      <x:c r="E1038" s="5" t="str">
        <x:v>Fried Rice &amp; Chicken</x:v>
      </x:c>
      <x:c r="F1038" s="5" t="str">
        <x:v>Rice Meals</x:v>
      </x:c>
      <x:c r="G1038" s="44" t="n">
        <x:v>4</x:v>
      </x:c>
      <x:c r="H1038" s="45" t="n">
        <x:v>3000</x:v>
      </x:c>
      <x:c r="I1038" s="46" t="n">
        <x:v>0</x:v>
      </x:c>
      <x:c r="J1038" s="47" t="n">
        <x:f>G1038*H1038*(1-I1038)</x:f>
        <x:v>12000</x:v>
      </x:c>
      <x:c r="K1038" s="47" t="n">
        <x:v>1580</x:v>
      </x:c>
      <x:c r="L1038" s="47" t="n">
        <x:f>G1038*K1038</x:f>
        <x:v>6320</x:v>
      </x:c>
      <x:c r="M1038" s="47" t="n">
        <x:f>J1038-L1038</x:f>
        <x:v>5680</x:v>
      </x:c>
      <x:c r="N1038" s="5" t="str">
        <x:v>Delivery</x:v>
      </x:c>
      <x:c r="O1038" s="5" t="str">
        <x:v>POS</x:v>
      </x:c>
      <x:c r="P1038" s="5" t="str">
        <x:v>Lunch</x:v>
      </x:c>
      <x:c r="Q1038" s="48" t="n">
        <x:v>12</x:v>
      </x:c>
      <x:c r="R1038" s="5" t="n">
        <x:v>4</x:v>
      </x:c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5" t="str">
        <x:v>ORD-00552</x:v>
      </x:c>
      <x:c r="B1039" s="43" t="n">
        <x:v>46157</x:v>
      </x:c>
      <x:c r="C1039" s="5" t="str">
        <x:v>CUST-0106</x:v>
      </x:c>
      <x:c r="D1039" s="5" t="str">
        <x:v>FD003</x:v>
      </x:c>
      <x:c r="E1039" s="5" t="str">
        <x:v>Fried Rice &amp; Chicken</x:v>
      </x:c>
      <x:c r="F1039" s="5" t="str">
        <x:v>Rice Meals</x:v>
      </x:c>
      <x:c r="G1039" s="44" t="n">
        <x:v>3</x:v>
      </x:c>
      <x:c r="H1039" s="45" t="n">
        <x:v>3000</x:v>
      </x:c>
      <x:c r="I1039" s="46" t="n">
        <x:v>0.05</x:v>
      </x:c>
      <x:c r="J1039" s="47" t="n">
        <x:f>G1039*H1039*(1-I1039)</x:f>
        <x:v>8550</x:v>
      </x:c>
      <x:c r="K1039" s="47" t="n">
        <x:v>1580</x:v>
      </x:c>
      <x:c r="L1039" s="47" t="n">
        <x:f>G1039*K1039</x:f>
        <x:v>4740</x:v>
      </x:c>
      <x:c r="M1039" s="47" t="n">
        <x:f>J1039-L1039</x:f>
        <x:v>3810</x:v>
      </x:c>
      <x:c r="N1039" s="5" t="str">
        <x:v>Takeaway</x:v>
      </x:c>
      <x:c r="O1039" s="5" t="str">
        <x:v>POS</x:v>
      </x:c>
      <x:c r="P1039" s="5" t="str">
        <x:v>Dinner</x:v>
      </x:c>
      <x:c r="Q1039" s="48" t="n">
        <x:v>19</x:v>
      </x:c>
      <x:c r="R1039" s="5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5" t="str">
        <x:v>ORD-00662</x:v>
      </x:c>
      <x:c r="B1040" s="43" t="n">
        <x:v>46157</x:v>
      </x:c>
      <x:c r="C1040" s="5" t="str">
        <x:v>CUST-0088</x:v>
      </x:c>
      <x:c r="D1040" s="5" t="str">
        <x:v>FD009</x:v>
      </x:c>
      <x:c r="E1040" s="5" t="str">
        <x:v>Moi Moi</x:v>
      </x:c>
      <x:c r="F1040" s="5" t="str">
        <x:v>Sides</x:v>
      </x:c>
      <x:c r="G1040" s="44" t="n">
        <x:v>1</x:v>
      </x:c>
      <x:c r="H1040" s="45" t="n">
        <x:v>900</x:v>
      </x:c>
      <x:c r="I1040" s="46" t="n">
        <x:v>0</x:v>
      </x:c>
      <x:c r="J1040" s="47" t="n">
        <x:f>G1040*H1040*(1-I1040)</x:f>
        <x:v>900</x:v>
      </x:c>
      <x:c r="K1040" s="47" t="n">
        <x:v>380</x:v>
      </x:c>
      <x:c r="L1040" s="47" t="n">
        <x:f>G1040*K1040</x:f>
        <x:v>380</x:v>
      </x:c>
      <x:c r="M1040" s="47" t="n">
        <x:f>J1040-L1040</x:f>
        <x:v>520</x:v>
      </x:c>
      <x:c r="N1040" s="5" t="str">
        <x:v>Takeaway</x:v>
      </x:c>
      <x:c r="O1040" s="5" t="str">
        <x:v>Transfer</x:v>
      </x:c>
      <x:c r="P1040" s="5" t="str">
        <x:v>Dinner</x:v>
      </x:c>
      <x:c r="Q1040" s="48" t="n">
        <x:v>19</x:v>
      </x:c>
      <x:c r="R1040" s="5" t="n">
        <x:v>4</x:v>
      </x:c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5" t="str">
        <x:v>ORD-00818</x:v>
      </x:c>
      <x:c r="B1041" s="43" t="n">
        <x:v>46157</x:v>
      </x:c>
      <x:c r="C1041" s="5" t="str">
        <x:v>CUST-0285</x:v>
      </x:c>
      <x:c r="D1041" s="5" t="str">
        <x:v>FD002</x:v>
      </x:c>
      <x:c r="E1041" s="5" t="str">
        <x:v>Jollof Rice &amp; Chicken</x:v>
      </x:c>
      <x:c r="F1041" s="5" t="str">
        <x:v>Rice Meals</x:v>
      </x:c>
      <x:c r="G1041" s="44" t="n">
        <x:v>2</x:v>
      </x:c>
      <x:c r="H1041" s="45" t="n">
        <x:v>2800</x:v>
      </x:c>
      <x:c r="I1041" s="46" t="n">
        <x:v>0</x:v>
      </x:c>
      <x:c r="J1041" s="47" t="n">
        <x:f>G1041*H1041*(1-I1041)</x:f>
        <x:v>5600</x:v>
      </x:c>
      <x:c r="K1041" s="47" t="n">
        <x:v>1450</x:v>
      </x:c>
      <x:c r="L1041" s="47" t="n">
        <x:f>G1041*K1041</x:f>
        <x:v>2900</x:v>
      </x:c>
      <x:c r="M1041" s="47" t="n">
        <x:f>J1041-L1041</x:f>
        <x:v>2700</x:v>
      </x:c>
      <x:c r="N1041" s="5" t="str">
        <x:v>Walk-in</x:v>
      </x:c>
      <x:c r="O1041" s="5" t="str">
        <x:v>Cash</x:v>
      </x:c>
      <x:c r="P1041" s="5" t="str">
        <x:v>Lunch</x:v>
      </x:c>
      <x:c r="Q1041" s="48" t="n">
        <x:v>14</x:v>
      </x:c>
      <x:c r="R1041" s="5" t="n">
        <x:v>5</x:v>
      </x:c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5" t="str">
        <x:v>ORD-01286</x:v>
      </x:c>
      <x:c r="B1042" s="43" t="n">
        <x:v>46157</x:v>
      </x:c>
      <x:c r="C1042" s="5" t="str">
        <x:v>CUST-0167</x:v>
      </x:c>
      <x:c r="D1042" s="5" t="str">
        <x:v>FD002</x:v>
      </x:c>
      <x:c r="E1042" s="5" t="str">
        <x:v>Jollof Rice &amp; Chicken</x:v>
      </x:c>
      <x:c r="F1042" s="5" t="str">
        <x:v>Rice Meals</x:v>
      </x:c>
      <x:c r="G1042" s="44" t="n">
        <x:v>2</x:v>
      </x:c>
      <x:c r="H1042" s="45" t="n">
        <x:v>2800</x:v>
      </x:c>
      <x:c r="I1042" s="46" t="n">
        <x:v>0</x:v>
      </x:c>
      <x:c r="J1042" s="47" t="n">
        <x:f>G1042*H1042*(1-I1042)</x:f>
        <x:v>5600</x:v>
      </x:c>
      <x:c r="K1042" s="47" t="n">
        <x:v>1450</x:v>
      </x:c>
      <x:c r="L1042" s="47" t="n">
        <x:f>G1042*K1042</x:f>
        <x:v>2900</x:v>
      </x:c>
      <x:c r="M1042" s="47" t="n">
        <x:f>J1042-L1042</x:f>
        <x:v>2700</x:v>
      </x:c>
      <x:c r="N1042" s="5" t="str">
        <x:v>Walk-in</x:v>
      </x:c>
      <x:c r="O1042" s="5" t="str">
        <x:v>POS</x:v>
      </x:c>
      <x:c r="P1042" s="5" t="str">
        <x:v>Dinner</x:v>
      </x:c>
      <x:c r="Q1042" s="48" t="n">
        <x:v>18</x:v>
      </x:c>
      <x:c r="R1042" s="5" t="n">
        <x:v>4</x:v>
      </x:c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5" t="str">
        <x:v>ORD-01329</x:v>
      </x:c>
      <x:c r="B1043" s="43" t="n">
        <x:v>46157</x:v>
      </x:c>
      <x:c r="C1043" s="5" t="str">
        <x:v>CUST-0498</x:v>
      </x:c>
      <x:c r="D1043" s="5" t="str">
        <x:v>FD001</x:v>
      </x:c>
      <x:c r="E1043" s="5" t="str">
        <x:v>White Rice &amp; Stew</x:v>
      </x:c>
      <x:c r="F1043" s="5" t="str">
        <x:v>Rice Meals</x:v>
      </x:c>
      <x:c r="G1043" s="44" t="n">
        <x:v>2</x:v>
      </x:c>
      <x:c r="H1043" s="45" t="n">
        <x:v>1800</x:v>
      </x:c>
      <x:c r="I1043" s="46" t="n">
        <x:v>0</x:v>
      </x:c>
      <x:c r="J1043" s="47" t="n">
        <x:f>G1043*H1043*(1-I1043)</x:f>
        <x:v>3600</x:v>
      </x:c>
      <x:c r="K1043" s="47" t="n">
        <x:v>820</x:v>
      </x:c>
      <x:c r="L1043" s="47" t="n">
        <x:f>G1043*K1043</x:f>
        <x:v>1640</x:v>
      </x:c>
      <x:c r="M1043" s="47" t="n">
        <x:f>J1043-L1043</x:f>
        <x:v>1960</x:v>
      </x:c>
      <x:c r="N1043" s="5" t="str">
        <x:v>Walk-in</x:v>
      </x:c>
      <x:c r="O1043" s="5" t="str">
        <x:v>POS</x:v>
      </x:c>
      <x:c r="P1043" s="5" t="str">
        <x:v>Lunch</x:v>
      </x:c>
      <x:c r="Q1043" s="48" t="n">
        <x:v>14</x:v>
      </x:c>
      <x:c r="R1043" s="5" t="n">
        <x:v>3</x:v>
      </x:c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5" t="str">
        <x:v>ORD-01615</x:v>
      </x:c>
      <x:c r="B1044" s="43" t="n">
        <x:v>46157</x:v>
      </x:c>
      <x:c r="C1044" s="5" t="str">
        <x:v>CUST-0190</x:v>
      </x:c>
      <x:c r="D1044" s="5" t="str">
        <x:v>FD008</x:v>
      </x:c>
      <x:c r="E1044" s="5" t="str">
        <x:v>Pounded Yam &amp; Vegetable Soup</x:v>
      </x:c>
      <x:c r="F1044" s="5" t="str">
        <x:v>Swallow</x:v>
      </x:c>
      <x:c r="G1044" s="44" t="n">
        <x:v>4</x:v>
      </x:c>
      <x:c r="H1044" s="45" t="n">
        <x:v>3200</x:v>
      </x:c>
      <x:c r="I1044" s="46" t="n">
        <x:v>0</x:v>
      </x:c>
      <x:c r="J1044" s="47" t="n">
        <x:f>G1044*H1044*(1-I1044)</x:f>
        <x:v>12800</x:v>
      </x:c>
      <x:c r="K1044" s="47" t="n">
        <x:v>1710</x:v>
      </x:c>
      <x:c r="L1044" s="47" t="n">
        <x:f>G1044*K1044</x:f>
        <x:v>6840</x:v>
      </x:c>
      <x:c r="M1044" s="47" t="n">
        <x:f>J1044-L1044</x:f>
        <x:v>5960</x:v>
      </x:c>
      <x:c r="N1044" s="5" t="str">
        <x:v>Takeaway</x:v>
      </x:c>
      <x:c r="O1044" s="5" t="str">
        <x:v>POS</x:v>
      </x:c>
      <x:c r="P1044" s="5" t="str">
        <x:v>Dinner</x:v>
      </x:c>
      <x:c r="Q1044" s="48" t="n">
        <x:v>20</x:v>
      </x:c>
      <x:c r="R1044" s="5" t="n">
        <x:v>4</x:v>
      </x:c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5" t="str">
        <x:v>ORD-01734</x:v>
      </x:c>
      <x:c r="B1045" s="43" t="n">
        <x:v>46157</x:v>
      </x:c>
      <x:c r="C1045" s="5" t="str">
        <x:v>CUST-0428</x:v>
      </x:c>
      <x:c r="D1045" s="5" t="str">
        <x:v>FD005</x:v>
      </x:c>
      <x:c r="E1045" s="5" t="str">
        <x:v>Yam Porridge</x:v>
      </x:c>
      <x:c r="F1045" s="5" t="str">
        <x:v>Traditional Meals</x:v>
      </x:c>
      <x:c r="G1045" s="44" t="n">
        <x:v>4</x:v>
      </x:c>
      <x:c r="H1045" s="45" t="n">
        <x:v>2200</x:v>
      </x:c>
      <x:c r="I1045" s="46" t="n">
        <x:v>0</x:v>
      </x:c>
      <x:c r="J1045" s="47" t="n">
        <x:f>G1045*H1045*(1-I1045)</x:f>
        <x:v>8800</x:v>
      </x:c>
      <x:c r="K1045" s="47" t="n">
        <x:v>1050</x:v>
      </x:c>
      <x:c r="L1045" s="47" t="n">
        <x:f>G1045*K1045</x:f>
        <x:v>4200</x:v>
      </x:c>
      <x:c r="M1045" s="47" t="n">
        <x:f>J1045-L1045</x:f>
        <x:v>4600</x:v>
      </x:c>
      <x:c r="N1045" s="5" t="str">
        <x:v>Walk-in</x:v>
      </x:c>
      <x:c r="O1045" s="5" t="str">
        <x:v>POS</x:v>
      </x:c>
      <x:c r="P1045" s="5" t="str">
        <x:v>Lunch</x:v>
      </x:c>
      <x:c r="Q1045" s="48" t="n">
        <x:v>12</x:v>
      </x:c>
      <x:c r="R1045" s="5" t="n">
        <x:v>3</x:v>
      </x:c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5" t="str">
        <x:v>ORD-00282</x:v>
      </x:c>
      <x:c r="B1046" s="43" t="n">
        <x:v>46158</x:v>
      </x:c>
      <x:c r="C1046" s="5" t="str">
        <x:v>CUST-0539</x:v>
      </x:c>
      <x:c r="D1046" s="5" t="str">
        <x:v>FD001</x:v>
      </x:c>
      <x:c r="E1046" s="5" t="str">
        <x:v>White Rice &amp; Stew</x:v>
      </x:c>
      <x:c r="F1046" s="5" t="str">
        <x:v>Rice Meals</x:v>
      </x:c>
      <x:c r="G1046" s="44" t="n">
        <x:v>2</x:v>
      </x:c>
      <x:c r="H1046" s="45" t="n">
        <x:v>1800</x:v>
      </x:c>
      <x:c r="I1046" s="46" t="n">
        <x:v>0.05</x:v>
      </x:c>
      <x:c r="J1046" s="47" t="n">
        <x:f>G1046*H1046*(1-I1046)</x:f>
        <x:v>3420</x:v>
      </x:c>
      <x:c r="K1046" s="47" t="n">
        <x:v>820</x:v>
      </x:c>
      <x:c r="L1046" s="47" t="n">
        <x:f>G1046*K1046</x:f>
        <x:v>1640</x:v>
      </x:c>
      <x:c r="M1046" s="47" t="n">
        <x:f>J1046-L1046</x:f>
        <x:v>1780</x:v>
      </x:c>
      <x:c r="N1046" s="5" t="str">
        <x:v>Walk-in</x:v>
      </x:c>
      <x:c r="O1046" s="5" t="str">
        <x:v>Transfer</x:v>
      </x:c>
      <x:c r="P1046" s="5" t="str">
        <x:v>Lunch</x:v>
      </x:c>
      <x:c r="Q1046" s="48" t="n">
        <x:v>13</x:v>
      </x:c>
      <x:c r="R1046" s="5" t="n">
        <x:v>3</x:v>
      </x:c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5" t="str">
        <x:v>ORD-00372</x:v>
      </x:c>
      <x:c r="B1047" s="43" t="n">
        <x:v>46158</x:v>
      </x:c>
      <x:c r="C1047" s="5" t="str">
        <x:v>CUST-0490</x:v>
      </x:c>
      <x:c r="D1047" s="5" t="str">
        <x:v>FD002</x:v>
      </x:c>
      <x:c r="E1047" s="5" t="str">
        <x:v>Jollof Rice &amp; Chicken</x:v>
      </x:c>
      <x:c r="F1047" s="5" t="str">
        <x:v>Rice Meals</x:v>
      </x:c>
      <x:c r="G1047" s="44" t="n">
        <x:v>1</x:v>
      </x:c>
      <x:c r="H1047" s="45" t="n">
        <x:v>2800</x:v>
      </x:c>
      <x:c r="I1047" s="46" t="n">
        <x:v>0</x:v>
      </x:c>
      <x:c r="J1047" s="47" t="n">
        <x:f>G1047*H1047*(1-I1047)</x:f>
        <x:v>2800</x:v>
      </x:c>
      <x:c r="K1047" s="47" t="n">
        <x:v>1450</x:v>
      </x:c>
      <x:c r="L1047" s="47" t="n">
        <x:f>G1047*K1047</x:f>
        <x:v>1450</x:v>
      </x:c>
      <x:c r="M1047" s="47" t="n">
        <x:f>J1047-L1047</x:f>
        <x:v>1350</x:v>
      </x:c>
      <x:c r="N1047" s="5" t="str">
        <x:v>Walk-in</x:v>
      </x:c>
      <x:c r="O1047" s="5" t="str">
        <x:v>POS</x:v>
      </x:c>
      <x:c r="P1047" s="5" t="str">
        <x:v>Lunch</x:v>
      </x:c>
      <x:c r="Q1047" s="48" t="n">
        <x:v>11</x:v>
      </x:c>
      <x:c r="R1047" s="5" t="n">
        <x:v>4</x:v>
      </x:c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5" t="str">
        <x:v>ORD-00490</x:v>
      </x:c>
      <x:c r="B1048" s="43" t="n">
        <x:v>46158</x:v>
      </x:c>
      <x:c r="C1048" s="5" t="str">
        <x:v>CUST-0223</x:v>
      </x:c>
      <x:c r="D1048" s="5" t="str">
        <x:v>FD002</x:v>
      </x:c>
      <x:c r="E1048" s="5" t="str">
        <x:v>Jollof Rice &amp; Chicken</x:v>
      </x:c>
      <x:c r="F1048" s="5" t="str">
        <x:v>Rice Meals</x:v>
      </x:c>
      <x:c r="G1048" s="44" t="n">
        <x:v>4</x:v>
      </x:c>
      <x:c r="H1048" s="45" t="n">
        <x:v>2800</x:v>
      </x:c>
      <x:c r="I1048" s="46" t="n">
        <x:v>0.1</x:v>
      </x:c>
      <x:c r="J1048" s="47" t="n">
        <x:f>G1048*H1048*(1-I1048)</x:f>
        <x:v>10080</x:v>
      </x:c>
      <x:c r="K1048" s="47" t="n">
        <x:v>1450</x:v>
      </x:c>
      <x:c r="L1048" s="47" t="n">
        <x:f>G1048*K1048</x:f>
        <x:v>5800</x:v>
      </x:c>
      <x:c r="M1048" s="47" t="n">
        <x:f>J1048-L1048</x:f>
        <x:v>4280</x:v>
      </x:c>
      <x:c r="N1048" s="5" t="str">
        <x:v>Delivery</x:v>
      </x:c>
      <x:c r="O1048" s="5" t="str">
        <x:v>Transfer</x:v>
      </x:c>
      <x:c r="P1048" s="5" t="str">
        <x:v>Lunch</x:v>
      </x:c>
      <x:c r="Q1048" s="48" t="n">
        <x:v>12</x:v>
      </x:c>
      <x:c r="R1048" s="5" t="n">
        <x:v>4</x:v>
      </x:c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5" t="str">
        <x:v>ORD-00931</x:v>
      </x:c>
      <x:c r="B1049" s="43" t="n">
        <x:v>46158</x:v>
      </x:c>
      <x:c r="C1049" s="5" t="str">
        <x:v>CUST-0190</x:v>
      </x:c>
      <x:c r="D1049" s="5" t="str">
        <x:v>FD001</x:v>
      </x:c>
      <x:c r="E1049" s="5" t="str">
        <x:v>White Rice &amp; Stew</x:v>
      </x:c>
      <x:c r="F1049" s="5" t="str">
        <x:v>Rice Meals</x:v>
      </x:c>
      <x:c r="G1049" s="44" t="n">
        <x:v>4</x:v>
      </x:c>
      <x:c r="H1049" s="45" t="n">
        <x:v>1800</x:v>
      </x:c>
      <x:c r="I1049" s="46" t="n">
        <x:v>0</x:v>
      </x:c>
      <x:c r="J1049" s="47" t="n">
        <x:f>G1049*H1049*(1-I1049)</x:f>
        <x:v>7200</x:v>
      </x:c>
      <x:c r="K1049" s="47" t="n">
        <x:v>820</x:v>
      </x:c>
      <x:c r="L1049" s="47" t="n">
        <x:f>G1049*K1049</x:f>
        <x:v>3280</x:v>
      </x:c>
      <x:c r="M1049" s="47" t="n">
        <x:f>J1049-L1049</x:f>
        <x:v>3920</x:v>
      </x:c>
      <x:c r="N1049" s="5" t="str">
        <x:v>Takeaway</x:v>
      </x:c>
      <x:c r="O1049" s="5" t="str">
        <x:v>Transfer</x:v>
      </x:c>
      <x:c r="P1049" s="5" t="str">
        <x:v>Lunch</x:v>
      </x:c>
      <x:c r="Q1049" s="48" t="n">
        <x:v>11</x:v>
      </x:c>
      <x:c r="R1049" s="5" t="n">
        <x:v>4</x:v>
      </x:c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5" t="str">
        <x:v>ORD-00410</x:v>
      </x:c>
      <x:c r="B1050" s="43" t="n">
        <x:v>46159</x:v>
      </x:c>
      <x:c r="C1050" s="5" t="str">
        <x:v>CUST-0345</x:v>
      </x:c>
      <x:c r="D1050" s="5" t="str">
        <x:v>FD010</x:v>
      </x:c>
      <x:c r="E1050" s="5" t="str">
        <x:v>Soft Drink</x:v>
      </x:c>
      <x:c r="F1050" s="5" t="str">
        <x:v>Beverages</x:v>
      </x:c>
      <x:c r="G1050" s="44" t="n">
        <x:v>4</x:v>
      </x:c>
      <x:c r="H1050" s="45" t="n">
        <x:v>600</x:v>
      </x:c>
      <x:c r="I1050" s="46" t="n">
        <x:v>0</x:v>
      </x:c>
      <x:c r="J1050" s="47" t="n">
        <x:f>G1050*H1050*(1-I1050)</x:f>
        <x:v>2400</x:v>
      </x:c>
      <x:c r="K1050" s="47" t="n">
        <x:v>280</x:v>
      </x:c>
      <x:c r="L1050" s="47" t="n">
        <x:f>G1050*K1050</x:f>
        <x:v>1120</x:v>
      </x:c>
      <x:c r="M1050" s="47" t="n">
        <x:f>J1050-L1050</x:f>
        <x:v>1280</x:v>
      </x:c>
      <x:c r="N1050" s="5" t="str">
        <x:v>Delivery</x:v>
      </x:c>
      <x:c r="O1050" s="5" t="str">
        <x:v>Transfer</x:v>
      </x:c>
      <x:c r="P1050" s="5" t="str">
        <x:v>Lunch</x:v>
      </x:c>
      <x:c r="Q1050" s="48" t="n">
        <x:v>14</x:v>
      </x:c>
      <x:c r="R1050" s="5" t="n">
        <x:v>5</x:v>
      </x:c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5" t="str">
        <x:v>ORD-00497</x:v>
      </x:c>
      <x:c r="B1051" s="43" t="n">
        <x:v>46159</x:v>
      </x:c>
      <x:c r="C1051" s="5" t="str">
        <x:v>CUST-0574</x:v>
      </x:c>
      <x:c r="D1051" s="5" t="str">
        <x:v>FD003</x:v>
      </x:c>
      <x:c r="E1051" s="5" t="str">
        <x:v>Fried Rice &amp; Chicken</x:v>
      </x:c>
      <x:c r="F1051" s="5" t="str">
        <x:v>Rice Meals</x:v>
      </x:c>
      <x:c r="G1051" s="44" t="n">
        <x:v>4</x:v>
      </x:c>
      <x:c r="H1051" s="45" t="n">
        <x:v>3000</x:v>
      </x:c>
      <x:c r="I1051" s="46" t="n">
        <x:v>0</x:v>
      </x:c>
      <x:c r="J1051" s="47" t="n">
        <x:f>G1051*H1051*(1-I1051)</x:f>
        <x:v>12000</x:v>
      </x:c>
      <x:c r="K1051" s="47" t="n">
        <x:v>1580</x:v>
      </x:c>
      <x:c r="L1051" s="47" t="n">
        <x:f>G1051*K1051</x:f>
        <x:v>6320</x:v>
      </x:c>
      <x:c r="M1051" s="47" t="n">
        <x:f>J1051-L1051</x:f>
        <x:v>5680</x:v>
      </x:c>
      <x:c r="N1051" s="5" t="str">
        <x:v>Walk-in</x:v>
      </x:c>
      <x:c r="O1051" s="5" t="str">
        <x:v>POS</x:v>
      </x:c>
      <x:c r="P1051" s="5" t="str">
        <x:v>Dinner</x:v>
      </x:c>
      <x:c r="Q1051" s="48" t="n">
        <x:v>19</x:v>
      </x:c>
      <x:c r="R1051" s="5" t="n">
        <x:v>5</x:v>
      </x:c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5" t="str">
        <x:v>ORD-01047</x:v>
      </x:c>
      <x:c r="B1052" s="43" t="n">
        <x:v>46159</x:v>
      </x:c>
      <x:c r="C1052" s="5" t="str">
        <x:v>CUST-0216</x:v>
      </x:c>
      <x:c r="D1052" s="5" t="str">
        <x:v>FD001</x:v>
      </x:c>
      <x:c r="E1052" s="5" t="str">
        <x:v>White Rice &amp; Stew</x:v>
      </x:c>
      <x:c r="F1052" s="5" t="str">
        <x:v>Rice Meals</x:v>
      </x:c>
      <x:c r="G1052" s="44" t="n">
        <x:v>2</x:v>
      </x:c>
      <x:c r="H1052" s="45" t="n">
        <x:v>1800</x:v>
      </x:c>
      <x:c r="I1052" s="46" t="n">
        <x:v>0.05</x:v>
      </x:c>
      <x:c r="J1052" s="47" t="n">
        <x:f>G1052*H1052*(1-I1052)</x:f>
        <x:v>3420</x:v>
      </x:c>
      <x:c r="K1052" s="47" t="n">
        <x:v>820</x:v>
      </x:c>
      <x:c r="L1052" s="47" t="n">
        <x:f>G1052*K1052</x:f>
        <x:v>1640</x:v>
      </x:c>
      <x:c r="M1052" s="47" t="n">
        <x:f>J1052-L1052</x:f>
        <x:v>1780</x:v>
      </x:c>
      <x:c r="N1052" s="5" t="str">
        <x:v>Walk-in</x:v>
      </x:c>
      <x:c r="O1052" s="5" t="str">
        <x:v>Cash</x:v>
      </x:c>
      <x:c r="P1052" s="5" t="str">
        <x:v>Dinner</x:v>
      </x:c>
      <x:c r="Q1052" s="48" t="n">
        <x:v>19</x:v>
      </x:c>
      <x:c r="R1052" s="5" t="n">
        <x:v>5</x:v>
      </x:c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5" t="str">
        <x:v>ORD-01100</x:v>
      </x:c>
      <x:c r="B1053" s="43" t="n">
        <x:v>46159</x:v>
      </x:c>
      <x:c r="C1053" s="5" t="str">
        <x:v>CUST-0534</x:v>
      </x:c>
      <x:c r="D1053" s="5" t="str">
        <x:v>FD003</x:v>
      </x:c>
      <x:c r="E1053" s="5" t="str">
        <x:v>Fried Rice &amp; Chicken</x:v>
      </x:c>
      <x:c r="F1053" s="5" t="str">
        <x:v>Rice Meals</x:v>
      </x:c>
      <x:c r="G1053" s="44" t="n">
        <x:v>4</x:v>
      </x:c>
      <x:c r="H1053" s="45" t="n">
        <x:v>3000</x:v>
      </x:c>
      <x:c r="I1053" s="46" t="n">
        <x:v>0</x:v>
      </x:c>
      <x:c r="J1053" s="47" t="n">
        <x:f>G1053*H1053*(1-I1053)</x:f>
        <x:v>12000</x:v>
      </x:c>
      <x:c r="K1053" s="47" t="n">
        <x:v>1580</x:v>
      </x:c>
      <x:c r="L1053" s="47" t="n">
        <x:f>G1053*K1053</x:f>
        <x:v>6320</x:v>
      </x:c>
      <x:c r="M1053" s="47" t="n">
        <x:f>J1053-L1053</x:f>
        <x:v>5680</x:v>
      </x:c>
      <x:c r="N1053" s="5" t="str">
        <x:v>Delivery</x:v>
      </x:c>
      <x:c r="O1053" s="5" t="str">
        <x:v>Transfer</x:v>
      </x:c>
      <x:c r="P1053" s="5" t="str">
        <x:v>Lunch</x:v>
      </x:c>
      <x:c r="Q1053" s="48" t="n">
        <x:v>13</x:v>
      </x:c>
      <x:c r="R1053" s="5" t="n">
        <x:v>5</x:v>
      </x:c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5" t="str">
        <x:v>ORD-01631</x:v>
      </x:c>
      <x:c r="B1054" s="43" t="n">
        <x:v>46159</x:v>
      </x:c>
      <x:c r="C1054" s="5" t="str">
        <x:v>CUST-0496</x:v>
      </x:c>
      <x:c r="D1054" s="5" t="str">
        <x:v>FD011</x:v>
      </x:c>
      <x:c r="E1054" s="5" t="str">
        <x:v>Bottled Water</x:v>
      </x:c>
      <x:c r="F1054" s="5" t="str">
        <x:v>Beverages</x:v>
      </x:c>
      <x:c r="G1054" s="44" t="n">
        <x:v>2</x:v>
      </x:c>
      <x:c r="H1054" s="45" t="n">
        <x:v>300</x:v>
      </x:c>
      <x:c r="I1054" s="46" t="n">
        <x:v>0</x:v>
      </x:c>
      <x:c r="J1054" s="47" t="n">
        <x:f>G1054*H1054*(1-I1054)</x:f>
        <x:v>600</x:v>
      </x:c>
      <x:c r="K1054" s="47" t="n">
        <x:v>120</x:v>
      </x:c>
      <x:c r="L1054" s="47" t="n">
        <x:f>G1054*K1054</x:f>
        <x:v>240</x:v>
      </x:c>
      <x:c r="M1054" s="47" t="n">
        <x:f>J1054-L1054</x:f>
        <x:v>360</x:v>
      </x:c>
      <x:c r="N1054" s="5" t="str">
        <x:v>Delivery</x:v>
      </x:c>
      <x:c r="O1054" s="5" t="str">
        <x:v>Transfer</x:v>
      </x:c>
      <x:c r="P1054" s="5" t="str">
        <x:v>Dinner</x:v>
      </x:c>
      <x:c r="Q1054" s="48" t="n">
        <x:v>18</x:v>
      </x:c>
      <x:c r="R1054" s="5" t="n">
        <x:v>5</x:v>
      </x:c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5" t="str">
        <x:v>ORD-00356</x:v>
      </x:c>
      <x:c r="B1055" s="43" t="n">
        <x:v>46160</x:v>
      </x:c>
      <x:c r="C1055" s="5" t="str">
        <x:v>CUST-0018</x:v>
      </x:c>
      <x:c r="D1055" s="5" t="str">
        <x:v>FD006</x:v>
      </x:c>
      <x:c r="E1055" s="5" t="str">
        <x:v>Eba &amp; Egusi Soup</x:v>
      </x:c>
      <x:c r="F1055" s="5" t="str">
        <x:v>Swallow</x:v>
      </x:c>
      <x:c r="G1055" s="44" t="n">
        <x:v>2</x:v>
      </x:c>
      <x:c r="H1055" s="45" t="n">
        <x:v>2600</x:v>
      </x:c>
      <x:c r="I1055" s="46" t="n">
        <x:v>0</x:v>
      </x:c>
      <x:c r="J1055" s="47" t="n">
        <x:f>G1055*H1055*(1-I1055)</x:f>
        <x:v>5200</x:v>
      </x:c>
      <x:c r="K1055" s="47" t="n">
        <x:v>1320</x:v>
      </x:c>
      <x:c r="L1055" s="47" t="n">
        <x:f>G1055*K1055</x:f>
        <x:v>2640</x:v>
      </x:c>
      <x:c r="M1055" s="47" t="n">
        <x:f>J1055-L1055</x:f>
        <x:v>2560</x:v>
      </x:c>
      <x:c r="N1055" s="5" t="str">
        <x:v>Walk-in</x:v>
      </x:c>
      <x:c r="O1055" s="5" t="str">
        <x:v>POS</x:v>
      </x:c>
      <x:c r="P1055" s="5" t="str">
        <x:v>Lunch</x:v>
      </x:c>
      <x:c r="Q1055" s="48" t="n">
        <x:v>14</x:v>
      </x:c>
      <x:c r="R1055" s="5" t="n">
        <x:v>4</x:v>
      </x:c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5" t="str">
        <x:v>ORD-00840</x:v>
      </x:c>
      <x:c r="B1056" s="43" t="n">
        <x:v>46160</x:v>
      </x:c>
      <x:c r="C1056" s="5" t="str">
        <x:v>CUST-0304</x:v>
      </x:c>
      <x:c r="D1056" s="5" t="str">
        <x:v>FD004</x:v>
      </x:c>
      <x:c r="E1056" s="5" t="str">
        <x:v>Beans &amp; Plantain</x:v>
      </x:c>
      <x:c r="F1056" s="5" t="str">
        <x:v>Traditional Meals</x:v>
      </x:c>
      <x:c r="G1056" s="44" t="n">
        <x:v>2</x:v>
      </x:c>
      <x:c r="H1056" s="45" t="n">
        <x:v>2000</x:v>
      </x:c>
      <x:c r="I1056" s="46" t="n">
        <x:v>0</x:v>
      </x:c>
      <x:c r="J1056" s="47" t="n">
        <x:f>G1056*H1056*(1-I1056)</x:f>
        <x:v>4000</x:v>
      </x:c>
      <x:c r="K1056" s="47" t="n">
        <x:v>960</x:v>
      </x:c>
      <x:c r="L1056" s="47" t="n">
        <x:f>G1056*K1056</x:f>
        <x:v>1920</x:v>
      </x:c>
      <x:c r="M1056" s="47" t="n">
        <x:f>J1056-L1056</x:f>
        <x:v>2080</x:v>
      </x:c>
      <x:c r="N1056" s="5" t="str">
        <x:v>Walk-in</x:v>
      </x:c>
      <x:c r="O1056" s="5" t="str">
        <x:v>Transfer</x:v>
      </x:c>
      <x:c r="P1056" s="5" t="str">
        <x:v>Lunch</x:v>
      </x:c>
      <x:c r="Q1056" s="48" t="n">
        <x:v>15</x:v>
      </x:c>
      <x:c r="R1056" s="5" t="n">
        <x:v>5</x:v>
      </x:c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5" t="str">
        <x:v>ORD-00894</x:v>
      </x:c>
      <x:c r="B1057" s="43" t="n">
        <x:v>46160</x:v>
      </x:c>
      <x:c r="C1057" s="5" t="str">
        <x:v>CUST-0410</x:v>
      </x:c>
      <x:c r="D1057" s="5" t="str">
        <x:v>FD004</x:v>
      </x:c>
      <x:c r="E1057" s="5" t="str">
        <x:v>Beans &amp; Plantain</x:v>
      </x:c>
      <x:c r="F1057" s="5" t="str">
        <x:v>Traditional Meals</x:v>
      </x:c>
      <x:c r="G1057" s="44" t="n">
        <x:v>2</x:v>
      </x:c>
      <x:c r="H1057" s="45" t="n">
        <x:v>2000</x:v>
      </x:c>
      <x:c r="I1057" s="46" t="n">
        <x:v>0</x:v>
      </x:c>
      <x:c r="J1057" s="47" t="n">
        <x:f>G1057*H1057*(1-I1057)</x:f>
        <x:v>4000</x:v>
      </x:c>
      <x:c r="K1057" s="47" t="n">
        <x:v>960</x:v>
      </x:c>
      <x:c r="L1057" s="47" t="n">
        <x:f>G1057*K1057</x:f>
        <x:v>1920</x:v>
      </x:c>
      <x:c r="M1057" s="47" t="n">
        <x:f>J1057-L1057</x:f>
        <x:v>2080</x:v>
      </x:c>
      <x:c r="N1057" s="5" t="str">
        <x:v>Delivery</x:v>
      </x:c>
      <x:c r="O1057" s="5" t="str">
        <x:v>Cash</x:v>
      </x:c>
      <x:c r="P1057" s="5" t="str">
        <x:v>Lunch</x:v>
      </x:c>
      <x:c r="Q1057" s="48" t="n">
        <x:v>11</x:v>
      </x:c>
      <x:c r="R1057" s="5" t="n">
        <x:v>4</x:v>
      </x:c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5" t="str">
        <x:v>ORD-00989</x:v>
      </x:c>
      <x:c r="B1058" s="43" t="n">
        <x:v>46160</x:v>
      </x:c>
      <x:c r="C1058" s="5" t="str">
        <x:v>CUST-0519</x:v>
      </x:c>
      <x:c r="D1058" s="5" t="str">
        <x:v>FD010</x:v>
      </x:c>
      <x:c r="E1058" s="5" t="str">
        <x:v>Soft Drink</x:v>
      </x:c>
      <x:c r="F1058" s="5" t="str">
        <x:v>Beverages</x:v>
      </x:c>
      <x:c r="G1058" s="44" t="n">
        <x:v>4</x:v>
      </x:c>
      <x:c r="H1058" s="45" t="n">
        <x:v>600</x:v>
      </x:c>
      <x:c r="I1058" s="46" t="n">
        <x:v>0.05</x:v>
      </x:c>
      <x:c r="J1058" s="47" t="n">
        <x:f>G1058*H1058*(1-I1058)</x:f>
        <x:v>2280</x:v>
      </x:c>
      <x:c r="K1058" s="47" t="n">
        <x:v>280</x:v>
      </x:c>
      <x:c r="L1058" s="47" t="n">
        <x:f>G1058*K1058</x:f>
        <x:v>1120</x:v>
      </x:c>
      <x:c r="M1058" s="47" t="n">
        <x:f>J1058-L1058</x:f>
        <x:v>1160</x:v>
      </x:c>
      <x:c r="N1058" s="5" t="str">
        <x:v>Takeaway</x:v>
      </x:c>
      <x:c r="O1058" s="5" t="str">
        <x:v>Cash</x:v>
      </x:c>
      <x:c r="P1058" s="5" t="str">
        <x:v>Dinner</x:v>
      </x:c>
      <x:c r="Q1058" s="48" t="n">
        <x:v>17</x:v>
      </x:c>
      <x:c r="R1058" s="5" t="n">
        <x:v>5</x:v>
      </x:c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5" t="str">
        <x:v>ORD-01159</x:v>
      </x:c>
      <x:c r="B1059" s="43" t="n">
        <x:v>46160</x:v>
      </x:c>
      <x:c r="C1059" s="5" t="str">
        <x:v>CUST-0189</x:v>
      </x:c>
      <x:c r="D1059" s="5" t="str">
        <x:v>FD001</x:v>
      </x:c>
      <x:c r="E1059" s="5" t="str">
        <x:v>White Rice &amp; Stew</x:v>
      </x:c>
      <x:c r="F1059" s="5" t="str">
        <x:v>Rice Meals</x:v>
      </x:c>
      <x:c r="G1059" s="44" t="n">
        <x:v>3</x:v>
      </x:c>
      <x:c r="H1059" s="45" t="n">
        <x:v>1800</x:v>
      </x:c>
      <x:c r="I1059" s="46" t="n">
        <x:v>0.05</x:v>
      </x:c>
      <x:c r="J1059" s="47" t="n">
        <x:f>G1059*H1059*(1-I1059)</x:f>
        <x:v>5130</x:v>
      </x:c>
      <x:c r="K1059" s="47" t="n">
        <x:v>820</x:v>
      </x:c>
      <x:c r="L1059" s="47" t="n">
        <x:f>G1059*K1059</x:f>
        <x:v>2460</x:v>
      </x:c>
      <x:c r="M1059" s="47" t="n">
        <x:f>J1059-L1059</x:f>
        <x:v>2670</x:v>
      </x:c>
      <x:c r="N1059" s="5" t="str">
        <x:v>Takeaway</x:v>
      </x:c>
      <x:c r="O1059" s="5" t="str">
        <x:v>Cash</x:v>
      </x:c>
      <x:c r="P1059" s="5" t="str">
        <x:v>Dinner</x:v>
      </x:c>
      <x:c r="Q1059" s="48" t="n">
        <x:v>18</x:v>
      </x:c>
      <x:c r="R1059" s="5" t="n">
        <x:v>3</x:v>
      </x:c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5" t="str">
        <x:v>ORD-01393</x:v>
      </x:c>
      <x:c r="B1060" s="43" t="n">
        <x:v>46160</x:v>
      </x:c>
      <x:c r="C1060" s="5" t="str">
        <x:v>CUST-0393</x:v>
      </x:c>
      <x:c r="D1060" s="5" t="str">
        <x:v>FD005</x:v>
      </x:c>
      <x:c r="E1060" s="5" t="str">
        <x:v>Yam Porridge</x:v>
      </x:c>
      <x:c r="F1060" s="5" t="str">
        <x:v>Traditional Meals</x:v>
      </x:c>
      <x:c r="G1060" s="44" t="n">
        <x:v>2</x:v>
      </x:c>
      <x:c r="H1060" s="45" t="n">
        <x:v>2200</x:v>
      </x:c>
      <x:c r="I1060" s="46" t="n">
        <x:v>0</x:v>
      </x:c>
      <x:c r="J1060" s="47" t="n">
        <x:f>G1060*H1060*(1-I1060)</x:f>
        <x:v>4400</x:v>
      </x:c>
      <x:c r="K1060" s="47" t="n">
        <x:v>1050</x:v>
      </x:c>
      <x:c r="L1060" s="47" t="n">
        <x:f>G1060*K1060</x:f>
        <x:v>2100</x:v>
      </x:c>
      <x:c r="M1060" s="47" t="n">
        <x:f>J1060-L1060</x:f>
        <x:v>2300</x:v>
      </x:c>
      <x:c r="N1060" s="5" t="str">
        <x:v>Walk-in</x:v>
      </x:c>
      <x:c r="O1060" s="5" t="str">
        <x:v>POS</x:v>
      </x:c>
      <x:c r="P1060" s="5" t="str">
        <x:v>Lunch</x:v>
      </x:c>
      <x:c r="Q1060" s="48" t="n">
        <x:v>15</x:v>
      </x:c>
      <x:c r="R1060" s="5" t="n">
        <x:v>3</x:v>
      </x:c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5" t="str">
        <x:v>ORD-01441</x:v>
      </x:c>
      <x:c r="B1061" s="43" t="n">
        <x:v>46160</x:v>
      </x:c>
      <x:c r="C1061" s="5" t="str">
        <x:v>CUST-0116</x:v>
      </x:c>
      <x:c r="D1061" s="5" t="str">
        <x:v>FD003</x:v>
      </x:c>
      <x:c r="E1061" s="5" t="str">
        <x:v>Fried Rice &amp; Chicken</x:v>
      </x:c>
      <x:c r="F1061" s="5" t="str">
        <x:v>Rice Meals</x:v>
      </x:c>
      <x:c r="G1061" s="44" t="n">
        <x:v>1</x:v>
      </x:c>
      <x:c r="H1061" s="45" t="n">
        <x:v>3000</x:v>
      </x:c>
      <x:c r="I1061" s="46" t="n">
        <x:v>0</x:v>
      </x:c>
      <x:c r="J1061" s="47" t="n">
        <x:f>G1061*H1061*(1-I1061)</x:f>
        <x:v>3000</x:v>
      </x:c>
      <x:c r="K1061" s="47" t="n">
        <x:v>1580</x:v>
      </x:c>
      <x:c r="L1061" s="47" t="n">
        <x:f>G1061*K1061</x:f>
        <x:v>1580</x:v>
      </x:c>
      <x:c r="M1061" s="47" t="n">
        <x:f>J1061-L1061</x:f>
        <x:v>1420</x:v>
      </x:c>
      <x:c r="N1061" s="5" t="str">
        <x:v>Takeaway</x:v>
      </x:c>
      <x:c r="O1061" s="5" t="str">
        <x:v>POS</x:v>
      </x:c>
      <x:c r="P1061" s="5" t="str">
        <x:v>Dinner</x:v>
      </x:c>
      <x:c r="Q1061" s="48" t="n">
        <x:v>19</x:v>
      </x:c>
      <x:c r="R1061" s="5" t="n">
        <x:v>5</x:v>
      </x:c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5" t="str">
        <x:v>ORD-01513</x:v>
      </x:c>
      <x:c r="B1062" s="43" t="n">
        <x:v>46160</x:v>
      </x:c>
      <x:c r="C1062" s="5" t="str">
        <x:v>CUST-0507</x:v>
      </x:c>
      <x:c r="D1062" s="5" t="str">
        <x:v>FD010</x:v>
      </x:c>
      <x:c r="E1062" s="5" t="str">
        <x:v>Soft Drink</x:v>
      </x:c>
      <x:c r="F1062" s="5" t="str">
        <x:v>Beverages</x:v>
      </x:c>
      <x:c r="G1062" s="44" t="n">
        <x:v>3</x:v>
      </x:c>
      <x:c r="H1062" s="45" t="n">
        <x:v>600</x:v>
      </x:c>
      <x:c r="I1062" s="46" t="n">
        <x:v>0</x:v>
      </x:c>
      <x:c r="J1062" s="47" t="n">
        <x:f>G1062*H1062*(1-I1062)</x:f>
        <x:v>1800</x:v>
      </x:c>
      <x:c r="K1062" s="47" t="n">
        <x:v>280</x:v>
      </x:c>
      <x:c r="L1062" s="47" t="n">
        <x:f>G1062*K1062</x:f>
        <x:v>840</x:v>
      </x:c>
      <x:c r="M1062" s="47" t="n">
        <x:f>J1062-L1062</x:f>
        <x:v>960</x:v>
      </x:c>
      <x:c r="N1062" s="5" t="str">
        <x:v>Takeaway</x:v>
      </x:c>
      <x:c r="O1062" s="5" t="str">
        <x:v>Cash</x:v>
      </x:c>
      <x:c r="P1062" s="5" t="str">
        <x:v>Lunch</x:v>
      </x:c>
      <x:c r="Q1062" s="48" t="n">
        <x:v>15</x:v>
      </x:c>
      <x:c r="R1062" s="5" t="n">
        <x:v>4</x:v>
      </x:c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5" t="str">
        <x:v>ORD-01601</x:v>
      </x:c>
      <x:c r="B1063" s="43" t="n">
        <x:v>46160</x:v>
      </x:c>
      <x:c r="C1063" s="5" t="str">
        <x:v>CUST-0587</x:v>
      </x:c>
      <x:c r="D1063" s="5" t="str">
        <x:v>FD002</x:v>
      </x:c>
      <x:c r="E1063" s="5" t="str">
        <x:v>Jollof Rice &amp; Chicken</x:v>
      </x:c>
      <x:c r="F1063" s="5" t="str">
        <x:v>Rice Meals</x:v>
      </x:c>
      <x:c r="G1063" s="44" t="n">
        <x:v>1</x:v>
      </x:c>
      <x:c r="H1063" s="45" t="n">
        <x:v>2800</x:v>
      </x:c>
      <x:c r="I1063" s="46" t="n">
        <x:v>0</x:v>
      </x:c>
      <x:c r="J1063" s="47" t="n">
        <x:f>G1063*H1063*(1-I1063)</x:f>
        <x:v>2800</x:v>
      </x:c>
      <x:c r="K1063" s="47" t="n">
        <x:v>1450</x:v>
      </x:c>
      <x:c r="L1063" s="47" t="n">
        <x:f>G1063*K1063</x:f>
        <x:v>1450</x:v>
      </x:c>
      <x:c r="M1063" s="47" t="n">
        <x:f>J1063-L1063</x:f>
        <x:v>1350</x:v>
      </x:c>
      <x:c r="N1063" s="5" t="str">
        <x:v>Delivery</x:v>
      </x:c>
      <x:c r="O1063" s="5" t="str">
        <x:v>Transfer</x:v>
      </x:c>
      <x:c r="P1063" s="5" t="str">
        <x:v>Lunch</x:v>
      </x:c>
      <x:c r="Q1063" s="48" t="n">
        <x:v>13</x:v>
      </x:c>
      <x:c r="R1063" s="5" t="n">
        <x:v>4</x:v>
      </x:c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5" t="str">
        <x:v>ORD-00183</x:v>
      </x:c>
      <x:c r="B1064" s="43" t="n">
        <x:v>46161</x:v>
      </x:c>
      <x:c r="C1064" s="5" t="str">
        <x:v>CUST-0094</x:v>
      </x:c>
      <x:c r="D1064" s="5" t="str">
        <x:v>FD002</x:v>
      </x:c>
      <x:c r="E1064" s="5" t="str">
        <x:v>Jollof Rice &amp; Chicken</x:v>
      </x:c>
      <x:c r="F1064" s="5" t="str">
        <x:v>Rice Meals</x:v>
      </x:c>
      <x:c r="G1064" s="44" t="n">
        <x:v>4</x:v>
      </x:c>
      <x:c r="H1064" s="45" t="n">
        <x:v>2800</x:v>
      </x:c>
      <x:c r="I1064" s="46" t="n">
        <x:v>0</x:v>
      </x:c>
      <x:c r="J1064" s="47" t="n">
        <x:f>G1064*H1064*(1-I1064)</x:f>
        <x:v>11200</x:v>
      </x:c>
      <x:c r="K1064" s="47" t="n">
        <x:v>1450</x:v>
      </x:c>
      <x:c r="L1064" s="47" t="n">
        <x:f>G1064*K1064</x:f>
        <x:v>5800</x:v>
      </x:c>
      <x:c r="M1064" s="47" t="n">
        <x:f>J1064-L1064</x:f>
        <x:v>5400</x:v>
      </x:c>
      <x:c r="N1064" s="5" t="str">
        <x:v>Walk-in</x:v>
      </x:c>
      <x:c r="O1064" s="5" t="str">
        <x:v>Transfer</x:v>
      </x:c>
      <x:c r="P1064" s="5" t="str">
        <x:v>Dinner</x:v>
      </x:c>
      <x:c r="Q1064" s="48" t="n">
        <x:v>20</x:v>
      </x:c>
      <x:c r="R1064" s="5" t="n">
        <x:v>5</x:v>
      </x:c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5" t="str">
        <x:v>ORD-00458</x:v>
      </x:c>
      <x:c r="B1065" s="43" t="n">
        <x:v>46161</x:v>
      </x:c>
      <x:c r="C1065" s="5" t="str">
        <x:v>CUST-0516</x:v>
      </x:c>
      <x:c r="D1065" s="5" t="str">
        <x:v>FD007</x:v>
      </x:c>
      <x:c r="E1065" s="5" t="str">
        <x:v>Amala &amp; Ewedu</x:v>
      </x:c>
      <x:c r="F1065" s="5" t="str">
        <x:v>Swallow</x:v>
      </x:c>
      <x:c r="G1065" s="44" t="n">
        <x:v>2</x:v>
      </x:c>
      <x:c r="H1065" s="45" t="n">
        <x:v>2500</x:v>
      </x:c>
      <x:c r="I1065" s="46" t="n">
        <x:v>0</x:v>
      </x:c>
      <x:c r="J1065" s="47" t="n">
        <x:f>G1065*H1065*(1-I1065)</x:f>
        <x:v>5000</x:v>
      </x:c>
      <x:c r="K1065" s="47" t="n">
        <x:v>1250</x:v>
      </x:c>
      <x:c r="L1065" s="47" t="n">
        <x:f>G1065*K1065</x:f>
        <x:v>2500</x:v>
      </x:c>
      <x:c r="M1065" s="47" t="n">
        <x:f>J1065-L1065</x:f>
        <x:v>2500</x:v>
      </x:c>
      <x:c r="N1065" s="5" t="str">
        <x:v>Delivery</x:v>
      </x:c>
      <x:c r="O1065" s="5" t="str">
        <x:v>Cash</x:v>
      </x:c>
      <x:c r="P1065" s="5" t="str">
        <x:v>Lunch</x:v>
      </x:c>
      <x:c r="Q1065" s="48" t="n">
        <x:v>12</x:v>
      </x:c>
      <x:c r="R1065" s="5" t="n">
        <x:v>3</x:v>
      </x:c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5" t="str">
        <x:v>ORD-00484</x:v>
      </x:c>
      <x:c r="B1066" s="43" t="n">
        <x:v>46161</x:v>
      </x:c>
      <x:c r="C1066" s="5" t="str">
        <x:v>CUST-0347</x:v>
      </x:c>
      <x:c r="D1066" s="5" t="str">
        <x:v>FD005</x:v>
      </x:c>
      <x:c r="E1066" s="5" t="str">
        <x:v>Yam Porridge</x:v>
      </x:c>
      <x:c r="F1066" s="5" t="str">
        <x:v>Traditional Meals</x:v>
      </x:c>
      <x:c r="G1066" s="44" t="n">
        <x:v>1</x:v>
      </x:c>
      <x:c r="H1066" s="45" t="n">
        <x:v>2200</x:v>
      </x:c>
      <x:c r="I1066" s="46" t="n">
        <x:v>0</x:v>
      </x:c>
      <x:c r="J1066" s="47" t="n">
        <x:f>G1066*H1066*(1-I1066)</x:f>
        <x:v>2200</x:v>
      </x:c>
      <x:c r="K1066" s="47" t="n">
        <x:v>1050</x:v>
      </x:c>
      <x:c r="L1066" s="47" t="n">
        <x:f>G1066*K1066</x:f>
        <x:v>1050</x:v>
      </x:c>
      <x:c r="M1066" s="47" t="n">
        <x:f>J1066-L1066</x:f>
        <x:v>1150</x:v>
      </x:c>
      <x:c r="N1066" s="5" t="str">
        <x:v>Takeaway</x:v>
      </x:c>
      <x:c r="O1066" s="5" t="str">
        <x:v>Transfer</x:v>
      </x:c>
      <x:c r="P1066" s="5" t="str">
        <x:v>Lunch</x:v>
      </x:c>
      <x:c r="Q1066" s="48" t="n">
        <x:v>11</x:v>
      </x:c>
      <x:c r="R1066" s="5" t="n">
        <x:v>3</x:v>
      </x:c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5" t="str">
        <x:v>ORD-01038</x:v>
      </x:c>
      <x:c r="B1067" s="43" t="n">
        <x:v>46161</x:v>
      </x:c>
      <x:c r="C1067" s="5" t="str">
        <x:v>CUST-0144</x:v>
      </x:c>
      <x:c r="D1067" s="5" t="str">
        <x:v>FD006</x:v>
      </x:c>
      <x:c r="E1067" s="5" t="str">
        <x:v>Eba &amp; Egusi Soup</x:v>
      </x:c>
      <x:c r="F1067" s="5" t="str">
        <x:v>Swallow</x:v>
      </x:c>
      <x:c r="G1067" s="44" t="n">
        <x:v>2</x:v>
      </x:c>
      <x:c r="H1067" s="45" t="n">
        <x:v>2600</x:v>
      </x:c>
      <x:c r="I1067" s="46" t="n">
        <x:v>0</x:v>
      </x:c>
      <x:c r="J1067" s="47" t="n">
        <x:f>G1067*H1067*(1-I1067)</x:f>
        <x:v>5200</x:v>
      </x:c>
      <x:c r="K1067" s="47" t="n">
        <x:v>1320</x:v>
      </x:c>
      <x:c r="L1067" s="47" t="n">
        <x:f>G1067*K1067</x:f>
        <x:v>2640</x:v>
      </x:c>
      <x:c r="M1067" s="47" t="n">
        <x:f>J1067-L1067</x:f>
        <x:v>2560</x:v>
      </x:c>
      <x:c r="N1067" s="5" t="str">
        <x:v>Walk-in</x:v>
      </x:c>
      <x:c r="O1067" s="5" t="str">
        <x:v>POS</x:v>
      </x:c>
      <x:c r="P1067" s="5" t="str">
        <x:v>Breakfast</x:v>
      </x:c>
      <x:c r="Q1067" s="48" t="n">
        <x:v>8</x:v>
      </x:c>
      <x:c r="R1067" s="5" t="n">
        <x:v>5</x:v>
      </x:c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5" t="str">
        <x:v>ORD-01273</x:v>
      </x:c>
      <x:c r="B1068" s="43" t="n">
        <x:v>46161</x:v>
      </x:c>
      <x:c r="C1068" s="5" t="str">
        <x:v>CUST-0601</x:v>
      </x:c>
      <x:c r="D1068" s="5" t="str">
        <x:v>FD001</x:v>
      </x:c>
      <x:c r="E1068" s="5" t="str">
        <x:v>White Rice &amp; Stew</x:v>
      </x:c>
      <x:c r="F1068" s="5" t="str">
        <x:v>Rice Meals</x:v>
      </x:c>
      <x:c r="G1068" s="44" t="n">
        <x:v>2</x:v>
      </x:c>
      <x:c r="H1068" s="45" t="n">
        <x:v>1800</x:v>
      </x:c>
      <x:c r="I1068" s="46" t="n">
        <x:v>0</x:v>
      </x:c>
      <x:c r="J1068" s="47" t="n">
        <x:f>G1068*H1068*(1-I1068)</x:f>
        <x:v>3600</x:v>
      </x:c>
      <x:c r="K1068" s="47" t="n">
        <x:v>820</x:v>
      </x:c>
      <x:c r="L1068" s="47" t="n">
        <x:f>G1068*K1068</x:f>
        <x:v>1640</x:v>
      </x:c>
      <x:c r="M1068" s="47" t="n">
        <x:f>J1068-L1068</x:f>
        <x:v>1960</x:v>
      </x:c>
      <x:c r="N1068" s="5" t="str">
        <x:v>Delivery</x:v>
      </x:c>
      <x:c r="O1068" s="5" t="str">
        <x:v>POS</x:v>
      </x:c>
      <x:c r="P1068" s="5" t="str">
        <x:v>Lunch</x:v>
      </x:c>
      <x:c r="Q1068" s="48" t="n">
        <x:v>11</x:v>
      </x:c>
      <x:c r="R1068" s="5" t="n">
        <x:v>5</x:v>
      </x:c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5" t="str">
        <x:v>ORD-01572</x:v>
      </x:c>
      <x:c r="B1069" s="43" t="n">
        <x:v>46161</x:v>
      </x:c>
      <x:c r="C1069" s="5" t="str">
        <x:v>CUST-0440</x:v>
      </x:c>
      <x:c r="D1069" s="5" t="str">
        <x:v>FD003</x:v>
      </x:c>
      <x:c r="E1069" s="5" t="str">
        <x:v>Fried Rice &amp; Chicken</x:v>
      </x:c>
      <x:c r="F1069" s="5" t="str">
        <x:v>Rice Meals</x:v>
      </x:c>
      <x:c r="G1069" s="44" t="n">
        <x:v>2</x:v>
      </x:c>
      <x:c r="H1069" s="45" t="n">
        <x:v>3000</x:v>
      </x:c>
      <x:c r="I1069" s="46" t="n">
        <x:v>0</x:v>
      </x:c>
      <x:c r="J1069" s="47" t="n">
        <x:f>G1069*H1069*(1-I1069)</x:f>
        <x:v>6000</x:v>
      </x:c>
      <x:c r="K1069" s="47" t="n">
        <x:v>1580</x:v>
      </x:c>
      <x:c r="L1069" s="47" t="n">
        <x:f>G1069*K1069</x:f>
        <x:v>3160</x:v>
      </x:c>
      <x:c r="M1069" s="47" t="n">
        <x:f>J1069-L1069</x:f>
        <x:v>2840</x:v>
      </x:c>
      <x:c r="N1069" s="5" t="str">
        <x:v>Takeaway</x:v>
      </x:c>
      <x:c r="O1069" s="5" t="str">
        <x:v>POS</x:v>
      </x:c>
      <x:c r="P1069" s="5" t="str">
        <x:v>Lunch</x:v>
      </x:c>
      <x:c r="Q1069" s="48" t="n">
        <x:v>14</x:v>
      </x:c>
      <x:c r="R1069" s="5" t="n">
        <x:v>4</x:v>
      </x:c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5" t="str">
        <x:v>ORD-01636</x:v>
      </x:c>
      <x:c r="B1070" s="43" t="n">
        <x:v>46161</x:v>
      </x:c>
      <x:c r="C1070" s="5" t="str">
        <x:v>CUST-0366</x:v>
      </x:c>
      <x:c r="D1070" s="5" t="str">
        <x:v>FD001</x:v>
      </x:c>
      <x:c r="E1070" s="5" t="str">
        <x:v>White Rice &amp; Stew</x:v>
      </x:c>
      <x:c r="F1070" s="5" t="str">
        <x:v>Rice Meals</x:v>
      </x:c>
      <x:c r="G1070" s="44" t="n">
        <x:v>1</x:v>
      </x:c>
      <x:c r="H1070" s="45" t="n">
        <x:v>1800</x:v>
      </x:c>
      <x:c r="I1070" s="46" t="n">
        <x:v>0</x:v>
      </x:c>
      <x:c r="J1070" s="47" t="n">
        <x:f>G1070*H1070*(1-I1070)</x:f>
        <x:v>1800</x:v>
      </x:c>
      <x:c r="K1070" s="47" t="n">
        <x:v>820</x:v>
      </x:c>
      <x:c r="L1070" s="47" t="n">
        <x:f>G1070*K1070</x:f>
        <x:v>820</x:v>
      </x:c>
      <x:c r="M1070" s="47" t="n">
        <x:f>J1070-L1070</x:f>
        <x:v>980</x:v>
      </x:c>
      <x:c r="N1070" s="5" t="str">
        <x:v>Walk-in</x:v>
      </x:c>
      <x:c r="O1070" s="5" t="str">
        <x:v>POS</x:v>
      </x:c>
      <x:c r="P1070" s="5" t="str">
        <x:v>Breakfast</x:v>
      </x:c>
      <x:c r="Q1070" s="48" t="n">
        <x:v>10</x:v>
      </x:c>
      <x:c r="R1070" s="5" t="n">
        <x:v>4</x:v>
      </x:c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5" t="str">
        <x:v>ORD-00047</x:v>
      </x:c>
      <x:c r="B1071" s="43" t="n">
        <x:v>46162</x:v>
      </x:c>
      <x:c r="C1071" s="5" t="str">
        <x:v>CUST-0220</x:v>
      </x:c>
      <x:c r="D1071" s="5" t="str">
        <x:v>FD006</x:v>
      </x:c>
      <x:c r="E1071" s="5" t="str">
        <x:v>Eba &amp; Egusi Soup</x:v>
      </x:c>
      <x:c r="F1071" s="5" t="str">
        <x:v>Swallow</x:v>
      </x:c>
      <x:c r="G1071" s="44" t="n">
        <x:v>3</x:v>
      </x:c>
      <x:c r="H1071" s="45" t="n">
        <x:v>2600</x:v>
      </x:c>
      <x:c r="I1071" s="46" t="n">
        <x:v>0</x:v>
      </x:c>
      <x:c r="J1071" s="47" t="n">
        <x:f>G1071*H1071*(1-I1071)</x:f>
        <x:v>7800</x:v>
      </x:c>
      <x:c r="K1071" s="47" t="n">
        <x:v>1320</x:v>
      </x:c>
      <x:c r="L1071" s="47" t="n">
        <x:f>G1071*K1071</x:f>
        <x:v>3960</x:v>
      </x:c>
      <x:c r="M1071" s="47" t="n">
        <x:f>J1071-L1071</x:f>
        <x:v>3840</x:v>
      </x:c>
      <x:c r="N1071" s="5" t="str">
        <x:v>Walk-in</x:v>
      </x:c>
      <x:c r="O1071" s="5" t="str">
        <x:v>Transfer</x:v>
      </x:c>
      <x:c r="P1071" s="5" t="str">
        <x:v>Lunch</x:v>
      </x:c>
      <x:c r="Q1071" s="48" t="n">
        <x:v>15</x:v>
      </x:c>
      <x:c r="R1071" s="5" t="n">
        <x:v>4</x:v>
      </x:c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5" t="str">
        <x:v>ORD-00090</x:v>
      </x:c>
      <x:c r="B1072" s="43" t="n">
        <x:v>46162</x:v>
      </x:c>
      <x:c r="C1072" s="5" t="str">
        <x:v>CUST-0538</x:v>
      </x:c>
      <x:c r="D1072" s="5" t="str">
        <x:v>FD006</x:v>
      </x:c>
      <x:c r="E1072" s="5" t="str">
        <x:v>Eba &amp; Egusi Soup</x:v>
      </x:c>
      <x:c r="F1072" s="5" t="str">
        <x:v>Swallow</x:v>
      </x:c>
      <x:c r="G1072" s="44" t="n">
        <x:v>4</x:v>
      </x:c>
      <x:c r="H1072" s="45" t="n">
        <x:v>2600</x:v>
      </x:c>
      <x:c r="I1072" s="46" t="n">
        <x:v>0</x:v>
      </x:c>
      <x:c r="J1072" s="47" t="n">
        <x:f>G1072*H1072*(1-I1072)</x:f>
        <x:v>10400</x:v>
      </x:c>
      <x:c r="K1072" s="47" t="n">
        <x:v>1320</x:v>
      </x:c>
      <x:c r="L1072" s="47" t="n">
        <x:f>G1072*K1072</x:f>
        <x:v>5280</x:v>
      </x:c>
      <x:c r="M1072" s="47" t="n">
        <x:f>J1072-L1072</x:f>
        <x:v>5120</x:v>
      </x:c>
      <x:c r="N1072" s="5" t="str">
        <x:v>Takeaway</x:v>
      </x:c>
      <x:c r="O1072" s="5" t="str">
        <x:v>Transfer</x:v>
      </x:c>
      <x:c r="P1072" s="5" t="str">
        <x:v>Breakfast</x:v>
      </x:c>
      <x:c r="Q1072" s="48" t="n">
        <x:v>10</x:v>
      </x:c>
      <x:c r="R1072" s="5" t="n">
        <x:v>5</x:v>
      </x:c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5" t="str">
        <x:v>ORD-00190</x:v>
      </x:c>
      <x:c r="B1073" s="43" t="n">
        <x:v>46162</x:v>
      </x:c>
      <x:c r="C1073" s="5" t="str">
        <x:v>CUST-0182</x:v>
      </x:c>
      <x:c r="D1073" s="5" t="str">
        <x:v>FD010</x:v>
      </x:c>
      <x:c r="E1073" s="5" t="str">
        <x:v>Soft Drink</x:v>
      </x:c>
      <x:c r="F1073" s="5" t="str">
        <x:v>Beverages</x:v>
      </x:c>
      <x:c r="G1073" s="44" t="n">
        <x:v>3</x:v>
      </x:c>
      <x:c r="H1073" s="45" t="n">
        <x:v>600</x:v>
      </x:c>
      <x:c r="I1073" s="46" t="n">
        <x:v>0</x:v>
      </x:c>
      <x:c r="J1073" s="47" t="n">
        <x:f>G1073*H1073*(1-I1073)</x:f>
        <x:v>1800</x:v>
      </x:c>
      <x:c r="K1073" s="47" t="n">
        <x:v>280</x:v>
      </x:c>
      <x:c r="L1073" s="47" t="n">
        <x:f>G1073*K1073</x:f>
        <x:v>840</x:v>
      </x:c>
      <x:c r="M1073" s="47" t="n">
        <x:f>J1073-L1073</x:f>
        <x:v>960</x:v>
      </x:c>
      <x:c r="N1073" s="5" t="str">
        <x:v>Walk-in</x:v>
      </x:c>
      <x:c r="O1073" s="5" t="str">
        <x:v>Transfer</x:v>
      </x:c>
      <x:c r="P1073" s="5" t="str">
        <x:v>Dinner</x:v>
      </x:c>
      <x:c r="Q1073" s="48" t="n">
        <x:v>18</x:v>
      </x:c>
      <x:c r="R1073" s="5" t="n">
        <x:v>5</x:v>
      </x:c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5" t="str">
        <x:v>ORD-00254</x:v>
      </x:c>
      <x:c r="B1074" s="43" t="n">
        <x:v>46162</x:v>
      </x:c>
      <x:c r="C1074" s="5" t="str">
        <x:v>CUST-0150</x:v>
      </x:c>
      <x:c r="D1074" s="5" t="str">
        <x:v>FD009</x:v>
      </x:c>
      <x:c r="E1074" s="5" t="str">
        <x:v>Moi Moi</x:v>
      </x:c>
      <x:c r="F1074" s="5" t="str">
        <x:v>Sides</x:v>
      </x:c>
      <x:c r="G1074" s="44" t="n">
        <x:v>2</x:v>
      </x:c>
      <x:c r="H1074" s="45" t="n">
        <x:v>900</x:v>
      </x:c>
      <x:c r="I1074" s="46" t="n">
        <x:v>0</x:v>
      </x:c>
      <x:c r="J1074" s="47" t="n">
        <x:f>G1074*H1074*(1-I1074)</x:f>
        <x:v>1800</x:v>
      </x:c>
      <x:c r="K1074" s="47" t="n">
        <x:v>380</x:v>
      </x:c>
      <x:c r="L1074" s="47" t="n">
        <x:f>G1074*K1074</x:f>
        <x:v>760</x:v>
      </x:c>
      <x:c r="M1074" s="47" t="n">
        <x:f>J1074-L1074</x:f>
        <x:v>1040</x:v>
      </x:c>
      <x:c r="N1074" s="5" t="str">
        <x:v>Takeaway</x:v>
      </x:c>
      <x:c r="O1074" s="5" t="str">
        <x:v>Cash</x:v>
      </x:c>
      <x:c r="P1074" s="5" t="str">
        <x:v>Breakfast</x:v>
      </x:c>
      <x:c r="Q1074" s="48" t="n">
        <x:v>9</x:v>
      </x:c>
      <x:c r="R1074" s="5" t="n">
        <x:v>3</x:v>
      </x:c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5" t="str">
        <x:v>ORD-00430</x:v>
      </x:c>
      <x:c r="B1075" s="43" t="n">
        <x:v>46162</x:v>
      </x:c>
      <x:c r="C1075" s="5" t="str">
        <x:v>CUST-0357</x:v>
      </x:c>
      <x:c r="D1075" s="5" t="str">
        <x:v>FD001</x:v>
      </x:c>
      <x:c r="E1075" s="5" t="str">
        <x:v>White Rice &amp; Stew</x:v>
      </x:c>
      <x:c r="F1075" s="5" t="str">
        <x:v>Rice Meals</x:v>
      </x:c>
      <x:c r="G1075" s="44" t="n">
        <x:v>2</x:v>
      </x:c>
      <x:c r="H1075" s="45" t="n">
        <x:v>1800</x:v>
      </x:c>
      <x:c r="I1075" s="46" t="n">
        <x:v>0</x:v>
      </x:c>
      <x:c r="J1075" s="47" t="n">
        <x:f>G1075*H1075*(1-I1075)</x:f>
        <x:v>3600</x:v>
      </x:c>
      <x:c r="K1075" s="47" t="n">
        <x:v>820</x:v>
      </x:c>
      <x:c r="L1075" s="47" t="n">
        <x:f>G1075*K1075</x:f>
        <x:v>1640</x:v>
      </x:c>
      <x:c r="M1075" s="47" t="n">
        <x:f>J1075-L1075</x:f>
        <x:v>1960</x:v>
      </x:c>
      <x:c r="N1075" s="5" t="str">
        <x:v>Walk-in</x:v>
      </x:c>
      <x:c r="O1075" s="5" t="str">
        <x:v>Cash</x:v>
      </x:c>
      <x:c r="P1075" s="5" t="str">
        <x:v>Lunch</x:v>
      </x:c>
      <x:c r="Q1075" s="48" t="n">
        <x:v>11</x:v>
      </x:c>
      <x:c r="R1075" s="5" t="n">
        <x:v>5</x:v>
      </x:c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5" t="str">
        <x:v>ORD-00771</x:v>
      </x:c>
      <x:c r="B1076" s="43" t="n">
        <x:v>46162</x:v>
      </x:c>
      <x:c r="C1076" s="5" t="str">
        <x:v>CUST-0584</x:v>
      </x:c>
      <x:c r="D1076" s="5" t="str">
        <x:v>FD003</x:v>
      </x:c>
      <x:c r="E1076" s="5" t="str">
        <x:v>Fried Rice &amp; Chicken</x:v>
      </x:c>
      <x:c r="F1076" s="5" t="str">
        <x:v>Rice Meals</x:v>
      </x:c>
      <x:c r="G1076" s="44" t="n">
        <x:v>3</x:v>
      </x:c>
      <x:c r="H1076" s="45" t="n">
        <x:v>3000</x:v>
      </x:c>
      <x:c r="I1076" s="46" t="n">
        <x:v>0</x:v>
      </x:c>
      <x:c r="J1076" s="47" t="n">
        <x:f>G1076*H1076*(1-I1076)</x:f>
        <x:v>9000</x:v>
      </x:c>
      <x:c r="K1076" s="47" t="n">
        <x:v>1580</x:v>
      </x:c>
      <x:c r="L1076" s="47" t="n">
        <x:f>G1076*K1076</x:f>
        <x:v>4740</x:v>
      </x:c>
      <x:c r="M1076" s="47" t="n">
        <x:f>J1076-L1076</x:f>
        <x:v>4260</x:v>
      </x:c>
      <x:c r="N1076" s="5" t="str">
        <x:v>Walk-in</x:v>
      </x:c>
      <x:c r="O1076" s="5" t="str">
        <x:v>POS</x:v>
      </x:c>
      <x:c r="P1076" s="5" t="str">
        <x:v>Lunch</x:v>
      </x:c>
      <x:c r="Q1076" s="48" t="n">
        <x:v>11</x:v>
      </x:c>
      <x:c r="R1076" s="5" t="n">
        <x:v>5</x:v>
      </x:c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5" t="str">
        <x:v>ORD-01059</x:v>
      </x:c>
      <x:c r="B1077" s="43" t="n">
        <x:v>46162</x:v>
      </x:c>
      <x:c r="C1077" s="5" t="str">
        <x:v>CUST-0165</x:v>
      </x:c>
      <x:c r="D1077" s="5" t="str">
        <x:v>FD004</x:v>
      </x:c>
      <x:c r="E1077" s="5" t="str">
        <x:v>Beans &amp; Plantain</x:v>
      </x:c>
      <x:c r="F1077" s="5" t="str">
        <x:v>Traditional Meals</x:v>
      </x:c>
      <x:c r="G1077" s="44" t="n">
        <x:v>1</x:v>
      </x:c>
      <x:c r="H1077" s="45" t="n">
        <x:v>2000</x:v>
      </x:c>
      <x:c r="I1077" s="46" t="n">
        <x:v>0</x:v>
      </x:c>
      <x:c r="J1077" s="47" t="n">
        <x:f>G1077*H1077*(1-I1077)</x:f>
        <x:v>2000</x:v>
      </x:c>
      <x:c r="K1077" s="47" t="n">
        <x:v>960</x:v>
      </x:c>
      <x:c r="L1077" s="47" t="n">
        <x:f>G1077*K1077</x:f>
        <x:v>960</x:v>
      </x:c>
      <x:c r="M1077" s="47" t="n">
        <x:f>J1077-L1077</x:f>
        <x:v>1040</x:v>
      </x:c>
      <x:c r="N1077" s="5" t="str">
        <x:v>Walk-in</x:v>
      </x:c>
      <x:c r="O1077" s="5" t="str">
        <x:v>Cash</x:v>
      </x:c>
      <x:c r="P1077" s="5" t="str">
        <x:v>Lunch</x:v>
      </x:c>
      <x:c r="Q1077" s="48" t="n">
        <x:v>14</x:v>
      </x:c>
      <x:c r="R1077" s="5" t="n">
        <x:v>4</x:v>
      </x:c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5" t="str">
        <x:v>ORD-01126</x:v>
      </x:c>
      <x:c r="B1078" s="43" t="n">
        <x:v>46162</x:v>
      </x:c>
      <x:c r="C1078" s="5" t="str">
        <x:v>CUST-0197</x:v>
      </x:c>
      <x:c r="D1078" s="5" t="str">
        <x:v>FD006</x:v>
      </x:c>
      <x:c r="E1078" s="5" t="str">
        <x:v>Eba &amp; Egusi Soup</x:v>
      </x:c>
      <x:c r="F1078" s="5" t="str">
        <x:v>Swallow</x:v>
      </x:c>
      <x:c r="G1078" s="44" t="n">
        <x:v>2</x:v>
      </x:c>
      <x:c r="H1078" s="45" t="n">
        <x:v>2600</x:v>
      </x:c>
      <x:c r="I1078" s="46" t="n">
        <x:v>0</x:v>
      </x:c>
      <x:c r="J1078" s="47" t="n">
        <x:f>G1078*H1078*(1-I1078)</x:f>
        <x:v>5200</x:v>
      </x:c>
      <x:c r="K1078" s="47" t="n">
        <x:v>1320</x:v>
      </x:c>
      <x:c r="L1078" s="47" t="n">
        <x:f>G1078*K1078</x:f>
        <x:v>2640</x:v>
      </x:c>
      <x:c r="M1078" s="47" t="n">
        <x:f>J1078-L1078</x:f>
        <x:v>2560</x:v>
      </x:c>
      <x:c r="N1078" s="5" t="str">
        <x:v>Delivery</x:v>
      </x:c>
      <x:c r="O1078" s="5" t="str">
        <x:v>Transfer</x:v>
      </x:c>
      <x:c r="P1078" s="5" t="str">
        <x:v>Lunch</x:v>
      </x:c>
      <x:c r="Q1078" s="48" t="n">
        <x:v>14</x:v>
      </x:c>
      <x:c r="R1078" s="5" t="n">
        <x:v>5</x:v>
      </x:c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5" t="str">
        <x:v>ORD-01342</x:v>
      </x:c>
      <x:c r="B1079" s="43" t="n">
        <x:v>46162</x:v>
      </x:c>
      <x:c r="C1079" s="5" t="str">
        <x:v>CUST-0096</x:v>
      </x:c>
      <x:c r="D1079" s="5" t="str">
        <x:v>FD012</x:v>
      </x:c>
      <x:c r="E1079" s="5" t="str">
        <x:v>Fried Plantain</x:v>
      </x:c>
      <x:c r="F1079" s="5" t="str">
        <x:v>Sides</x:v>
      </x:c>
      <x:c r="G1079" s="44" t="n">
        <x:v>2</x:v>
      </x:c>
      <x:c r="H1079" s="45" t="n">
        <x:v>700</x:v>
      </x:c>
      <x:c r="I1079" s="46" t="n">
        <x:v>0</x:v>
      </x:c>
      <x:c r="J1079" s="47" t="n">
        <x:f>G1079*H1079*(1-I1079)</x:f>
        <x:v>1400</x:v>
      </x:c>
      <x:c r="K1079" s="47" t="n">
        <x:v>300</x:v>
      </x:c>
      <x:c r="L1079" s="47" t="n">
        <x:f>G1079*K1079</x:f>
        <x:v>600</x:v>
      </x:c>
      <x:c r="M1079" s="47" t="n">
        <x:f>J1079-L1079</x:f>
        <x:v>800</x:v>
      </x:c>
      <x:c r="N1079" s="5" t="str">
        <x:v>Walk-in</x:v>
      </x:c>
      <x:c r="O1079" s="5" t="str">
        <x:v>POS</x:v>
      </x:c>
      <x:c r="P1079" s="5" t="str">
        <x:v>Lunch</x:v>
      </x:c>
      <x:c r="Q1079" s="48" t="n">
        <x:v>14</x:v>
      </x:c>
      <x:c r="R1079" s="5" t="n">
        <x:v>4</x:v>
      </x:c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5" t="str">
        <x:v>ORD-01621</x:v>
      </x:c>
      <x:c r="B1080" s="43" t="n">
        <x:v>46162</x:v>
      </x:c>
      <x:c r="C1080" s="5" t="str">
        <x:v>CUST-0529</x:v>
      </x:c>
      <x:c r="D1080" s="5" t="str">
        <x:v>FD007</x:v>
      </x:c>
      <x:c r="E1080" s="5" t="str">
        <x:v>Amala &amp; Ewedu</x:v>
      </x:c>
      <x:c r="F1080" s="5" t="str">
        <x:v>Swallow</x:v>
      </x:c>
      <x:c r="G1080" s="44" t="n">
        <x:v>4</x:v>
      </x:c>
      <x:c r="H1080" s="45" t="n">
        <x:v>2500</x:v>
      </x:c>
      <x:c r="I1080" s="46" t="n">
        <x:v>0</x:v>
      </x:c>
      <x:c r="J1080" s="47" t="n">
        <x:f>G1080*H1080*(1-I1080)</x:f>
        <x:v>10000</x:v>
      </x:c>
      <x:c r="K1080" s="47" t="n">
        <x:v>1250</x:v>
      </x:c>
      <x:c r="L1080" s="47" t="n">
        <x:f>G1080*K1080</x:f>
        <x:v>5000</x:v>
      </x:c>
      <x:c r="M1080" s="47" t="n">
        <x:f>J1080-L1080</x:f>
        <x:v>5000</x:v>
      </x:c>
      <x:c r="N1080" s="5" t="str">
        <x:v>Delivery</x:v>
      </x:c>
      <x:c r="O1080" s="5" t="str">
        <x:v>Transfer</x:v>
      </x:c>
      <x:c r="P1080" s="5" t="str">
        <x:v>Dinner</x:v>
      </x:c>
      <x:c r="Q1080" s="48" t="n">
        <x:v>17</x:v>
      </x:c>
      <x:c r="R1080" s="5" t="n">
        <x:v>4</x:v>
      </x:c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5" t="str">
        <x:v>ORD-00094</x:v>
      </x:c>
      <x:c r="B1081" s="43" t="n">
        <x:v>46163</x:v>
      </x:c>
      <x:c r="C1081" s="5" t="str">
        <x:v>CUST-0521</x:v>
      </x:c>
      <x:c r="D1081" s="5" t="str">
        <x:v>FD006</x:v>
      </x:c>
      <x:c r="E1081" s="5" t="str">
        <x:v>Eba &amp; Egusi Soup</x:v>
      </x:c>
      <x:c r="F1081" s="5" t="str">
        <x:v>Swallow</x:v>
      </x:c>
      <x:c r="G1081" s="44" t="n">
        <x:v>1</x:v>
      </x:c>
      <x:c r="H1081" s="45" t="n">
        <x:v>2600</x:v>
      </x:c>
      <x:c r="I1081" s="46" t="n">
        <x:v>0</x:v>
      </x:c>
      <x:c r="J1081" s="47" t="n">
        <x:f>G1081*H1081*(1-I1081)</x:f>
        <x:v>2600</x:v>
      </x:c>
      <x:c r="K1081" s="47" t="n">
        <x:v>1320</x:v>
      </x:c>
      <x:c r="L1081" s="47" t="n">
        <x:f>G1081*K1081</x:f>
        <x:v>1320</x:v>
      </x:c>
      <x:c r="M1081" s="47" t="n">
        <x:f>J1081-L1081</x:f>
        <x:v>1280</x:v>
      </x:c>
      <x:c r="N1081" s="5" t="str">
        <x:v>Takeaway</x:v>
      </x:c>
      <x:c r="O1081" s="5" t="str">
        <x:v>POS</x:v>
      </x:c>
      <x:c r="P1081" s="5" t="str">
        <x:v>Dinner</x:v>
      </x:c>
      <x:c r="Q1081" s="48" t="n">
        <x:v>17</x:v>
      </x:c>
      <x:c r="R1081" s="5" t="n">
        <x:v>4</x:v>
      </x:c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5" t="str">
        <x:v>ORD-00168</x:v>
      </x:c>
      <x:c r="B1082" s="43" t="n">
        <x:v>46163</x:v>
      </x:c>
      <x:c r="C1082" s="5" t="str">
        <x:v>CUST-0596</x:v>
      </x:c>
      <x:c r="D1082" s="5" t="str">
        <x:v>FD002</x:v>
      </x:c>
      <x:c r="E1082" s="5" t="str">
        <x:v>Jollof Rice &amp; Chicken</x:v>
      </x:c>
      <x:c r="F1082" s="5" t="str">
        <x:v>Rice Meals</x:v>
      </x:c>
      <x:c r="G1082" s="44" t="n">
        <x:v>1</x:v>
      </x:c>
      <x:c r="H1082" s="45" t="n">
        <x:v>2800</x:v>
      </x:c>
      <x:c r="I1082" s="46" t="n">
        <x:v>0</x:v>
      </x:c>
      <x:c r="J1082" s="47" t="n">
        <x:f>G1082*H1082*(1-I1082)</x:f>
        <x:v>2800</x:v>
      </x:c>
      <x:c r="K1082" s="47" t="n">
        <x:v>1450</x:v>
      </x:c>
      <x:c r="L1082" s="47" t="n">
        <x:f>G1082*K1082</x:f>
        <x:v>1450</x:v>
      </x:c>
      <x:c r="M1082" s="47" t="n">
        <x:f>J1082-L1082</x:f>
        <x:v>1350</x:v>
      </x:c>
      <x:c r="N1082" s="5" t="str">
        <x:v>Walk-in</x:v>
      </x:c>
      <x:c r="O1082" s="5" t="str">
        <x:v>POS</x:v>
      </x:c>
      <x:c r="P1082" s="5" t="str">
        <x:v>Dinner</x:v>
      </x:c>
      <x:c r="Q1082" s="48" t="n">
        <x:v>18</x:v>
      </x:c>
      <x:c r="R1082" s="5" t="n">
        <x:v>5</x:v>
      </x:c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5" t="str">
        <x:v>ORD-00197</x:v>
      </x:c>
      <x:c r="B1083" s="43" t="n">
        <x:v>46163</x:v>
      </x:c>
      <x:c r="C1083" s="5" t="str">
        <x:v>CUST-0571</x:v>
      </x:c>
      <x:c r="D1083" s="5" t="str">
        <x:v>FD008</x:v>
      </x:c>
      <x:c r="E1083" s="5" t="str">
        <x:v>Pounded Yam &amp; Vegetable Soup</x:v>
      </x:c>
      <x:c r="F1083" s="5" t="str">
        <x:v>Swallow</x:v>
      </x:c>
      <x:c r="G1083" s="44" t="n">
        <x:v>3</x:v>
      </x:c>
      <x:c r="H1083" s="45" t="n">
        <x:v>3200</x:v>
      </x:c>
      <x:c r="I1083" s="46" t="n">
        <x:v>0</x:v>
      </x:c>
      <x:c r="J1083" s="47" t="n">
        <x:f>G1083*H1083*(1-I1083)</x:f>
        <x:v>9600</x:v>
      </x:c>
      <x:c r="K1083" s="47" t="n">
        <x:v>1710</x:v>
      </x:c>
      <x:c r="L1083" s="47" t="n">
        <x:f>G1083*K1083</x:f>
        <x:v>5130</x:v>
      </x:c>
      <x:c r="M1083" s="47" t="n">
        <x:f>J1083-L1083</x:f>
        <x:v>4470</x:v>
      </x:c>
      <x:c r="N1083" s="5" t="str">
        <x:v>Takeaway</x:v>
      </x:c>
      <x:c r="O1083" s="5" t="str">
        <x:v>POS</x:v>
      </x:c>
      <x:c r="P1083" s="5" t="str">
        <x:v>Lunch</x:v>
      </x:c>
      <x:c r="Q1083" s="48" t="n">
        <x:v>14</x:v>
      </x:c>
      <x:c r="R1083" s="5" t="n">
        <x:v>4</x:v>
      </x:c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5" t="str">
        <x:v>ORD-00782</x:v>
      </x:c>
      <x:c r="B1084" s="43" t="n">
        <x:v>46163</x:v>
      </x:c>
      <x:c r="C1084" s="5" t="str">
        <x:v>CUST-0513</x:v>
      </x:c>
      <x:c r="D1084" s="5" t="str">
        <x:v>FD008</x:v>
      </x:c>
      <x:c r="E1084" s="5" t="str">
        <x:v>Pounded Yam &amp; Vegetable Soup</x:v>
      </x:c>
      <x:c r="F1084" s="5" t="str">
        <x:v>Swallow</x:v>
      </x:c>
      <x:c r="G1084" s="44" t="n">
        <x:v>2</x:v>
      </x:c>
      <x:c r="H1084" s="45" t="n">
        <x:v>3200</x:v>
      </x:c>
      <x:c r="I1084" s="46" t="n">
        <x:v>0.1</x:v>
      </x:c>
      <x:c r="J1084" s="47" t="n">
        <x:f>G1084*H1084*(1-I1084)</x:f>
        <x:v>5760</x:v>
      </x:c>
      <x:c r="K1084" s="47" t="n">
        <x:v>1710</x:v>
      </x:c>
      <x:c r="L1084" s="47" t="n">
        <x:f>G1084*K1084</x:f>
        <x:v>3420</x:v>
      </x:c>
      <x:c r="M1084" s="47" t="n">
        <x:f>J1084-L1084</x:f>
        <x:v>2340</x:v>
      </x:c>
      <x:c r="N1084" s="5" t="str">
        <x:v>Walk-in</x:v>
      </x:c>
      <x:c r="O1084" s="5" t="str">
        <x:v>POS</x:v>
      </x:c>
      <x:c r="P1084" s="5" t="str">
        <x:v>Dinner</x:v>
      </x:c>
      <x:c r="Q1084" s="48" t="n">
        <x:v>17</x:v>
      </x:c>
      <x:c r="R1084" s="5" t="n">
        <x:v>4</x:v>
      </x:c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5" t="str">
        <x:v>ORD-00929</x:v>
      </x:c>
      <x:c r="B1085" s="43" t="n">
        <x:v>46163</x:v>
      </x:c>
      <x:c r="C1085" s="5" t="str">
        <x:v>CUST-0377</x:v>
      </x:c>
      <x:c r="D1085" s="5" t="str">
        <x:v>FD005</x:v>
      </x:c>
      <x:c r="E1085" s="5" t="str">
        <x:v>Yam Porridge</x:v>
      </x:c>
      <x:c r="F1085" s="5" t="str">
        <x:v>Traditional Meals</x:v>
      </x:c>
      <x:c r="G1085" s="44" t="n">
        <x:v>1</x:v>
      </x:c>
      <x:c r="H1085" s="45" t="n">
        <x:v>2200</x:v>
      </x:c>
      <x:c r="I1085" s="46" t="n">
        <x:v>0</x:v>
      </x:c>
      <x:c r="J1085" s="47" t="n">
        <x:f>G1085*H1085*(1-I1085)</x:f>
        <x:v>2200</x:v>
      </x:c>
      <x:c r="K1085" s="47" t="n">
        <x:v>1050</x:v>
      </x:c>
      <x:c r="L1085" s="47" t="n">
        <x:f>G1085*K1085</x:f>
        <x:v>1050</x:v>
      </x:c>
      <x:c r="M1085" s="47" t="n">
        <x:f>J1085-L1085</x:f>
        <x:v>1150</x:v>
      </x:c>
      <x:c r="N1085" s="5" t="str">
        <x:v>Walk-in</x:v>
      </x:c>
      <x:c r="O1085" s="5" t="str">
        <x:v>Transfer</x:v>
      </x:c>
      <x:c r="P1085" s="5" t="str">
        <x:v>Lunch</x:v>
      </x:c>
      <x:c r="Q1085" s="48" t="n">
        <x:v>13</x:v>
      </x:c>
      <x:c r="R1085" s="5" t="n">
        <x:v>5</x:v>
      </x:c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5" t="str">
        <x:v>ORD-00998</x:v>
      </x:c>
      <x:c r="B1086" s="43" t="n">
        <x:v>46163</x:v>
      </x:c>
      <x:c r="C1086" s="5" t="str">
        <x:v>CUST-0391</x:v>
      </x:c>
      <x:c r="D1086" s="5" t="str">
        <x:v>FD010</x:v>
      </x:c>
      <x:c r="E1086" s="5" t="str">
        <x:v>Soft Drink</x:v>
      </x:c>
      <x:c r="F1086" s="5" t="str">
        <x:v>Beverages</x:v>
      </x:c>
      <x:c r="G1086" s="44" t="n">
        <x:v>4</x:v>
      </x:c>
      <x:c r="H1086" s="45" t="n">
        <x:v>600</x:v>
      </x:c>
      <x:c r="I1086" s="46" t="n">
        <x:v>0</x:v>
      </x:c>
      <x:c r="J1086" s="47" t="n">
        <x:f>G1086*H1086*(1-I1086)</x:f>
        <x:v>2400</x:v>
      </x:c>
      <x:c r="K1086" s="47" t="n">
        <x:v>280</x:v>
      </x:c>
      <x:c r="L1086" s="47" t="n">
        <x:f>G1086*K1086</x:f>
        <x:v>1120</x:v>
      </x:c>
      <x:c r="M1086" s="47" t="n">
        <x:f>J1086-L1086</x:f>
        <x:v>1280</x:v>
      </x:c>
      <x:c r="N1086" s="5" t="str">
        <x:v>Takeaway</x:v>
      </x:c>
      <x:c r="O1086" s="5" t="str">
        <x:v>Transfer</x:v>
      </x:c>
      <x:c r="P1086" s="5" t="str">
        <x:v>Dinner</x:v>
      </x:c>
      <x:c r="Q1086" s="48" t="n">
        <x:v>18</x:v>
      </x:c>
      <x:c r="R1086" s="5" t="n">
        <x:v>5</x:v>
      </x:c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5" t="str">
        <x:v>ORD-01111</x:v>
      </x:c>
      <x:c r="B1087" s="43" t="n">
        <x:v>46163</x:v>
      </x:c>
      <x:c r="C1087" s="5" t="str">
        <x:v>CUST-0185</x:v>
      </x:c>
      <x:c r="D1087" s="5" t="str">
        <x:v>FD003</x:v>
      </x:c>
      <x:c r="E1087" s="5" t="str">
        <x:v>Fried Rice &amp; Chicken</x:v>
      </x:c>
      <x:c r="F1087" s="5" t="str">
        <x:v>Rice Meals</x:v>
      </x:c>
      <x:c r="G1087" s="44" t="n">
        <x:v>3</x:v>
      </x:c>
      <x:c r="H1087" s="45" t="n">
        <x:v>3000</x:v>
      </x:c>
      <x:c r="I1087" s="46" t="n">
        <x:v>0.05</x:v>
      </x:c>
      <x:c r="J1087" s="47" t="n">
        <x:f>G1087*H1087*(1-I1087)</x:f>
        <x:v>8550</x:v>
      </x:c>
      <x:c r="K1087" s="47" t="n">
        <x:v>1580</x:v>
      </x:c>
      <x:c r="L1087" s="47" t="n">
        <x:f>G1087*K1087</x:f>
        <x:v>4740</x:v>
      </x:c>
      <x:c r="M1087" s="47" t="n">
        <x:f>J1087-L1087</x:f>
        <x:v>3810</x:v>
      </x:c>
      <x:c r="N1087" s="5" t="str">
        <x:v>Walk-in</x:v>
      </x:c>
      <x:c r="O1087" s="5" t="str">
        <x:v>Transfer</x:v>
      </x:c>
      <x:c r="P1087" s="5" t="str">
        <x:v>Dinner</x:v>
      </x:c>
      <x:c r="Q1087" s="48" t="n">
        <x:v>19</x:v>
      </x:c>
      <x:c r="R1087" s="5" t="n">
        <x:v>5</x:v>
      </x:c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5" t="str">
        <x:v>ORD-01506</x:v>
      </x:c>
      <x:c r="B1088" s="43" t="n">
        <x:v>46163</x:v>
      </x:c>
      <x:c r="C1088" s="5" t="str">
        <x:v>CUST-0533</x:v>
      </x:c>
      <x:c r="D1088" s="5" t="str">
        <x:v>FD007</x:v>
      </x:c>
      <x:c r="E1088" s="5" t="str">
        <x:v>Amala &amp; Ewedu</x:v>
      </x:c>
      <x:c r="F1088" s="5" t="str">
        <x:v>Swallow</x:v>
      </x:c>
      <x:c r="G1088" s="44" t="n">
        <x:v>2</x:v>
      </x:c>
      <x:c r="H1088" s="45" t="n">
        <x:v>2500</x:v>
      </x:c>
      <x:c r="I1088" s="46" t="n">
        <x:v>0.1</x:v>
      </x:c>
      <x:c r="J1088" s="47" t="n">
        <x:f>G1088*H1088*(1-I1088)</x:f>
        <x:v>4500</x:v>
      </x:c>
      <x:c r="K1088" s="47" t="n">
        <x:v>1250</x:v>
      </x:c>
      <x:c r="L1088" s="47" t="n">
        <x:f>G1088*K1088</x:f>
        <x:v>2500</x:v>
      </x:c>
      <x:c r="M1088" s="47" t="n">
        <x:f>J1088-L1088</x:f>
        <x:v>2000</x:v>
      </x:c>
      <x:c r="N1088" s="5" t="str">
        <x:v>Takeaway</x:v>
      </x:c>
      <x:c r="O1088" s="5" t="str">
        <x:v>Transfer</x:v>
      </x:c>
      <x:c r="P1088" s="5" t="str">
        <x:v>Lunch</x:v>
      </x:c>
      <x:c r="Q1088" s="48" t="n">
        <x:v>14</x:v>
      </x:c>
      <x:c r="R1088" s="5" t="n">
        <x:v>5</x:v>
      </x:c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5" t="str">
        <x:v>ORD-01516</x:v>
      </x:c>
      <x:c r="B1089" s="43" t="n">
        <x:v>46163</x:v>
      </x:c>
      <x:c r="C1089" s="5" t="str">
        <x:v>CUST-0528</x:v>
      </x:c>
      <x:c r="D1089" s="5" t="str">
        <x:v>FD004</x:v>
      </x:c>
      <x:c r="E1089" s="5" t="str">
        <x:v>Beans &amp; Plantain</x:v>
      </x:c>
      <x:c r="F1089" s="5" t="str">
        <x:v>Traditional Meals</x:v>
      </x:c>
      <x:c r="G1089" s="44" t="n">
        <x:v>2</x:v>
      </x:c>
      <x:c r="H1089" s="45" t="n">
        <x:v>2000</x:v>
      </x:c>
      <x:c r="I1089" s="46" t="n">
        <x:v>0</x:v>
      </x:c>
      <x:c r="J1089" s="47" t="n">
        <x:f>G1089*H1089*(1-I1089)</x:f>
        <x:v>4000</x:v>
      </x:c>
      <x:c r="K1089" s="47" t="n">
        <x:v>960</x:v>
      </x:c>
      <x:c r="L1089" s="47" t="n">
        <x:f>G1089*K1089</x:f>
        <x:v>1920</x:v>
      </x:c>
      <x:c r="M1089" s="47" t="n">
        <x:f>J1089-L1089</x:f>
        <x:v>2080</x:v>
      </x:c>
      <x:c r="N1089" s="5" t="str">
        <x:v>Walk-in</x:v>
      </x:c>
      <x:c r="O1089" s="5" t="str">
        <x:v>Transfer</x:v>
      </x:c>
      <x:c r="P1089" s="5" t="str">
        <x:v>Lunch</x:v>
      </x:c>
      <x:c r="Q1089" s="48" t="n">
        <x:v>15</x:v>
      </x:c>
      <x:c r="R1089" s="5" t="n">
        <x:v>3</x:v>
      </x:c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5" t="str">
        <x:v>ORD-01565</x:v>
      </x:c>
      <x:c r="B1090" s="43" t="n">
        <x:v>46163</x:v>
      </x:c>
      <x:c r="C1090" s="5" t="str">
        <x:v>CUST-0138</x:v>
      </x:c>
      <x:c r="D1090" s="5" t="str">
        <x:v>FD001</x:v>
      </x:c>
      <x:c r="E1090" s="5" t="str">
        <x:v>White Rice &amp; Stew</x:v>
      </x:c>
      <x:c r="F1090" s="5" t="str">
        <x:v>Rice Meals</x:v>
      </x:c>
      <x:c r="G1090" s="44" t="n">
        <x:v>3</x:v>
      </x:c>
      <x:c r="H1090" s="45" t="n">
        <x:v>1800</x:v>
      </x:c>
      <x:c r="I1090" s="46" t="n">
        <x:v>0</x:v>
      </x:c>
      <x:c r="J1090" s="47" t="n">
        <x:f>G1090*H1090*(1-I1090)</x:f>
        <x:v>5400</x:v>
      </x:c>
      <x:c r="K1090" s="47" t="n">
        <x:v>820</x:v>
      </x:c>
      <x:c r="L1090" s="47" t="n">
        <x:f>G1090*K1090</x:f>
        <x:v>2460</x:v>
      </x:c>
      <x:c r="M1090" s="47" t="n">
        <x:f>J1090-L1090</x:f>
        <x:v>2940</x:v>
      </x:c>
      <x:c r="N1090" s="5" t="str">
        <x:v>Takeaway</x:v>
      </x:c>
      <x:c r="O1090" s="5" t="str">
        <x:v>Transfer</x:v>
      </x:c>
      <x:c r="P1090" s="5" t="str">
        <x:v>Lunch</x:v>
      </x:c>
      <x:c r="Q1090" s="48" t="n">
        <x:v>11</x:v>
      </x:c>
      <x:c r="R1090" s="5" t="n">
        <x:v>4</x:v>
      </x:c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5" t="str">
        <x:v>ORD-01657</x:v>
      </x:c>
      <x:c r="B1091" s="43" t="n">
        <x:v>46163</x:v>
      </x:c>
      <x:c r="C1091" s="5" t="str">
        <x:v>CUST-0275</x:v>
      </x:c>
      <x:c r="D1091" s="5" t="str">
        <x:v>FD012</x:v>
      </x:c>
      <x:c r="E1091" s="5" t="str">
        <x:v>Fried Plantain</x:v>
      </x:c>
      <x:c r="F1091" s="5" t="str">
        <x:v>Sides</x:v>
      </x:c>
      <x:c r="G1091" s="44" t="n">
        <x:v>2</x:v>
      </x:c>
      <x:c r="H1091" s="45" t="n">
        <x:v>700</x:v>
      </x:c>
      <x:c r="I1091" s="46" t="n">
        <x:v>0</x:v>
      </x:c>
      <x:c r="J1091" s="47" t="n">
        <x:f>G1091*H1091*(1-I1091)</x:f>
        <x:v>1400</x:v>
      </x:c>
      <x:c r="K1091" s="47" t="n">
        <x:v>300</x:v>
      </x:c>
      <x:c r="L1091" s="47" t="n">
        <x:f>G1091*K1091</x:f>
        <x:v>600</x:v>
      </x:c>
      <x:c r="M1091" s="47" t="n">
        <x:f>J1091-L1091</x:f>
        <x:v>800</x:v>
      </x:c>
      <x:c r="N1091" s="5" t="str">
        <x:v>Walk-in</x:v>
      </x:c>
      <x:c r="O1091" s="5" t="str">
        <x:v>Transfer</x:v>
      </x:c>
      <x:c r="P1091" s="5" t="str">
        <x:v>Lunch</x:v>
      </x:c>
      <x:c r="Q1091" s="48" t="n">
        <x:v>12</x:v>
      </x:c>
      <x:c r="R1091" s="5" t="n">
        <x:v>5</x:v>
      </x:c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5" t="str">
        <x:v>ORD-00067</x:v>
      </x:c>
      <x:c r="B1092" s="43" t="n">
        <x:v>46164</x:v>
      </x:c>
      <x:c r="C1092" s="5" t="str">
        <x:v>CUST-0571</x:v>
      </x:c>
      <x:c r="D1092" s="5" t="str">
        <x:v>FD002</x:v>
      </x:c>
      <x:c r="E1092" s="5" t="str">
        <x:v>Jollof Rice &amp; Chicken</x:v>
      </x:c>
      <x:c r="F1092" s="5" t="str">
        <x:v>Rice Meals</x:v>
      </x:c>
      <x:c r="G1092" s="44" t="n">
        <x:v>1</x:v>
      </x:c>
      <x:c r="H1092" s="45" t="n">
        <x:v>2800</x:v>
      </x:c>
      <x:c r="I1092" s="46" t="n">
        <x:v>0</x:v>
      </x:c>
      <x:c r="J1092" s="47" t="n">
        <x:f>G1092*H1092*(1-I1092)</x:f>
        <x:v>2800</x:v>
      </x:c>
      <x:c r="K1092" s="47" t="n">
        <x:v>1450</x:v>
      </x:c>
      <x:c r="L1092" s="47" t="n">
        <x:f>G1092*K1092</x:f>
        <x:v>1450</x:v>
      </x:c>
      <x:c r="M1092" s="47" t="n">
        <x:f>J1092-L1092</x:f>
        <x:v>1350</x:v>
      </x:c>
      <x:c r="N1092" s="5" t="str">
        <x:v>Walk-in</x:v>
      </x:c>
      <x:c r="O1092" s="5" t="str">
        <x:v>POS</x:v>
      </x:c>
      <x:c r="P1092" s="5" t="str">
        <x:v>Lunch</x:v>
      </x:c>
      <x:c r="Q1092" s="48" t="n">
        <x:v>15</x:v>
      </x:c>
      <x:c r="R1092" s="5" t="n">
        <x:v>3</x:v>
      </x:c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5" t="str">
        <x:v>ORD-00412</x:v>
      </x:c>
      <x:c r="B1093" s="43" t="n">
        <x:v>46164</x:v>
      </x:c>
      <x:c r="C1093" s="5" t="str">
        <x:v>CUST-0596</x:v>
      </x:c>
      <x:c r="D1093" s="5" t="str">
        <x:v>FD005</x:v>
      </x:c>
      <x:c r="E1093" s="5" t="str">
        <x:v>Yam Porridge</x:v>
      </x:c>
      <x:c r="F1093" s="5" t="str">
        <x:v>Traditional Meals</x:v>
      </x:c>
      <x:c r="G1093" s="44" t="n">
        <x:v>2</x:v>
      </x:c>
      <x:c r="H1093" s="45" t="n">
        <x:v>2200</x:v>
      </x:c>
      <x:c r="I1093" s="46" t="n">
        <x:v>0</x:v>
      </x:c>
      <x:c r="J1093" s="47" t="n">
        <x:f>G1093*H1093*(1-I1093)</x:f>
        <x:v>4400</x:v>
      </x:c>
      <x:c r="K1093" s="47" t="n">
        <x:v>1050</x:v>
      </x:c>
      <x:c r="L1093" s="47" t="n">
        <x:f>G1093*K1093</x:f>
        <x:v>2100</x:v>
      </x:c>
      <x:c r="M1093" s="47" t="n">
        <x:f>J1093-L1093</x:f>
        <x:v>2300</x:v>
      </x:c>
      <x:c r="N1093" s="5" t="str">
        <x:v>Delivery</x:v>
      </x:c>
      <x:c r="O1093" s="5" t="str">
        <x:v>Transfer</x:v>
      </x:c>
      <x:c r="P1093" s="5" t="str">
        <x:v>Lunch</x:v>
      </x:c>
      <x:c r="Q1093" s="48" t="n">
        <x:v>13</x:v>
      </x:c>
      <x:c r="R1093" s="5" t="n">
        <x:v>5</x:v>
      </x:c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5" t="str">
        <x:v>ORD-00849</x:v>
      </x:c>
      <x:c r="B1094" s="43" t="n">
        <x:v>46164</x:v>
      </x:c>
      <x:c r="C1094" s="5" t="str">
        <x:v>CUST-0178</x:v>
      </x:c>
      <x:c r="D1094" s="5" t="str">
        <x:v>FD003</x:v>
      </x:c>
      <x:c r="E1094" s="5" t="str">
        <x:v>Fried Rice &amp; Chicken</x:v>
      </x:c>
      <x:c r="F1094" s="5" t="str">
        <x:v>Rice Meals</x:v>
      </x:c>
      <x:c r="G1094" s="44" t="n">
        <x:v>4</x:v>
      </x:c>
      <x:c r="H1094" s="45" t="n">
        <x:v>3000</x:v>
      </x:c>
      <x:c r="I1094" s="46" t="n">
        <x:v>0</x:v>
      </x:c>
      <x:c r="J1094" s="47" t="n">
        <x:f>G1094*H1094*(1-I1094)</x:f>
        <x:v>12000</x:v>
      </x:c>
      <x:c r="K1094" s="47" t="n">
        <x:v>1580</x:v>
      </x:c>
      <x:c r="L1094" s="47" t="n">
        <x:f>G1094*K1094</x:f>
        <x:v>6320</x:v>
      </x:c>
      <x:c r="M1094" s="47" t="n">
        <x:f>J1094-L1094</x:f>
        <x:v>5680</x:v>
      </x:c>
      <x:c r="N1094" s="5" t="str">
        <x:v>Walk-in</x:v>
      </x:c>
      <x:c r="O1094" s="5" t="str">
        <x:v>POS</x:v>
      </x:c>
      <x:c r="P1094" s="5" t="str">
        <x:v>Dinner</x:v>
      </x:c>
      <x:c r="Q1094" s="48" t="n">
        <x:v>16</x:v>
      </x:c>
      <x:c r="R1094" s="5" t="n">
        <x:v>5</x:v>
      </x:c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5" t="str">
        <x:v>ORD-00860</x:v>
      </x:c>
      <x:c r="B1095" s="43" t="n">
        <x:v>46164</x:v>
      </x:c>
      <x:c r="C1095" s="5" t="str">
        <x:v>CUST-0365</x:v>
      </x:c>
      <x:c r="D1095" s="5" t="str">
        <x:v>FD003</x:v>
      </x:c>
      <x:c r="E1095" s="5" t="str">
        <x:v>Fried Rice &amp; Chicken</x:v>
      </x:c>
      <x:c r="F1095" s="5" t="str">
        <x:v>Rice Meals</x:v>
      </x:c>
      <x:c r="G1095" s="44" t="n">
        <x:v>4</x:v>
      </x:c>
      <x:c r="H1095" s="45" t="n">
        <x:v>3000</x:v>
      </x:c>
      <x:c r="I1095" s="46" t="n">
        <x:v>0</x:v>
      </x:c>
      <x:c r="J1095" s="47" t="n">
        <x:f>G1095*H1095*(1-I1095)</x:f>
        <x:v>12000</x:v>
      </x:c>
      <x:c r="K1095" s="47" t="n">
        <x:v>1580</x:v>
      </x:c>
      <x:c r="L1095" s="47" t="n">
        <x:f>G1095*K1095</x:f>
        <x:v>6320</x:v>
      </x:c>
      <x:c r="M1095" s="47" t="n">
        <x:f>J1095-L1095</x:f>
        <x:v>5680</x:v>
      </x:c>
      <x:c r="N1095" s="5" t="str">
        <x:v>Takeaway</x:v>
      </x:c>
      <x:c r="O1095" s="5" t="str">
        <x:v>POS</x:v>
      </x:c>
      <x:c r="P1095" s="5" t="str">
        <x:v>Dinner</x:v>
      </x:c>
      <x:c r="Q1095" s="48" t="n">
        <x:v>18</x:v>
      </x:c>
      <x:c r="R1095" s="5" t="n">
        <x:v>5</x:v>
      </x:c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5" t="str">
        <x:v>ORD-01456</x:v>
      </x:c>
      <x:c r="B1096" s="43" t="n">
        <x:v>46164</x:v>
      </x:c>
      <x:c r="C1096" s="5" t="str">
        <x:v>CUST-0321</x:v>
      </x:c>
      <x:c r="D1096" s="5" t="str">
        <x:v>FD007</x:v>
      </x:c>
      <x:c r="E1096" s="5" t="str">
        <x:v>Amala &amp; Ewedu</x:v>
      </x:c>
      <x:c r="F1096" s="5" t="str">
        <x:v>Swallow</x:v>
      </x:c>
      <x:c r="G1096" s="44" t="n">
        <x:v>2</x:v>
      </x:c>
      <x:c r="H1096" s="45" t="n">
        <x:v>2500</x:v>
      </x:c>
      <x:c r="I1096" s="46" t="n">
        <x:v>0</x:v>
      </x:c>
      <x:c r="J1096" s="47" t="n">
        <x:f>G1096*H1096*(1-I1096)</x:f>
        <x:v>5000</x:v>
      </x:c>
      <x:c r="K1096" s="47" t="n">
        <x:v>1250</x:v>
      </x:c>
      <x:c r="L1096" s="47" t="n">
        <x:f>G1096*K1096</x:f>
        <x:v>2500</x:v>
      </x:c>
      <x:c r="M1096" s="47" t="n">
        <x:f>J1096-L1096</x:f>
        <x:v>2500</x:v>
      </x:c>
      <x:c r="N1096" s="5" t="str">
        <x:v>Walk-in</x:v>
      </x:c>
      <x:c r="O1096" s="5" t="str">
        <x:v>POS</x:v>
      </x:c>
      <x:c r="P1096" s="5" t="str">
        <x:v>Lunch</x:v>
      </x:c>
      <x:c r="Q1096" s="48" t="n">
        <x:v>11</x:v>
      </x:c>
      <x:c r="R1096" s="5" t="n">
        <x:v>4</x:v>
      </x:c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5" t="str">
        <x:v>ORD-01517</x:v>
      </x:c>
      <x:c r="B1097" s="43" t="n">
        <x:v>46164</x:v>
      </x:c>
      <x:c r="C1097" s="5" t="str">
        <x:v>CUST-0105</x:v>
      </x:c>
      <x:c r="D1097" s="5" t="str">
        <x:v>FD007</x:v>
      </x:c>
      <x:c r="E1097" s="5" t="str">
        <x:v>Amala &amp; Ewedu</x:v>
      </x:c>
      <x:c r="F1097" s="5" t="str">
        <x:v>Swallow</x:v>
      </x:c>
      <x:c r="G1097" s="44" t="n">
        <x:v>3</x:v>
      </x:c>
      <x:c r="H1097" s="45" t="n">
        <x:v>2500</x:v>
      </x:c>
      <x:c r="I1097" s="46" t="n">
        <x:v>0</x:v>
      </x:c>
      <x:c r="J1097" s="47" t="n">
        <x:f>G1097*H1097*(1-I1097)</x:f>
        <x:v>7500</x:v>
      </x:c>
      <x:c r="K1097" s="47" t="n">
        <x:v>1250</x:v>
      </x:c>
      <x:c r="L1097" s="47" t="n">
        <x:f>G1097*K1097</x:f>
        <x:v>3750</x:v>
      </x:c>
      <x:c r="M1097" s="47" t="n">
        <x:f>J1097-L1097</x:f>
        <x:v>3750</x:v>
      </x:c>
      <x:c r="N1097" s="5" t="str">
        <x:v>Walk-in</x:v>
      </x:c>
      <x:c r="O1097" s="5" t="str">
        <x:v>Cash</x:v>
      </x:c>
      <x:c r="P1097" s="5" t="str">
        <x:v>Dinner</x:v>
      </x:c>
      <x:c r="Q1097" s="48" t="n">
        <x:v>18</x:v>
      </x:c>
      <x:c r="R1097" s="5" t="n">
        <x:v>3</x:v>
      </x:c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5" t="str">
        <x:v>ORD-01647</x:v>
      </x:c>
      <x:c r="B1098" s="43" t="n">
        <x:v>46164</x:v>
      </x:c>
      <x:c r="C1098" s="5" t="str">
        <x:v>CUST-0594</x:v>
      </x:c>
      <x:c r="D1098" s="5" t="str">
        <x:v>FD004</x:v>
      </x:c>
      <x:c r="E1098" s="5" t="str">
        <x:v>Beans &amp; Plantain</x:v>
      </x:c>
      <x:c r="F1098" s="5" t="str">
        <x:v>Traditional Meals</x:v>
      </x:c>
      <x:c r="G1098" s="44" t="n">
        <x:v>4</x:v>
      </x:c>
      <x:c r="H1098" s="45" t="n">
        <x:v>2000</x:v>
      </x:c>
      <x:c r="I1098" s="46" t="n">
        <x:v>0</x:v>
      </x:c>
      <x:c r="J1098" s="47" t="n">
        <x:f>G1098*H1098*(1-I1098)</x:f>
        <x:v>8000</x:v>
      </x:c>
      <x:c r="K1098" s="47" t="n">
        <x:v>960</x:v>
      </x:c>
      <x:c r="L1098" s="47" t="n">
        <x:f>G1098*K1098</x:f>
        <x:v>3840</x:v>
      </x:c>
      <x:c r="M1098" s="47" t="n">
        <x:f>J1098-L1098</x:f>
        <x:v>4160</x:v>
      </x:c>
      <x:c r="N1098" s="5" t="str">
        <x:v>Walk-in</x:v>
      </x:c>
      <x:c r="O1098" s="5" t="str">
        <x:v>POS</x:v>
      </x:c>
      <x:c r="P1098" s="5" t="str">
        <x:v>Lunch</x:v>
      </x:c>
      <x:c r="Q1098" s="48" t="n">
        <x:v>12</x:v>
      </x:c>
      <x:c r="R1098" s="5" t="n">
        <x:v>5</x:v>
      </x:c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5" t="str">
        <x:v>ORD-01708</x:v>
      </x:c>
      <x:c r="B1099" s="43" t="n">
        <x:v>46164</x:v>
      </x:c>
      <x:c r="C1099" s="5" t="str">
        <x:v>CUST-0359</x:v>
      </x:c>
      <x:c r="D1099" s="5" t="str">
        <x:v>FD002</x:v>
      </x:c>
      <x:c r="E1099" s="5" t="str">
        <x:v>Jollof Rice &amp; Chicken</x:v>
      </x:c>
      <x:c r="F1099" s="5" t="str">
        <x:v>Rice Meals</x:v>
      </x:c>
      <x:c r="G1099" s="44" t="n">
        <x:v>3</x:v>
      </x:c>
      <x:c r="H1099" s="45" t="n">
        <x:v>2800</x:v>
      </x:c>
      <x:c r="I1099" s="46" t="n">
        <x:v>0.1</x:v>
      </x:c>
      <x:c r="J1099" s="47" t="n">
        <x:f>G1099*H1099*(1-I1099)</x:f>
        <x:v>7560</x:v>
      </x:c>
      <x:c r="K1099" s="47" t="n">
        <x:v>1450</x:v>
      </x:c>
      <x:c r="L1099" s="47" t="n">
        <x:f>G1099*K1099</x:f>
        <x:v>4350</x:v>
      </x:c>
      <x:c r="M1099" s="47" t="n">
        <x:f>J1099-L1099</x:f>
        <x:v>3210</x:v>
      </x:c>
      <x:c r="N1099" s="5" t="str">
        <x:v>Walk-in</x:v>
      </x:c>
      <x:c r="O1099" s="5" t="str">
        <x:v>Transfer</x:v>
      </x:c>
      <x:c r="P1099" s="5" t="str">
        <x:v>Lunch</x:v>
      </x:c>
      <x:c r="Q1099" s="48" t="n">
        <x:v>11</x:v>
      </x:c>
      <x:c r="R1099" s="5" t="n">
        <x:v>4</x:v>
      </x:c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5" t="str">
        <x:v>ORD-00275</x:v>
      </x:c>
      <x:c r="B1100" s="43" t="n">
        <x:v>46165</x:v>
      </x:c>
      <x:c r="C1100" s="5" t="str">
        <x:v>CUST-0115</x:v>
      </x:c>
      <x:c r="D1100" s="5" t="str">
        <x:v>FD006</x:v>
      </x:c>
      <x:c r="E1100" s="5" t="str">
        <x:v>Eba &amp; Egusi Soup</x:v>
      </x:c>
      <x:c r="F1100" s="5" t="str">
        <x:v>Swallow</x:v>
      </x:c>
      <x:c r="G1100" s="44" t="n">
        <x:v>4</x:v>
      </x:c>
      <x:c r="H1100" s="45" t="n">
        <x:v>2600</x:v>
      </x:c>
      <x:c r="I1100" s="46" t="n">
        <x:v>0</x:v>
      </x:c>
      <x:c r="J1100" s="47" t="n">
        <x:f>G1100*H1100*(1-I1100)</x:f>
        <x:v>10400</x:v>
      </x:c>
      <x:c r="K1100" s="47" t="n">
        <x:v>1320</x:v>
      </x:c>
      <x:c r="L1100" s="47" t="n">
        <x:f>G1100*K1100</x:f>
        <x:v>5280</x:v>
      </x:c>
      <x:c r="M1100" s="47" t="n">
        <x:f>J1100-L1100</x:f>
        <x:v>5120</x:v>
      </x:c>
      <x:c r="N1100" s="5" t="str">
        <x:v>Walk-in</x:v>
      </x:c>
      <x:c r="O1100" s="5" t="str">
        <x:v>POS</x:v>
      </x:c>
      <x:c r="P1100" s="5" t="str">
        <x:v>Lunch</x:v>
      </x:c>
      <x:c r="Q1100" s="48" t="n">
        <x:v>11</x:v>
      </x:c>
      <x:c r="R1100" s="5" t="n">
        <x:v>4</x:v>
      </x:c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5" t="str">
        <x:v>ORD-00426</x:v>
      </x:c>
      <x:c r="B1101" s="43" t="n">
        <x:v>46165</x:v>
      </x:c>
      <x:c r="C1101" s="5" t="str">
        <x:v>CUST-0223</x:v>
      </x:c>
      <x:c r="D1101" s="5" t="str">
        <x:v>FD003</x:v>
      </x:c>
      <x:c r="E1101" s="5" t="str">
        <x:v>Fried Rice &amp; Chicken</x:v>
      </x:c>
      <x:c r="F1101" s="5" t="str">
        <x:v>Rice Meals</x:v>
      </x:c>
      <x:c r="G1101" s="44" t="n">
        <x:v>1</x:v>
      </x:c>
      <x:c r="H1101" s="45" t="n">
        <x:v>3000</x:v>
      </x:c>
      <x:c r="I1101" s="46" t="n">
        <x:v>0</x:v>
      </x:c>
      <x:c r="J1101" s="47" t="n">
        <x:f>G1101*H1101*(1-I1101)</x:f>
        <x:v>3000</x:v>
      </x:c>
      <x:c r="K1101" s="47" t="n">
        <x:v>1580</x:v>
      </x:c>
      <x:c r="L1101" s="47" t="n">
        <x:f>G1101*K1101</x:f>
        <x:v>1580</x:v>
      </x:c>
      <x:c r="M1101" s="47" t="n">
        <x:f>J1101-L1101</x:f>
        <x:v>1420</x:v>
      </x:c>
      <x:c r="N1101" s="5" t="str">
        <x:v>Walk-in</x:v>
      </x:c>
      <x:c r="O1101" s="5" t="str">
        <x:v>Transfer</x:v>
      </x:c>
      <x:c r="P1101" s="5" t="str">
        <x:v>Lunch</x:v>
      </x:c>
      <x:c r="Q1101" s="48" t="n">
        <x:v>12</x:v>
      </x:c>
      <x:c r="R1101" s="5" t="n">
        <x:v>5</x:v>
      </x:c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5" t="str">
        <x:v>ORD-00737</x:v>
      </x:c>
      <x:c r="B1102" s="43" t="n">
        <x:v>46165</x:v>
      </x:c>
      <x:c r="C1102" s="5" t="str">
        <x:v>CUST-0194</x:v>
      </x:c>
      <x:c r="D1102" s="5" t="str">
        <x:v>FD001</x:v>
      </x:c>
      <x:c r="E1102" s="5" t="str">
        <x:v>White Rice &amp; Stew</x:v>
      </x:c>
      <x:c r="F1102" s="5" t="str">
        <x:v>Rice Meals</x:v>
      </x:c>
      <x:c r="G1102" s="44" t="n">
        <x:v>1</x:v>
      </x:c>
      <x:c r="H1102" s="45" t="n">
        <x:v>1800</x:v>
      </x:c>
      <x:c r="I1102" s="46" t="n">
        <x:v>0</x:v>
      </x:c>
      <x:c r="J1102" s="47" t="n">
        <x:f>G1102*H1102*(1-I1102)</x:f>
        <x:v>1800</x:v>
      </x:c>
      <x:c r="K1102" s="47" t="n">
        <x:v>820</x:v>
      </x:c>
      <x:c r="L1102" s="47" t="n">
        <x:f>G1102*K1102</x:f>
        <x:v>820</x:v>
      </x:c>
      <x:c r="M1102" s="47" t="n">
        <x:f>J1102-L1102</x:f>
        <x:v>980</x:v>
      </x:c>
      <x:c r="N1102" s="5" t="str">
        <x:v>Walk-in</x:v>
      </x:c>
      <x:c r="O1102" s="5" t="str">
        <x:v>Transfer</x:v>
      </x:c>
      <x:c r="P1102" s="5" t="str">
        <x:v>Lunch</x:v>
      </x:c>
      <x:c r="Q1102" s="48" t="n">
        <x:v>15</x:v>
      </x:c>
      <x:c r="R1102" s="5" t="n">
        <x:v>5</x:v>
      </x:c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5" t="str">
        <x:v>ORD-01464</x:v>
      </x:c>
      <x:c r="B1103" s="43" t="n">
        <x:v>46165</x:v>
      </x:c>
      <x:c r="C1103" s="5" t="str">
        <x:v>CUST-0644</x:v>
      </x:c>
      <x:c r="D1103" s="5" t="str">
        <x:v>FD002</x:v>
      </x:c>
      <x:c r="E1103" s="5" t="str">
        <x:v>Jollof Rice &amp; Chicken</x:v>
      </x:c>
      <x:c r="F1103" s="5" t="str">
        <x:v>Rice Meals</x:v>
      </x:c>
      <x:c r="G1103" s="44" t="n">
        <x:v>2</x:v>
      </x:c>
      <x:c r="H1103" s="45" t="n">
        <x:v>2800</x:v>
      </x:c>
      <x:c r="I1103" s="46" t="n">
        <x:v>0</x:v>
      </x:c>
      <x:c r="J1103" s="47" t="n">
        <x:f>G1103*H1103*(1-I1103)</x:f>
        <x:v>5600</x:v>
      </x:c>
      <x:c r="K1103" s="47" t="n">
        <x:v>1450</x:v>
      </x:c>
      <x:c r="L1103" s="47" t="n">
        <x:f>G1103*K1103</x:f>
        <x:v>2900</x:v>
      </x:c>
      <x:c r="M1103" s="47" t="n">
        <x:f>J1103-L1103</x:f>
        <x:v>2700</x:v>
      </x:c>
      <x:c r="N1103" s="5" t="str">
        <x:v>Walk-in</x:v>
      </x:c>
      <x:c r="O1103" s="5" t="str">
        <x:v>Cash</x:v>
      </x:c>
      <x:c r="P1103" s="5" t="str">
        <x:v>Lunch</x:v>
      </x:c>
      <x:c r="Q1103" s="48" t="n">
        <x:v>15</x:v>
      </x:c>
      <x:c r="R1103" s="5" t="n">
        <x:v>4</x:v>
      </x:c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5" t="str">
        <x:v>ORD-01739</x:v>
      </x:c>
      <x:c r="B1104" s="43" t="n">
        <x:v>46165</x:v>
      </x:c>
      <x:c r="C1104" s="5" t="str">
        <x:v>CUST-0376</x:v>
      </x:c>
      <x:c r="D1104" s="5" t="str">
        <x:v>FD009</x:v>
      </x:c>
      <x:c r="E1104" s="5" t="str">
        <x:v>Moi Moi</x:v>
      </x:c>
      <x:c r="F1104" s="5" t="str">
        <x:v>Sides</x:v>
      </x:c>
      <x:c r="G1104" s="44" t="n">
        <x:v>1</x:v>
      </x:c>
      <x:c r="H1104" s="45" t="n">
        <x:v>900</x:v>
      </x:c>
      <x:c r="I1104" s="46" t="n">
        <x:v>0</x:v>
      </x:c>
      <x:c r="J1104" s="47" t="n">
        <x:f>G1104*H1104*(1-I1104)</x:f>
        <x:v>900</x:v>
      </x:c>
      <x:c r="K1104" s="47" t="n">
        <x:v>380</x:v>
      </x:c>
      <x:c r="L1104" s="47" t="n">
        <x:f>G1104*K1104</x:f>
        <x:v>380</x:v>
      </x:c>
      <x:c r="M1104" s="47" t="n">
        <x:f>J1104-L1104</x:f>
        <x:v>520</x:v>
      </x:c>
      <x:c r="N1104" s="5" t="str">
        <x:v>Takeaway</x:v>
      </x:c>
      <x:c r="O1104" s="5" t="str">
        <x:v>Cash</x:v>
      </x:c>
      <x:c r="P1104" s="5" t="str">
        <x:v>Breakfast</x:v>
      </x:c>
      <x:c r="Q1104" s="48" t="n">
        <x:v>10</x:v>
      </x:c>
      <x:c r="R1104" s="5" t="n">
        <x:v>4</x:v>
      </x:c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5" t="str">
        <x:v>ORD-00012</x:v>
      </x:c>
      <x:c r="B1105" s="43" t="n">
        <x:v>46166</x:v>
      </x:c>
      <x:c r="C1105" s="5" t="str">
        <x:v>CUST-0447</x:v>
      </x:c>
      <x:c r="D1105" s="5" t="str">
        <x:v>FD012</x:v>
      </x:c>
      <x:c r="E1105" s="5" t="str">
        <x:v>Fried Plantain</x:v>
      </x:c>
      <x:c r="F1105" s="5" t="str">
        <x:v>Sides</x:v>
      </x:c>
      <x:c r="G1105" s="44" t="n">
        <x:v>2</x:v>
      </x:c>
      <x:c r="H1105" s="45" t="n">
        <x:v>700</x:v>
      </x:c>
      <x:c r="I1105" s="46" t="n">
        <x:v>0</x:v>
      </x:c>
      <x:c r="J1105" s="47" t="n">
        <x:f>G1105*H1105*(1-I1105)</x:f>
        <x:v>1400</x:v>
      </x:c>
      <x:c r="K1105" s="47" t="n">
        <x:v>300</x:v>
      </x:c>
      <x:c r="L1105" s="47" t="n">
        <x:f>G1105*K1105</x:f>
        <x:v>600</x:v>
      </x:c>
      <x:c r="M1105" s="47" t="n">
        <x:f>J1105-L1105</x:f>
        <x:v>800</x:v>
      </x:c>
      <x:c r="N1105" s="5" t="str">
        <x:v>Takeaway</x:v>
      </x:c>
      <x:c r="O1105" s="5" t="str">
        <x:v>Cash</x:v>
      </x:c>
      <x:c r="P1105" s="5" t="str">
        <x:v>Lunch</x:v>
      </x:c>
      <x:c r="Q1105" s="48" t="n">
        <x:v>14</x:v>
      </x:c>
      <x:c r="R1105" s="5" t="n">
        <x:v>3</x:v>
      </x:c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5" t="str">
        <x:v>ORD-00026</x:v>
      </x:c>
      <x:c r="B1106" s="43" t="n">
        <x:v>46166</x:v>
      </x:c>
      <x:c r="C1106" s="5" t="str">
        <x:v>CUST-0068</x:v>
      </x:c>
      <x:c r="D1106" s="5" t="str">
        <x:v>FD003</x:v>
      </x:c>
      <x:c r="E1106" s="5" t="str">
        <x:v>Fried Rice &amp; Chicken</x:v>
      </x:c>
      <x:c r="F1106" s="5" t="str">
        <x:v>Rice Meals</x:v>
      </x:c>
      <x:c r="G1106" s="44" t="n">
        <x:v>1</x:v>
      </x:c>
      <x:c r="H1106" s="45" t="n">
        <x:v>3000</x:v>
      </x:c>
      <x:c r="I1106" s="46" t="n">
        <x:v>0</x:v>
      </x:c>
      <x:c r="J1106" s="47" t="n">
        <x:f>G1106*H1106*(1-I1106)</x:f>
        <x:v>3000</x:v>
      </x:c>
      <x:c r="K1106" s="47" t="n">
        <x:v>1580</x:v>
      </x:c>
      <x:c r="L1106" s="47" t="n">
        <x:f>G1106*K1106</x:f>
        <x:v>1580</x:v>
      </x:c>
      <x:c r="M1106" s="47" t="n">
        <x:f>J1106-L1106</x:f>
        <x:v>1420</x:v>
      </x:c>
      <x:c r="N1106" s="5" t="str">
        <x:v>Takeaway</x:v>
      </x:c>
      <x:c r="O1106" s="5" t="str">
        <x:v>POS</x:v>
      </x:c>
      <x:c r="P1106" s="5" t="str">
        <x:v>Lunch</x:v>
      </x:c>
      <x:c r="Q1106" s="48" t="n">
        <x:v>11</x:v>
      </x:c>
      <x:c r="R1106" s="5" t="n">
        <x:v>5</x:v>
      </x:c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5" t="str">
        <x:v>ORD-00051</x:v>
      </x:c>
      <x:c r="B1107" s="43" t="n">
        <x:v>46166</x:v>
      </x:c>
      <x:c r="C1107" s="5" t="str">
        <x:v>CUST-0602</x:v>
      </x:c>
      <x:c r="D1107" s="5" t="str">
        <x:v>FD006</x:v>
      </x:c>
      <x:c r="E1107" s="5" t="str">
        <x:v>Eba &amp; Egusi Soup</x:v>
      </x:c>
      <x:c r="F1107" s="5" t="str">
        <x:v>Swallow</x:v>
      </x:c>
      <x:c r="G1107" s="44" t="n">
        <x:v>1</x:v>
      </x:c>
      <x:c r="H1107" s="45" t="n">
        <x:v>2600</x:v>
      </x:c>
      <x:c r="I1107" s="46" t="n">
        <x:v>0</x:v>
      </x:c>
      <x:c r="J1107" s="47" t="n">
        <x:f>G1107*H1107*(1-I1107)</x:f>
        <x:v>2600</x:v>
      </x:c>
      <x:c r="K1107" s="47" t="n">
        <x:v>1320</x:v>
      </x:c>
      <x:c r="L1107" s="47" t="n">
        <x:f>G1107*K1107</x:f>
        <x:v>1320</x:v>
      </x:c>
      <x:c r="M1107" s="47" t="n">
        <x:f>J1107-L1107</x:f>
        <x:v>1280</x:v>
      </x:c>
      <x:c r="N1107" s="5" t="str">
        <x:v>Takeaway</x:v>
      </x:c>
      <x:c r="O1107" s="5" t="str">
        <x:v>Transfer</x:v>
      </x:c>
      <x:c r="P1107" s="5" t="str">
        <x:v>Lunch</x:v>
      </x:c>
      <x:c r="Q1107" s="48" t="n">
        <x:v>12</x:v>
      </x:c>
      <x:c r="R1107" s="5" t="n">
        <x:v>4</x:v>
      </x:c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5" t="str">
        <x:v>ORD-00467</x:v>
      </x:c>
      <x:c r="B1108" s="43" t="n">
        <x:v>46166</x:v>
      </x:c>
      <x:c r="C1108" s="5" t="str">
        <x:v>CUST-0507</x:v>
      </x:c>
      <x:c r="D1108" s="5" t="str">
        <x:v>FD001</x:v>
      </x:c>
      <x:c r="E1108" s="5" t="str">
        <x:v>White Rice &amp; Stew</x:v>
      </x:c>
      <x:c r="F1108" s="5" t="str">
        <x:v>Rice Meals</x:v>
      </x:c>
      <x:c r="G1108" s="44" t="n">
        <x:v>2</x:v>
      </x:c>
      <x:c r="H1108" s="45" t="n">
        <x:v>1800</x:v>
      </x:c>
      <x:c r="I1108" s="46" t="n">
        <x:v>0</x:v>
      </x:c>
      <x:c r="J1108" s="47" t="n">
        <x:f>G1108*H1108*(1-I1108)</x:f>
        <x:v>3600</x:v>
      </x:c>
      <x:c r="K1108" s="47" t="n">
        <x:v>820</x:v>
      </x:c>
      <x:c r="L1108" s="47" t="n">
        <x:f>G1108*K1108</x:f>
        <x:v>1640</x:v>
      </x:c>
      <x:c r="M1108" s="47" t="n">
        <x:f>J1108-L1108</x:f>
        <x:v>1960</x:v>
      </x:c>
      <x:c r="N1108" s="5" t="str">
        <x:v>Walk-in</x:v>
      </x:c>
      <x:c r="O1108" s="5" t="str">
        <x:v>POS</x:v>
      </x:c>
      <x:c r="P1108" s="5" t="str">
        <x:v>Dinner</x:v>
      </x:c>
      <x:c r="Q1108" s="48" t="n">
        <x:v>18</x:v>
      </x:c>
      <x:c r="R1108" s="5" t="n">
        <x:v>5</x:v>
      </x:c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5" t="str">
        <x:v>ORD-00571</x:v>
      </x:c>
      <x:c r="B1109" s="43" t="n">
        <x:v>46166</x:v>
      </x:c>
      <x:c r="C1109" s="5" t="str">
        <x:v>CUST-0525</x:v>
      </x:c>
      <x:c r="D1109" s="5" t="str">
        <x:v>FD002</x:v>
      </x:c>
      <x:c r="E1109" s="5" t="str">
        <x:v>Jollof Rice &amp; Chicken</x:v>
      </x:c>
      <x:c r="F1109" s="5" t="str">
        <x:v>Rice Meals</x:v>
      </x:c>
      <x:c r="G1109" s="44" t="n">
        <x:v>1</x:v>
      </x:c>
      <x:c r="H1109" s="45" t="n">
        <x:v>2800</x:v>
      </x:c>
      <x:c r="I1109" s="46" t="n">
        <x:v>0</x:v>
      </x:c>
      <x:c r="J1109" s="47" t="n">
        <x:f>G1109*H1109*(1-I1109)</x:f>
        <x:v>2800</x:v>
      </x:c>
      <x:c r="K1109" s="47" t="n">
        <x:v>1450</x:v>
      </x:c>
      <x:c r="L1109" s="47" t="n">
        <x:f>G1109*K1109</x:f>
        <x:v>1450</x:v>
      </x:c>
      <x:c r="M1109" s="47" t="n">
        <x:f>J1109-L1109</x:f>
        <x:v>1350</x:v>
      </x:c>
      <x:c r="N1109" s="5" t="str">
        <x:v>Walk-in</x:v>
      </x:c>
      <x:c r="O1109" s="5" t="str">
        <x:v>POS</x:v>
      </x:c>
      <x:c r="P1109" s="5" t="str">
        <x:v>Lunch</x:v>
      </x:c>
      <x:c r="Q1109" s="48" t="n">
        <x:v>14</x:v>
      </x:c>
      <x:c r="R1109" s="5" t="n">
        <x:v>4</x:v>
      </x:c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5" t="str">
        <x:v>ORD-00032</x:v>
      </x:c>
      <x:c r="B1110" s="43" t="n">
        <x:v>46167</x:v>
      </x:c>
      <x:c r="C1110" s="5" t="str">
        <x:v>CUST-0645</x:v>
      </x:c>
      <x:c r="D1110" s="5" t="str">
        <x:v>FD003</x:v>
      </x:c>
      <x:c r="E1110" s="5" t="str">
        <x:v>Fried Rice &amp; Chicken</x:v>
      </x:c>
      <x:c r="F1110" s="5" t="str">
        <x:v>Rice Meals</x:v>
      </x:c>
      <x:c r="G1110" s="44" t="n">
        <x:v>2</x:v>
      </x:c>
      <x:c r="H1110" s="45" t="n">
        <x:v>3000</x:v>
      </x:c>
      <x:c r="I1110" s="46" t="n">
        <x:v>0</x:v>
      </x:c>
      <x:c r="J1110" s="47" t="n">
        <x:f>G1110*H1110*(1-I1110)</x:f>
        <x:v>6000</x:v>
      </x:c>
      <x:c r="K1110" s="47" t="n">
        <x:v>1580</x:v>
      </x:c>
      <x:c r="L1110" s="47" t="n">
        <x:f>G1110*K1110</x:f>
        <x:v>3160</x:v>
      </x:c>
      <x:c r="M1110" s="47" t="n">
        <x:f>J1110-L1110</x:f>
        <x:v>2840</x:v>
      </x:c>
      <x:c r="N1110" s="5" t="str">
        <x:v>Walk-in</x:v>
      </x:c>
      <x:c r="O1110" s="5" t="str">
        <x:v>POS</x:v>
      </x:c>
      <x:c r="P1110" s="5" t="str">
        <x:v>Lunch</x:v>
      </x:c>
      <x:c r="Q1110" s="48" t="n">
        <x:v>14</x:v>
      </x:c>
      <x:c r="R1110" s="5" t="n">
        <x:v>4</x:v>
      </x:c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5" t="str">
        <x:v>ORD-00144</x:v>
      </x:c>
      <x:c r="B1111" s="43" t="n">
        <x:v>46167</x:v>
      </x:c>
      <x:c r="C1111" s="5" t="str">
        <x:v>CUST-0150</x:v>
      </x:c>
      <x:c r="D1111" s="5" t="str">
        <x:v>FD010</x:v>
      </x:c>
      <x:c r="E1111" s="5" t="str">
        <x:v>Soft Drink</x:v>
      </x:c>
      <x:c r="F1111" s="5" t="str">
        <x:v>Beverages</x:v>
      </x:c>
      <x:c r="G1111" s="44" t="n">
        <x:v>1</x:v>
      </x:c>
      <x:c r="H1111" s="45" t="n">
        <x:v>600</x:v>
      </x:c>
      <x:c r="I1111" s="46" t="n">
        <x:v>0.1</x:v>
      </x:c>
      <x:c r="J1111" s="47" t="n">
        <x:f>G1111*H1111*(1-I1111)</x:f>
        <x:v>540</x:v>
      </x:c>
      <x:c r="K1111" s="47" t="n">
        <x:v>280</x:v>
      </x:c>
      <x:c r="L1111" s="47" t="n">
        <x:f>G1111*K1111</x:f>
        <x:v>280</x:v>
      </x:c>
      <x:c r="M1111" s="47" t="n">
        <x:f>J1111-L1111</x:f>
        <x:v>260</x:v>
      </x:c>
      <x:c r="N1111" s="5" t="str">
        <x:v>Walk-in</x:v>
      </x:c>
      <x:c r="O1111" s="5" t="str">
        <x:v>POS</x:v>
      </x:c>
      <x:c r="P1111" s="5" t="str">
        <x:v>Lunch</x:v>
      </x:c>
      <x:c r="Q1111" s="48" t="n">
        <x:v>13</x:v>
      </x:c>
      <x:c r="R1111" s="5" t="n">
        <x:v>4</x:v>
      </x:c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5" t="str">
        <x:v>ORD-00338</x:v>
      </x:c>
      <x:c r="B1112" s="43" t="n">
        <x:v>46167</x:v>
      </x:c>
      <x:c r="C1112" s="5" t="str">
        <x:v>CUST-0107</x:v>
      </x:c>
      <x:c r="D1112" s="5" t="str">
        <x:v>FD004</x:v>
      </x:c>
      <x:c r="E1112" s="5" t="str">
        <x:v>Beans &amp; Plantain</x:v>
      </x:c>
      <x:c r="F1112" s="5" t="str">
        <x:v>Traditional Meals</x:v>
      </x:c>
      <x:c r="G1112" s="44" t="n">
        <x:v>3</x:v>
      </x:c>
      <x:c r="H1112" s="45" t="n">
        <x:v>2000</x:v>
      </x:c>
      <x:c r="I1112" s="46" t="n">
        <x:v>0</x:v>
      </x:c>
      <x:c r="J1112" s="47" t="n">
        <x:f>G1112*H1112*(1-I1112)</x:f>
        <x:v>6000</x:v>
      </x:c>
      <x:c r="K1112" s="47" t="n">
        <x:v>960</x:v>
      </x:c>
      <x:c r="L1112" s="47" t="n">
        <x:f>G1112*K1112</x:f>
        <x:v>2880</x:v>
      </x:c>
      <x:c r="M1112" s="47" t="n">
        <x:f>J1112-L1112</x:f>
        <x:v>3120</x:v>
      </x:c>
      <x:c r="N1112" s="5" t="str">
        <x:v>Walk-in</x:v>
      </x:c>
      <x:c r="O1112" s="5" t="str">
        <x:v>Cash</x:v>
      </x:c>
      <x:c r="P1112" s="5" t="str">
        <x:v>Lunch</x:v>
      </x:c>
      <x:c r="Q1112" s="48" t="n">
        <x:v>15</x:v>
      </x:c>
      <x:c r="R1112" s="5" t="n">
        <x:v>5</x:v>
      </x:c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5" t="str">
        <x:v>ORD-00522</x:v>
      </x:c>
      <x:c r="B1113" s="43" t="n">
        <x:v>46167</x:v>
      </x:c>
      <x:c r="C1113" s="5" t="str">
        <x:v>CUST-0505</x:v>
      </x:c>
      <x:c r="D1113" s="5" t="str">
        <x:v>FD001</x:v>
      </x:c>
      <x:c r="E1113" s="5" t="str">
        <x:v>White Rice &amp; Stew</x:v>
      </x:c>
      <x:c r="F1113" s="5" t="str">
        <x:v>Rice Meals</x:v>
      </x:c>
      <x:c r="G1113" s="44" t="n">
        <x:v>4</x:v>
      </x:c>
      <x:c r="H1113" s="45" t="n">
        <x:v>1800</x:v>
      </x:c>
      <x:c r="I1113" s="46" t="n">
        <x:v>0</x:v>
      </x:c>
      <x:c r="J1113" s="47" t="n">
        <x:f>G1113*H1113*(1-I1113)</x:f>
        <x:v>7200</x:v>
      </x:c>
      <x:c r="K1113" s="47" t="n">
        <x:v>820</x:v>
      </x:c>
      <x:c r="L1113" s="47" t="n">
        <x:f>G1113*K1113</x:f>
        <x:v>3280</x:v>
      </x:c>
      <x:c r="M1113" s="47" t="n">
        <x:f>J1113-L1113</x:f>
        <x:v>3920</x:v>
      </x:c>
      <x:c r="N1113" s="5" t="str">
        <x:v>Walk-in</x:v>
      </x:c>
      <x:c r="O1113" s="5" t="str">
        <x:v>Transfer</x:v>
      </x:c>
      <x:c r="P1113" s="5" t="str">
        <x:v>Dinner</x:v>
      </x:c>
      <x:c r="Q1113" s="48" t="n">
        <x:v>17</x:v>
      </x:c>
      <x:c r="R1113" s="5" t="n">
        <x:v>4</x:v>
      </x:c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5" t="str">
        <x:v>ORD-00866</x:v>
      </x:c>
      <x:c r="B1114" s="43" t="n">
        <x:v>46167</x:v>
      </x:c>
      <x:c r="C1114" s="5" t="str">
        <x:v>CUST-0433</x:v>
      </x:c>
      <x:c r="D1114" s="5" t="str">
        <x:v>FD007</x:v>
      </x:c>
      <x:c r="E1114" s="5" t="str">
        <x:v>Amala &amp; Ewedu</x:v>
      </x:c>
      <x:c r="F1114" s="5" t="str">
        <x:v>Swallow</x:v>
      </x:c>
      <x:c r="G1114" s="44" t="n">
        <x:v>4</x:v>
      </x:c>
      <x:c r="H1114" s="45" t="n">
        <x:v>2500</x:v>
      </x:c>
      <x:c r="I1114" s="46" t="n">
        <x:v>0</x:v>
      </x:c>
      <x:c r="J1114" s="47" t="n">
        <x:f>G1114*H1114*(1-I1114)</x:f>
        <x:v>10000</x:v>
      </x:c>
      <x:c r="K1114" s="47" t="n">
        <x:v>1250</x:v>
      </x:c>
      <x:c r="L1114" s="47" t="n">
        <x:f>G1114*K1114</x:f>
        <x:v>5000</x:v>
      </x:c>
      <x:c r="M1114" s="47" t="n">
        <x:f>J1114-L1114</x:f>
        <x:v>5000</x:v>
      </x:c>
      <x:c r="N1114" s="5" t="str">
        <x:v>Walk-in</x:v>
      </x:c>
      <x:c r="O1114" s="5" t="str">
        <x:v>Transfer</x:v>
      </x:c>
      <x:c r="P1114" s="5" t="str">
        <x:v>Breakfast</x:v>
      </x:c>
      <x:c r="Q1114" s="48" t="n">
        <x:v>10</x:v>
      </x:c>
      <x:c r="R1114" s="5" t="n">
        <x:v>4</x:v>
      </x:c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5" t="str">
        <x:v>ORD-00992</x:v>
      </x:c>
      <x:c r="B1115" s="43" t="n">
        <x:v>46167</x:v>
      </x:c>
      <x:c r="C1115" s="5" t="str">
        <x:v>CUST-0401</x:v>
      </x:c>
      <x:c r="D1115" s="5" t="str">
        <x:v>FD004</x:v>
      </x:c>
      <x:c r="E1115" s="5" t="str">
        <x:v>Beans &amp; Plantain</x:v>
      </x:c>
      <x:c r="F1115" s="5" t="str">
        <x:v>Traditional Meals</x:v>
      </x:c>
      <x:c r="G1115" s="44" t="n">
        <x:v>3</x:v>
      </x:c>
      <x:c r="H1115" s="45" t="n">
        <x:v>2000</x:v>
      </x:c>
      <x:c r="I1115" s="46" t="n">
        <x:v>0</x:v>
      </x:c>
      <x:c r="J1115" s="47" t="n">
        <x:f>G1115*H1115*(1-I1115)</x:f>
        <x:v>6000</x:v>
      </x:c>
      <x:c r="K1115" s="47" t="n">
        <x:v>960</x:v>
      </x:c>
      <x:c r="L1115" s="47" t="n">
        <x:f>G1115*K1115</x:f>
        <x:v>2880</x:v>
      </x:c>
      <x:c r="M1115" s="47" t="n">
        <x:f>J1115-L1115</x:f>
        <x:v>3120</x:v>
      </x:c>
      <x:c r="N1115" s="5" t="str">
        <x:v>Delivery</x:v>
      </x:c>
      <x:c r="O1115" s="5" t="str">
        <x:v>Cash</x:v>
      </x:c>
      <x:c r="P1115" s="5" t="str">
        <x:v>Dinner</x:v>
      </x:c>
      <x:c r="Q1115" s="48" t="n">
        <x:v>17</x:v>
      </x:c>
      <x:c r="R1115" s="5" t="n">
        <x:v>5</x:v>
      </x:c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5" t="str">
        <x:v>ORD-00222</x:v>
      </x:c>
      <x:c r="B1116" s="43" t="n">
        <x:v>46168</x:v>
      </x:c>
      <x:c r="C1116" s="5" t="str">
        <x:v>CUST-0424</x:v>
      </x:c>
      <x:c r="D1116" s="5" t="str">
        <x:v>FD001</x:v>
      </x:c>
      <x:c r="E1116" s="5" t="str">
        <x:v>White Rice &amp; Stew</x:v>
      </x:c>
      <x:c r="F1116" s="5" t="str">
        <x:v>Rice Meals</x:v>
      </x:c>
      <x:c r="G1116" s="44" t="n">
        <x:v>1</x:v>
      </x:c>
      <x:c r="H1116" s="45" t="n">
        <x:v>1800</x:v>
      </x:c>
      <x:c r="I1116" s="46" t="n">
        <x:v>0</x:v>
      </x:c>
      <x:c r="J1116" s="47" t="n">
        <x:f>G1116*H1116*(1-I1116)</x:f>
        <x:v>1800</x:v>
      </x:c>
      <x:c r="K1116" s="47" t="n">
        <x:v>820</x:v>
      </x:c>
      <x:c r="L1116" s="47" t="n">
        <x:f>G1116*K1116</x:f>
        <x:v>820</x:v>
      </x:c>
      <x:c r="M1116" s="47" t="n">
        <x:f>J1116-L1116</x:f>
        <x:v>980</x:v>
      </x:c>
      <x:c r="N1116" s="5" t="str">
        <x:v>Takeaway</x:v>
      </x:c>
      <x:c r="O1116" s="5" t="str">
        <x:v>Transfer</x:v>
      </x:c>
      <x:c r="P1116" s="5" t="str">
        <x:v>Lunch</x:v>
      </x:c>
      <x:c r="Q1116" s="48" t="n">
        <x:v>12</x:v>
      </x:c>
      <x:c r="R1116" s="5" t="n">
        <x:v>5</x:v>
      </x:c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5" t="str">
        <x:v>ORD-00350</x:v>
      </x:c>
      <x:c r="B1117" s="43" t="n">
        <x:v>46168</x:v>
      </x:c>
      <x:c r="C1117" s="5" t="str">
        <x:v>CUST-0434</x:v>
      </x:c>
      <x:c r="D1117" s="5" t="str">
        <x:v>FD006</x:v>
      </x:c>
      <x:c r="E1117" s="5" t="str">
        <x:v>Eba &amp; Egusi Soup</x:v>
      </x:c>
      <x:c r="F1117" s="5" t="str">
        <x:v>Swallow</x:v>
      </x:c>
      <x:c r="G1117" s="44" t="n">
        <x:v>3</x:v>
      </x:c>
      <x:c r="H1117" s="45" t="n">
        <x:v>2600</x:v>
      </x:c>
      <x:c r="I1117" s="46" t="n">
        <x:v>0</x:v>
      </x:c>
      <x:c r="J1117" s="47" t="n">
        <x:f>G1117*H1117*(1-I1117)</x:f>
        <x:v>7800</x:v>
      </x:c>
      <x:c r="K1117" s="47" t="n">
        <x:v>1320</x:v>
      </x:c>
      <x:c r="L1117" s="47" t="n">
        <x:f>G1117*K1117</x:f>
        <x:v>3960</x:v>
      </x:c>
      <x:c r="M1117" s="47" t="n">
        <x:f>J1117-L1117</x:f>
        <x:v>3840</x:v>
      </x:c>
      <x:c r="N1117" s="5" t="str">
        <x:v>Walk-in</x:v>
      </x:c>
      <x:c r="O1117" s="5" t="str">
        <x:v>Transfer</x:v>
      </x:c>
      <x:c r="P1117" s="5" t="str">
        <x:v>Lunch</x:v>
      </x:c>
      <x:c r="Q1117" s="48" t="n">
        <x:v>15</x:v>
      </x:c>
      <x:c r="R1117" s="5" t="n">
        <x:v>4</x:v>
      </x:c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5" t="str">
        <x:v>ORD-00564</x:v>
      </x:c>
      <x:c r="B1118" s="43" t="n">
        <x:v>46168</x:v>
      </x:c>
      <x:c r="C1118" s="5" t="str">
        <x:v>CUST-0233</x:v>
      </x:c>
      <x:c r="D1118" s="5" t="str">
        <x:v>FD004</x:v>
      </x:c>
      <x:c r="E1118" s="5" t="str">
        <x:v>Beans &amp; Plantain</x:v>
      </x:c>
      <x:c r="F1118" s="5" t="str">
        <x:v>Traditional Meals</x:v>
      </x:c>
      <x:c r="G1118" s="44" t="n">
        <x:v>1</x:v>
      </x:c>
      <x:c r="H1118" s="45" t="n">
        <x:v>2000</x:v>
      </x:c>
      <x:c r="I1118" s="46" t="n">
        <x:v>0</x:v>
      </x:c>
      <x:c r="J1118" s="47" t="n">
        <x:f>G1118*H1118*(1-I1118)</x:f>
        <x:v>2000</x:v>
      </x:c>
      <x:c r="K1118" s="47" t="n">
        <x:v>960</x:v>
      </x:c>
      <x:c r="L1118" s="47" t="n">
        <x:f>G1118*K1118</x:f>
        <x:v>960</x:v>
      </x:c>
      <x:c r="M1118" s="47" t="n">
        <x:f>J1118-L1118</x:f>
        <x:v>1040</x:v>
      </x:c>
      <x:c r="N1118" s="5" t="str">
        <x:v>Walk-in</x:v>
      </x:c>
      <x:c r="O1118" s="5" t="str">
        <x:v>Transfer</x:v>
      </x:c>
      <x:c r="P1118" s="5" t="str">
        <x:v>Lunch</x:v>
      </x:c>
      <x:c r="Q1118" s="48" t="n">
        <x:v>12</x:v>
      </x:c>
      <x:c r="R1118" s="5" t="n">
        <x:v>4</x:v>
      </x:c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5" t="str">
        <x:v>ORD-00876</x:v>
      </x:c>
      <x:c r="B1119" s="43" t="n">
        <x:v>46168</x:v>
      </x:c>
      <x:c r="C1119" s="5" t="str">
        <x:v>CUST-0475</x:v>
      </x:c>
      <x:c r="D1119" s="5" t="str">
        <x:v>FD001</x:v>
      </x:c>
      <x:c r="E1119" s="5" t="str">
        <x:v>White Rice &amp; Stew</x:v>
      </x:c>
      <x:c r="F1119" s="5" t="str">
        <x:v>Rice Meals</x:v>
      </x:c>
      <x:c r="G1119" s="44" t="n">
        <x:v>3</x:v>
      </x:c>
      <x:c r="H1119" s="45" t="n">
        <x:v>1800</x:v>
      </x:c>
      <x:c r="I1119" s="46" t="n">
        <x:v>0</x:v>
      </x:c>
      <x:c r="J1119" s="47" t="n">
        <x:f>G1119*H1119*(1-I1119)</x:f>
        <x:v>5400</x:v>
      </x:c>
      <x:c r="K1119" s="47" t="n">
        <x:v>820</x:v>
      </x:c>
      <x:c r="L1119" s="47" t="n">
        <x:f>G1119*K1119</x:f>
        <x:v>2460</x:v>
      </x:c>
      <x:c r="M1119" s="47" t="n">
        <x:f>J1119-L1119</x:f>
        <x:v>2940</x:v>
      </x:c>
      <x:c r="N1119" s="5" t="str">
        <x:v>Walk-in</x:v>
      </x:c>
      <x:c r="O1119" s="5" t="str">
        <x:v>Cash</x:v>
      </x:c>
      <x:c r="P1119" s="5" t="str">
        <x:v>Lunch</x:v>
      </x:c>
      <x:c r="Q1119" s="48" t="n">
        <x:v>14</x:v>
      </x:c>
      <x:c r="R1119" s="5" t="n">
        <x:v>4</x:v>
      </x:c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5" t="str">
        <x:v>ORD-00996</x:v>
      </x:c>
      <x:c r="B1120" s="43" t="n">
        <x:v>46168</x:v>
      </x:c>
      <x:c r="C1120" s="5" t="str">
        <x:v>CUST-0550</x:v>
      </x:c>
      <x:c r="D1120" s="5" t="str">
        <x:v>FD010</x:v>
      </x:c>
      <x:c r="E1120" s="5" t="str">
        <x:v>Soft Drink</x:v>
      </x:c>
      <x:c r="F1120" s="5" t="str">
        <x:v>Beverages</x:v>
      </x:c>
      <x:c r="G1120" s="44" t="n">
        <x:v>1</x:v>
      </x:c>
      <x:c r="H1120" s="45" t="n">
        <x:v>600</x:v>
      </x:c>
      <x:c r="I1120" s="46" t="n">
        <x:v>0.05</x:v>
      </x:c>
      <x:c r="J1120" s="47" t="n">
        <x:f>G1120*H1120*(1-I1120)</x:f>
        <x:v>570</x:v>
      </x:c>
      <x:c r="K1120" s="47" t="n">
        <x:v>280</x:v>
      </x:c>
      <x:c r="L1120" s="47" t="n">
        <x:f>G1120*K1120</x:f>
        <x:v>280</x:v>
      </x:c>
      <x:c r="M1120" s="47" t="n">
        <x:f>J1120-L1120</x:f>
        <x:v>290</x:v>
      </x:c>
      <x:c r="N1120" s="5" t="str">
        <x:v>Walk-in</x:v>
      </x:c>
      <x:c r="O1120" s="5" t="str">
        <x:v>Transfer</x:v>
      </x:c>
      <x:c r="P1120" s="5" t="str">
        <x:v>Lunch</x:v>
      </x:c>
      <x:c r="Q1120" s="48" t="n">
        <x:v>13</x:v>
      </x:c>
      <x:c r="R1120" s="5" t="n">
        <x:v>3</x:v>
      </x:c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5" t="str">
        <x:v>ORD-01222</x:v>
      </x:c>
      <x:c r="B1121" s="43" t="n">
        <x:v>46168</x:v>
      </x:c>
      <x:c r="C1121" s="5" t="str">
        <x:v>CUST-0431</x:v>
      </x:c>
      <x:c r="D1121" s="5" t="str">
        <x:v>FD006</x:v>
      </x:c>
      <x:c r="E1121" s="5" t="str">
        <x:v>Eba &amp; Egusi Soup</x:v>
      </x:c>
      <x:c r="F1121" s="5" t="str">
        <x:v>Swallow</x:v>
      </x:c>
      <x:c r="G1121" s="44" t="n">
        <x:v>4</x:v>
      </x:c>
      <x:c r="H1121" s="45" t="n">
        <x:v>2600</x:v>
      </x:c>
      <x:c r="I1121" s="46" t="n">
        <x:v>0</x:v>
      </x:c>
      <x:c r="J1121" s="47" t="n">
        <x:f>G1121*H1121*(1-I1121)</x:f>
        <x:v>10400</x:v>
      </x:c>
      <x:c r="K1121" s="47" t="n">
        <x:v>1320</x:v>
      </x:c>
      <x:c r="L1121" s="47" t="n">
        <x:f>G1121*K1121</x:f>
        <x:v>5280</x:v>
      </x:c>
      <x:c r="M1121" s="47" t="n">
        <x:f>J1121-L1121</x:f>
        <x:v>5120</x:v>
      </x:c>
      <x:c r="N1121" s="5" t="str">
        <x:v>Walk-in</x:v>
      </x:c>
      <x:c r="O1121" s="5" t="str">
        <x:v>Transfer</x:v>
      </x:c>
      <x:c r="P1121" s="5" t="str">
        <x:v>Lunch</x:v>
      </x:c>
      <x:c r="Q1121" s="48" t="n">
        <x:v>12</x:v>
      </x:c>
      <x:c r="R1121" s="5" t="n">
        <x:v>5</x:v>
      </x:c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5" t="str">
        <x:v>ORD-01291</x:v>
      </x:c>
      <x:c r="B1122" s="43" t="n">
        <x:v>46168</x:v>
      </x:c>
      <x:c r="C1122" s="5" t="str">
        <x:v>CUST-0272</x:v>
      </x:c>
      <x:c r="D1122" s="5" t="str">
        <x:v>FD010</x:v>
      </x:c>
      <x:c r="E1122" s="5" t="str">
        <x:v>Soft Drink</x:v>
      </x:c>
      <x:c r="F1122" s="5" t="str">
        <x:v>Beverages</x:v>
      </x:c>
      <x:c r="G1122" s="44" t="n">
        <x:v>3</x:v>
      </x:c>
      <x:c r="H1122" s="45" t="n">
        <x:v>600</x:v>
      </x:c>
      <x:c r="I1122" s="46" t="n">
        <x:v>0</x:v>
      </x:c>
      <x:c r="J1122" s="47" t="n">
        <x:f>G1122*H1122*(1-I1122)</x:f>
        <x:v>1800</x:v>
      </x:c>
      <x:c r="K1122" s="47" t="n">
        <x:v>280</x:v>
      </x:c>
      <x:c r="L1122" s="47" t="n">
        <x:f>G1122*K1122</x:f>
        <x:v>840</x:v>
      </x:c>
      <x:c r="M1122" s="47" t="n">
        <x:f>J1122-L1122</x:f>
        <x:v>960</x:v>
      </x:c>
      <x:c r="N1122" s="5" t="str">
        <x:v>Walk-in</x:v>
      </x:c>
      <x:c r="O1122" s="5" t="str">
        <x:v>POS</x:v>
      </x:c>
      <x:c r="P1122" s="5" t="str">
        <x:v>Breakfast</x:v>
      </x:c>
      <x:c r="Q1122" s="48" t="n">
        <x:v>8</x:v>
      </x:c>
      <x:c r="R1122" s="5" t="n">
        <x:v>3</x:v>
      </x:c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5" t="str">
        <x:v>ORD-01492</x:v>
      </x:c>
      <x:c r="B1123" s="43" t="n">
        <x:v>46168</x:v>
      </x:c>
      <x:c r="C1123" s="5" t="str">
        <x:v>CUST-0156</x:v>
      </x:c>
      <x:c r="D1123" s="5" t="str">
        <x:v>FD008</x:v>
      </x:c>
      <x:c r="E1123" s="5" t="str">
        <x:v>Pounded Yam &amp; Vegetable Soup</x:v>
      </x:c>
      <x:c r="F1123" s="5" t="str">
        <x:v>Swallow</x:v>
      </x:c>
      <x:c r="G1123" s="44" t="n">
        <x:v>2</x:v>
      </x:c>
      <x:c r="H1123" s="45" t="n">
        <x:v>3200</x:v>
      </x:c>
      <x:c r="I1123" s="46" t="n">
        <x:v>0</x:v>
      </x:c>
      <x:c r="J1123" s="47" t="n">
        <x:f>G1123*H1123*(1-I1123)</x:f>
        <x:v>6400</x:v>
      </x:c>
      <x:c r="K1123" s="47" t="n">
        <x:v>1710</x:v>
      </x:c>
      <x:c r="L1123" s="47" t="n">
        <x:f>G1123*K1123</x:f>
        <x:v>3420</x:v>
      </x:c>
      <x:c r="M1123" s="47" t="n">
        <x:f>J1123-L1123</x:f>
        <x:v>2980</x:v>
      </x:c>
      <x:c r="N1123" s="5" t="str">
        <x:v>Takeaway</x:v>
      </x:c>
      <x:c r="O1123" s="5" t="str">
        <x:v>POS</x:v>
      </x:c>
      <x:c r="P1123" s="5" t="str">
        <x:v>Lunch</x:v>
      </x:c>
      <x:c r="Q1123" s="48" t="n">
        <x:v>12</x:v>
      </x:c>
      <x:c r="R1123" s="5" t="n">
        <x:v>5</x:v>
      </x:c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5" t="str">
        <x:v>ORD-01545</x:v>
      </x:c>
      <x:c r="B1124" s="43" t="n">
        <x:v>46168</x:v>
      </x:c>
      <x:c r="C1124" s="5" t="str">
        <x:v>CUST-0589</x:v>
      </x:c>
      <x:c r="D1124" s="5" t="str">
        <x:v>FD002</x:v>
      </x:c>
      <x:c r="E1124" s="5" t="str">
        <x:v>Jollof Rice &amp; Chicken</x:v>
      </x:c>
      <x:c r="F1124" s="5" t="str">
        <x:v>Rice Meals</x:v>
      </x:c>
      <x:c r="G1124" s="44" t="n">
        <x:v>3</x:v>
      </x:c>
      <x:c r="H1124" s="45" t="n">
        <x:v>2800</x:v>
      </x:c>
      <x:c r="I1124" s="46" t="n">
        <x:v>0</x:v>
      </x:c>
      <x:c r="J1124" s="47" t="n">
        <x:f>G1124*H1124*(1-I1124)</x:f>
        <x:v>8400</x:v>
      </x:c>
      <x:c r="K1124" s="47" t="n">
        <x:v>1450</x:v>
      </x:c>
      <x:c r="L1124" s="47" t="n">
        <x:f>G1124*K1124</x:f>
        <x:v>4350</x:v>
      </x:c>
      <x:c r="M1124" s="47" t="n">
        <x:f>J1124-L1124</x:f>
        <x:v>4050</x:v>
      </x:c>
      <x:c r="N1124" s="5" t="str">
        <x:v>Walk-in</x:v>
      </x:c>
      <x:c r="O1124" s="5" t="str">
        <x:v>Cash</x:v>
      </x:c>
      <x:c r="P1124" s="5" t="str">
        <x:v>Dinner</x:v>
      </x:c>
      <x:c r="Q1124" s="48" t="n">
        <x:v>20</x:v>
      </x:c>
      <x:c r="R1124" s="5" t="n">
        <x:v>4</x:v>
      </x:c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5" t="str">
        <x:v>ORD-01681</x:v>
      </x:c>
      <x:c r="B1125" s="43" t="n">
        <x:v>46168</x:v>
      </x:c>
      <x:c r="C1125" s="5" t="str">
        <x:v>CUST-0053</x:v>
      </x:c>
      <x:c r="D1125" s="5" t="str">
        <x:v>FD005</x:v>
      </x:c>
      <x:c r="E1125" s="5" t="str">
        <x:v>Yam Porridge</x:v>
      </x:c>
      <x:c r="F1125" s="5" t="str">
        <x:v>Traditional Meals</x:v>
      </x:c>
      <x:c r="G1125" s="44" t="n">
        <x:v>4</x:v>
      </x:c>
      <x:c r="H1125" s="45" t="n">
        <x:v>2200</x:v>
      </x:c>
      <x:c r="I1125" s="46" t="n">
        <x:v>0</x:v>
      </x:c>
      <x:c r="J1125" s="47" t="n">
        <x:f>G1125*H1125*(1-I1125)</x:f>
        <x:v>8800</x:v>
      </x:c>
      <x:c r="K1125" s="47" t="n">
        <x:v>1050</x:v>
      </x:c>
      <x:c r="L1125" s="47" t="n">
        <x:f>G1125*K1125</x:f>
        <x:v>4200</x:v>
      </x:c>
      <x:c r="M1125" s="47" t="n">
        <x:f>J1125-L1125</x:f>
        <x:v>4600</x:v>
      </x:c>
      <x:c r="N1125" s="5" t="str">
        <x:v>Delivery</x:v>
      </x:c>
      <x:c r="O1125" s="5" t="str">
        <x:v>Transfer</x:v>
      </x:c>
      <x:c r="P1125" s="5" t="str">
        <x:v>Lunch</x:v>
      </x:c>
      <x:c r="Q1125" s="48" t="n">
        <x:v>13</x:v>
      </x:c>
      <x:c r="R1125" s="5" t="n">
        <x:v>4</x:v>
      </x:c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5" t="str">
        <x:v>ORD-01780</x:v>
      </x:c>
      <x:c r="B1126" s="43" t="n">
        <x:v>46168</x:v>
      </x:c>
      <x:c r="C1126" s="5" t="str">
        <x:v>CUST-0216</x:v>
      </x:c>
      <x:c r="D1126" s="5" t="str">
        <x:v>FD011</x:v>
      </x:c>
      <x:c r="E1126" s="5" t="str">
        <x:v>Bottled Water</x:v>
      </x:c>
      <x:c r="F1126" s="5" t="str">
        <x:v>Beverages</x:v>
      </x:c>
      <x:c r="G1126" s="44" t="n">
        <x:v>1</x:v>
      </x:c>
      <x:c r="H1126" s="45" t="n">
        <x:v>300</x:v>
      </x:c>
      <x:c r="I1126" s="46" t="n">
        <x:v>0</x:v>
      </x:c>
      <x:c r="J1126" s="47" t="n">
        <x:f>G1126*H1126*(1-I1126)</x:f>
        <x:v>300</x:v>
      </x:c>
      <x:c r="K1126" s="47" t="n">
        <x:v>120</x:v>
      </x:c>
      <x:c r="L1126" s="47" t="n">
        <x:f>G1126*K1126</x:f>
        <x:v>120</x:v>
      </x:c>
      <x:c r="M1126" s="47" t="n">
        <x:f>J1126-L1126</x:f>
        <x:v>180</x:v>
      </x:c>
      <x:c r="N1126" s="5" t="str">
        <x:v>Walk-in</x:v>
      </x:c>
      <x:c r="O1126" s="5" t="str">
        <x:v>Transfer</x:v>
      </x:c>
      <x:c r="P1126" s="5" t="str">
        <x:v>Lunch</x:v>
      </x:c>
      <x:c r="Q1126" s="48" t="n">
        <x:v>13</x:v>
      </x:c>
      <x:c r="R1126" s="5" t="n">
        <x:v>3</x:v>
      </x:c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5" t="str">
        <x:v>ORD-00053</x:v>
      </x:c>
      <x:c r="B1127" s="43" t="n">
        <x:v>46169</x:v>
      </x:c>
      <x:c r="C1127" s="5" t="str">
        <x:v>CUST-0304</x:v>
      </x:c>
      <x:c r="D1127" s="5" t="str">
        <x:v>FD010</x:v>
      </x:c>
      <x:c r="E1127" s="5" t="str">
        <x:v>Soft Drink</x:v>
      </x:c>
      <x:c r="F1127" s="5" t="str">
        <x:v>Beverages</x:v>
      </x:c>
      <x:c r="G1127" s="44" t="n">
        <x:v>1</x:v>
      </x:c>
      <x:c r="H1127" s="45" t="n">
        <x:v>600</x:v>
      </x:c>
      <x:c r="I1127" s="46" t="n">
        <x:v>0</x:v>
      </x:c>
      <x:c r="J1127" s="47" t="n">
        <x:f>G1127*H1127*(1-I1127)</x:f>
        <x:v>600</x:v>
      </x:c>
      <x:c r="K1127" s="47" t="n">
        <x:v>280</x:v>
      </x:c>
      <x:c r="L1127" s="47" t="n">
        <x:f>G1127*K1127</x:f>
        <x:v>280</x:v>
      </x:c>
      <x:c r="M1127" s="47" t="n">
        <x:f>J1127-L1127</x:f>
        <x:v>320</x:v>
      </x:c>
      <x:c r="N1127" s="5" t="str">
        <x:v>Walk-in</x:v>
      </x:c>
      <x:c r="O1127" s="5" t="str">
        <x:v>Transfer</x:v>
      </x:c>
      <x:c r="P1127" s="5" t="str">
        <x:v>Breakfast</x:v>
      </x:c>
      <x:c r="Q1127" s="48" t="n">
        <x:v>10</x:v>
      </x:c>
      <x:c r="R1127" s="5" t="n">
        <x:v>5</x:v>
      </x:c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5" t="str">
        <x:v>ORD-00068</x:v>
      </x:c>
      <x:c r="B1128" s="43" t="n">
        <x:v>46169</x:v>
      </x:c>
      <x:c r="C1128" s="5" t="str">
        <x:v>CUST-0330</x:v>
      </x:c>
      <x:c r="D1128" s="5" t="str">
        <x:v>FD003</x:v>
      </x:c>
      <x:c r="E1128" s="5" t="str">
        <x:v>Fried Rice &amp; Chicken</x:v>
      </x:c>
      <x:c r="F1128" s="5" t="str">
        <x:v>Rice Meals</x:v>
      </x:c>
      <x:c r="G1128" s="44" t="n">
        <x:v>2</x:v>
      </x:c>
      <x:c r="H1128" s="45" t="n">
        <x:v>3000</x:v>
      </x:c>
      <x:c r="I1128" s="46" t="n">
        <x:v>0.05</x:v>
      </x:c>
      <x:c r="J1128" s="47" t="n">
        <x:f>G1128*H1128*(1-I1128)</x:f>
        <x:v>5700</x:v>
      </x:c>
      <x:c r="K1128" s="47" t="n">
        <x:v>1580</x:v>
      </x:c>
      <x:c r="L1128" s="47" t="n">
        <x:f>G1128*K1128</x:f>
        <x:v>3160</x:v>
      </x:c>
      <x:c r="M1128" s="47" t="n">
        <x:f>J1128-L1128</x:f>
        <x:v>2540</x:v>
      </x:c>
      <x:c r="N1128" s="5" t="str">
        <x:v>Walk-in</x:v>
      </x:c>
      <x:c r="O1128" s="5" t="str">
        <x:v>POS</x:v>
      </x:c>
      <x:c r="P1128" s="5" t="str">
        <x:v>Lunch</x:v>
      </x:c>
      <x:c r="Q1128" s="48" t="n">
        <x:v>15</x:v>
      </x:c>
      <x:c r="R1128" s="5" t="n">
        <x:v>4</x:v>
      </x:c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5" t="str">
        <x:v>ORD-00232</x:v>
      </x:c>
      <x:c r="B1129" s="43" t="n">
        <x:v>46169</x:v>
      </x:c>
      <x:c r="C1129" s="5" t="str">
        <x:v>CUST-0087</x:v>
      </x:c>
      <x:c r="D1129" s="5" t="str">
        <x:v>FD012</x:v>
      </x:c>
      <x:c r="E1129" s="5" t="str">
        <x:v>Fried Plantain</x:v>
      </x:c>
      <x:c r="F1129" s="5" t="str">
        <x:v>Sides</x:v>
      </x:c>
      <x:c r="G1129" s="44" t="n">
        <x:v>4</x:v>
      </x:c>
      <x:c r="H1129" s="45" t="n">
        <x:v>700</x:v>
      </x:c>
      <x:c r="I1129" s="46" t="n">
        <x:v>0</x:v>
      </x:c>
      <x:c r="J1129" s="47" t="n">
        <x:f>G1129*H1129*(1-I1129)</x:f>
        <x:v>2800</x:v>
      </x:c>
      <x:c r="K1129" s="47" t="n">
        <x:v>300</x:v>
      </x:c>
      <x:c r="L1129" s="47" t="n">
        <x:f>G1129*K1129</x:f>
        <x:v>1200</x:v>
      </x:c>
      <x:c r="M1129" s="47" t="n">
        <x:f>J1129-L1129</x:f>
        <x:v>1600</x:v>
      </x:c>
      <x:c r="N1129" s="5" t="str">
        <x:v>Walk-in</x:v>
      </x:c>
      <x:c r="O1129" s="5" t="str">
        <x:v>Cash</x:v>
      </x:c>
      <x:c r="P1129" s="5" t="str">
        <x:v>Lunch</x:v>
      </x:c>
      <x:c r="Q1129" s="48" t="n">
        <x:v>15</x:v>
      </x:c>
      <x:c r="R1129" s="5" t="n">
        <x:v>4</x:v>
      </x:c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5" t="str">
        <x:v>ORD-00273</x:v>
      </x:c>
      <x:c r="B1130" s="43" t="n">
        <x:v>46169</x:v>
      </x:c>
      <x:c r="C1130" s="5" t="str">
        <x:v>CUST-0289</x:v>
      </x:c>
      <x:c r="D1130" s="5" t="str">
        <x:v>FD005</x:v>
      </x:c>
      <x:c r="E1130" s="5" t="str">
        <x:v>Yam Porridge</x:v>
      </x:c>
      <x:c r="F1130" s="5" t="str">
        <x:v>Traditional Meals</x:v>
      </x:c>
      <x:c r="G1130" s="44" t="n">
        <x:v>1</x:v>
      </x:c>
      <x:c r="H1130" s="45" t="n">
        <x:v>2200</x:v>
      </x:c>
      <x:c r="I1130" s="46" t="n">
        <x:v>0</x:v>
      </x:c>
      <x:c r="J1130" s="47" t="n">
        <x:f>G1130*H1130*(1-I1130)</x:f>
        <x:v>2200</x:v>
      </x:c>
      <x:c r="K1130" s="47" t="n">
        <x:v>1050</x:v>
      </x:c>
      <x:c r="L1130" s="47" t="n">
        <x:f>G1130*K1130</x:f>
        <x:v>1050</x:v>
      </x:c>
      <x:c r="M1130" s="47" t="n">
        <x:f>J1130-L1130</x:f>
        <x:v>1150</x:v>
      </x:c>
      <x:c r="N1130" s="5" t="str">
        <x:v>Delivery</x:v>
      </x:c>
      <x:c r="O1130" s="5" t="str">
        <x:v>Transfer</x:v>
      </x:c>
      <x:c r="P1130" s="5" t="str">
        <x:v>Lunch</x:v>
      </x:c>
      <x:c r="Q1130" s="48" t="n">
        <x:v>14</x:v>
      </x:c>
      <x:c r="R1130" s="5" t="n">
        <x:v>4</x:v>
      </x:c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5" t="str">
        <x:v>ORD-00319</x:v>
      </x:c>
      <x:c r="B1131" s="43" t="n">
        <x:v>46169</x:v>
      </x:c>
      <x:c r="C1131" s="5" t="str">
        <x:v>CUST-0507</x:v>
      </x:c>
      <x:c r="D1131" s="5" t="str">
        <x:v>FD001</x:v>
      </x:c>
      <x:c r="E1131" s="5" t="str">
        <x:v>White Rice &amp; Stew</x:v>
      </x:c>
      <x:c r="F1131" s="5" t="str">
        <x:v>Rice Meals</x:v>
      </x:c>
      <x:c r="G1131" s="44" t="n">
        <x:v>2</x:v>
      </x:c>
      <x:c r="H1131" s="45" t="n">
        <x:v>1800</x:v>
      </x:c>
      <x:c r="I1131" s="46" t="n">
        <x:v>0</x:v>
      </x:c>
      <x:c r="J1131" s="47" t="n">
        <x:f>G1131*H1131*(1-I1131)</x:f>
        <x:v>3600</x:v>
      </x:c>
      <x:c r="K1131" s="47" t="n">
        <x:v>820</x:v>
      </x:c>
      <x:c r="L1131" s="47" t="n">
        <x:f>G1131*K1131</x:f>
        <x:v>1640</x:v>
      </x:c>
      <x:c r="M1131" s="47" t="n">
        <x:f>J1131-L1131</x:f>
        <x:v>1960</x:v>
      </x:c>
      <x:c r="N1131" s="5" t="str">
        <x:v>Takeaway</x:v>
      </x:c>
      <x:c r="O1131" s="5" t="str">
        <x:v>Transfer</x:v>
      </x:c>
      <x:c r="P1131" s="5" t="str">
        <x:v>Lunch</x:v>
      </x:c>
      <x:c r="Q1131" s="48" t="n">
        <x:v>15</x:v>
      </x:c>
      <x:c r="R1131" s="5" t="n">
        <x:v>4</x:v>
      </x:c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5" t="str">
        <x:v>ORD-00521</x:v>
      </x:c>
      <x:c r="B1132" s="43" t="n">
        <x:v>46169</x:v>
      </x:c>
      <x:c r="C1132" s="5" t="str">
        <x:v>CUST-0226</x:v>
      </x:c>
      <x:c r="D1132" s="5" t="str">
        <x:v>FD002</x:v>
      </x:c>
      <x:c r="E1132" s="5" t="str">
        <x:v>Jollof Rice &amp; Chicken</x:v>
      </x:c>
      <x:c r="F1132" s="5" t="str">
        <x:v>Rice Meals</x:v>
      </x:c>
      <x:c r="G1132" s="44" t="n">
        <x:v>2</x:v>
      </x:c>
      <x:c r="H1132" s="45" t="n">
        <x:v>2800</x:v>
      </x:c>
      <x:c r="I1132" s="46" t="n">
        <x:v>0</x:v>
      </x:c>
      <x:c r="J1132" s="47" t="n">
        <x:f>G1132*H1132*(1-I1132)</x:f>
        <x:v>5600</x:v>
      </x:c>
      <x:c r="K1132" s="47" t="n">
        <x:v>1450</x:v>
      </x:c>
      <x:c r="L1132" s="47" t="n">
        <x:f>G1132*K1132</x:f>
        <x:v>2900</x:v>
      </x:c>
      <x:c r="M1132" s="47" t="n">
        <x:f>J1132-L1132</x:f>
        <x:v>2700</x:v>
      </x:c>
      <x:c r="N1132" s="5" t="str">
        <x:v>Walk-in</x:v>
      </x:c>
      <x:c r="O1132" s="5" t="str">
        <x:v>Cash</x:v>
      </x:c>
      <x:c r="P1132" s="5" t="str">
        <x:v>Breakfast</x:v>
      </x:c>
      <x:c r="Q1132" s="48" t="n">
        <x:v>10</x:v>
      </x:c>
      <x:c r="R1132" s="5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5" t="str">
        <x:v>ORD-00761</x:v>
      </x:c>
      <x:c r="B1133" s="43" t="n">
        <x:v>46169</x:v>
      </x:c>
      <x:c r="C1133" s="5" t="str">
        <x:v>CUST-0588</x:v>
      </x:c>
      <x:c r="D1133" s="5" t="str">
        <x:v>FD006</x:v>
      </x:c>
      <x:c r="E1133" s="5" t="str">
        <x:v>Eba &amp; Egusi Soup</x:v>
      </x:c>
      <x:c r="F1133" s="5" t="str">
        <x:v>Swallow</x:v>
      </x:c>
      <x:c r="G1133" s="44" t="n">
        <x:v>2</x:v>
      </x:c>
      <x:c r="H1133" s="45" t="n">
        <x:v>2600</x:v>
      </x:c>
      <x:c r="I1133" s="46" t="n">
        <x:v>0.05</x:v>
      </x:c>
      <x:c r="J1133" s="47" t="n">
        <x:f>G1133*H1133*(1-I1133)</x:f>
        <x:v>4940</x:v>
      </x:c>
      <x:c r="K1133" s="47" t="n">
        <x:v>1320</x:v>
      </x:c>
      <x:c r="L1133" s="47" t="n">
        <x:f>G1133*K1133</x:f>
        <x:v>2640</x:v>
      </x:c>
      <x:c r="M1133" s="47" t="n">
        <x:f>J1133-L1133</x:f>
        <x:v>2300</x:v>
      </x:c>
      <x:c r="N1133" s="5" t="str">
        <x:v>Takeaway</x:v>
      </x:c>
      <x:c r="O1133" s="5" t="str">
        <x:v>Cash</x:v>
      </x:c>
      <x:c r="P1133" s="5" t="str">
        <x:v>Breakfast</x:v>
      </x:c>
      <x:c r="Q1133" s="48" t="n">
        <x:v>8</x:v>
      </x:c>
      <x:c r="R1133" s="5" t="n">
        <x:v>4</x:v>
      </x:c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5" t="str">
        <x:v>ORD-00871</x:v>
      </x:c>
      <x:c r="B1134" s="43" t="n">
        <x:v>46169</x:v>
      </x:c>
      <x:c r="C1134" s="5" t="str">
        <x:v>CUST-0289</x:v>
      </x:c>
      <x:c r="D1134" s="5" t="str">
        <x:v>FD004</x:v>
      </x:c>
      <x:c r="E1134" s="5" t="str">
        <x:v>Beans &amp; Plantain</x:v>
      </x:c>
      <x:c r="F1134" s="5" t="str">
        <x:v>Traditional Meals</x:v>
      </x:c>
      <x:c r="G1134" s="44" t="n">
        <x:v>4</x:v>
      </x:c>
      <x:c r="H1134" s="45" t="n">
        <x:v>2000</x:v>
      </x:c>
      <x:c r="I1134" s="46" t="n">
        <x:v>0</x:v>
      </x:c>
      <x:c r="J1134" s="47" t="n">
        <x:f>G1134*H1134*(1-I1134)</x:f>
        <x:v>8000</x:v>
      </x:c>
      <x:c r="K1134" s="47" t="n">
        <x:v>960</x:v>
      </x:c>
      <x:c r="L1134" s="47" t="n">
        <x:f>G1134*K1134</x:f>
        <x:v>3840</x:v>
      </x:c>
      <x:c r="M1134" s="47" t="n">
        <x:f>J1134-L1134</x:f>
        <x:v>4160</x:v>
      </x:c>
      <x:c r="N1134" s="5" t="str">
        <x:v>Delivery</x:v>
      </x:c>
      <x:c r="O1134" s="5" t="str">
        <x:v>POS</x:v>
      </x:c>
      <x:c r="P1134" s="5" t="str">
        <x:v>Lunch</x:v>
      </x:c>
      <x:c r="Q1134" s="48" t="n">
        <x:v>13</x:v>
      </x:c>
      <x:c r="R1134" s="5" t="n">
        <x:v>5</x:v>
      </x:c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5" t="str">
        <x:v>ORD-00968</x:v>
      </x:c>
      <x:c r="B1135" s="43" t="n">
        <x:v>46169</x:v>
      </x:c>
      <x:c r="C1135" s="5" t="str">
        <x:v>CUST-0577</x:v>
      </x:c>
      <x:c r="D1135" s="5" t="str">
        <x:v>FD004</x:v>
      </x:c>
      <x:c r="E1135" s="5" t="str">
        <x:v>Beans &amp; Plantain</x:v>
      </x:c>
      <x:c r="F1135" s="5" t="str">
        <x:v>Traditional Meals</x:v>
      </x:c>
      <x:c r="G1135" s="44" t="n">
        <x:v>1</x:v>
      </x:c>
      <x:c r="H1135" s="45" t="n">
        <x:v>2000</x:v>
      </x:c>
      <x:c r="I1135" s="46" t="n">
        <x:v>0</x:v>
      </x:c>
      <x:c r="J1135" s="47" t="n">
        <x:f>G1135*H1135*(1-I1135)</x:f>
        <x:v>2000</x:v>
      </x:c>
      <x:c r="K1135" s="47" t="n">
        <x:v>960</x:v>
      </x:c>
      <x:c r="L1135" s="47" t="n">
        <x:f>G1135*K1135</x:f>
        <x:v>960</x:v>
      </x:c>
      <x:c r="M1135" s="47" t="n">
        <x:f>J1135-L1135</x:f>
        <x:v>1040</x:v>
      </x:c>
      <x:c r="N1135" s="5" t="str">
        <x:v>Takeaway</x:v>
      </x:c>
      <x:c r="O1135" s="5" t="str">
        <x:v>POS</x:v>
      </x:c>
      <x:c r="P1135" s="5" t="str">
        <x:v>Dinner</x:v>
      </x:c>
      <x:c r="Q1135" s="48" t="n">
        <x:v>17</x:v>
      </x:c>
      <x:c r="R1135" s="5" t="n">
        <x:v>4</x:v>
      </x:c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5" t="str">
        <x:v>ORD-01138</x:v>
      </x:c>
      <x:c r="B1136" s="43" t="n">
        <x:v>46169</x:v>
      </x:c>
      <x:c r="C1136" s="5" t="str">
        <x:v>CUST-0529</x:v>
      </x:c>
      <x:c r="D1136" s="5" t="str">
        <x:v>FD002</x:v>
      </x:c>
      <x:c r="E1136" s="5" t="str">
        <x:v>Jollof Rice &amp; Chicken</x:v>
      </x:c>
      <x:c r="F1136" s="5" t="str">
        <x:v>Rice Meals</x:v>
      </x:c>
      <x:c r="G1136" s="44" t="n">
        <x:v>1</x:v>
      </x:c>
      <x:c r="H1136" s="45" t="n">
        <x:v>2800</x:v>
      </x:c>
      <x:c r="I1136" s="46" t="n">
        <x:v>0.05</x:v>
      </x:c>
      <x:c r="J1136" s="47" t="n">
        <x:f>G1136*H1136*(1-I1136)</x:f>
        <x:v>2660</x:v>
      </x:c>
      <x:c r="K1136" s="47" t="n">
        <x:v>1450</x:v>
      </x:c>
      <x:c r="L1136" s="47" t="n">
        <x:f>G1136*K1136</x:f>
        <x:v>1450</x:v>
      </x:c>
      <x:c r="M1136" s="47" t="n">
        <x:f>J1136-L1136</x:f>
        <x:v>1210</x:v>
      </x:c>
      <x:c r="N1136" s="5" t="str">
        <x:v>Walk-in</x:v>
      </x:c>
      <x:c r="O1136" s="5" t="str">
        <x:v>POS</x:v>
      </x:c>
      <x:c r="P1136" s="5" t="str">
        <x:v>Breakfast</x:v>
      </x:c>
      <x:c r="Q1136" s="48" t="n">
        <x:v>9</x:v>
      </x:c>
      <x:c r="R1136" s="5" t="n">
        <x:v>5</x:v>
      </x:c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5" t="str">
        <x:v>ORD-01245</x:v>
      </x:c>
      <x:c r="B1137" s="43" t="n">
        <x:v>46169</x:v>
      </x:c>
      <x:c r="C1137" s="5" t="str">
        <x:v>CUST-0225</x:v>
      </x:c>
      <x:c r="D1137" s="5" t="str">
        <x:v>FD007</x:v>
      </x:c>
      <x:c r="E1137" s="5" t="str">
        <x:v>Amala &amp; Ewedu</x:v>
      </x:c>
      <x:c r="F1137" s="5" t="str">
        <x:v>Swallow</x:v>
      </x:c>
      <x:c r="G1137" s="44" t="n">
        <x:v>3</x:v>
      </x:c>
      <x:c r="H1137" s="45" t="n">
        <x:v>2500</x:v>
      </x:c>
      <x:c r="I1137" s="46" t="n">
        <x:v>0</x:v>
      </x:c>
      <x:c r="J1137" s="47" t="n">
        <x:f>G1137*H1137*(1-I1137)</x:f>
        <x:v>7500</x:v>
      </x:c>
      <x:c r="K1137" s="47" t="n">
        <x:v>1250</x:v>
      </x:c>
      <x:c r="L1137" s="47" t="n">
        <x:f>G1137*K1137</x:f>
        <x:v>3750</x:v>
      </x:c>
      <x:c r="M1137" s="47" t="n">
        <x:f>J1137-L1137</x:f>
        <x:v>3750</x:v>
      </x:c>
      <x:c r="N1137" s="5" t="str">
        <x:v>Takeaway</x:v>
      </x:c>
      <x:c r="O1137" s="5" t="str">
        <x:v>Transfer</x:v>
      </x:c>
      <x:c r="P1137" s="5" t="str">
        <x:v>Lunch</x:v>
      </x:c>
      <x:c r="Q1137" s="48" t="n">
        <x:v>14</x:v>
      </x:c>
      <x:c r="R1137" s="5" t="n">
        <x:v>4</x:v>
      </x:c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5" t="str">
        <x:v>ORD-01625</x:v>
      </x:c>
      <x:c r="B1138" s="43" t="n">
        <x:v>46169</x:v>
      </x:c>
      <x:c r="C1138" s="5" t="str">
        <x:v>CUST-0238</x:v>
      </x:c>
      <x:c r="D1138" s="5" t="str">
        <x:v>FD001</x:v>
      </x:c>
      <x:c r="E1138" s="5" t="str">
        <x:v>White Rice &amp; Stew</x:v>
      </x:c>
      <x:c r="F1138" s="5" t="str">
        <x:v>Rice Meals</x:v>
      </x:c>
      <x:c r="G1138" s="44" t="n">
        <x:v>4</x:v>
      </x:c>
      <x:c r="H1138" s="45" t="n">
        <x:v>1800</x:v>
      </x:c>
      <x:c r="I1138" s="46" t="n">
        <x:v>0</x:v>
      </x:c>
      <x:c r="J1138" s="47" t="n">
        <x:f>G1138*H1138*(1-I1138)</x:f>
        <x:v>7200</x:v>
      </x:c>
      <x:c r="K1138" s="47" t="n">
        <x:v>820</x:v>
      </x:c>
      <x:c r="L1138" s="47" t="n">
        <x:f>G1138*K1138</x:f>
        <x:v>3280</x:v>
      </x:c>
      <x:c r="M1138" s="47" t="n">
        <x:f>J1138-L1138</x:f>
        <x:v>3920</x:v>
      </x:c>
      <x:c r="N1138" s="5" t="str">
        <x:v>Takeaway</x:v>
      </x:c>
      <x:c r="O1138" s="5" t="str">
        <x:v>POS</x:v>
      </x:c>
      <x:c r="P1138" s="5" t="str">
        <x:v>Dinner</x:v>
      </x:c>
      <x:c r="Q1138" s="48" t="n">
        <x:v>20</x:v>
      </x:c>
      <x:c r="R1138" s="5" t="n">
        <x:v>4</x:v>
      </x:c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5" t="str">
        <x:v>ORD-00097</x:v>
      </x:c>
      <x:c r="B1139" s="43" t="n">
        <x:v>46170</x:v>
      </x:c>
      <x:c r="C1139" s="5" t="str">
        <x:v>CUST-0188</x:v>
      </x:c>
      <x:c r="D1139" s="5" t="str">
        <x:v>FD006</x:v>
      </x:c>
      <x:c r="E1139" s="5" t="str">
        <x:v>Eba &amp; Egusi Soup</x:v>
      </x:c>
      <x:c r="F1139" s="5" t="str">
        <x:v>Swallow</x:v>
      </x:c>
      <x:c r="G1139" s="44" t="n">
        <x:v>3</x:v>
      </x:c>
      <x:c r="H1139" s="45" t="n">
        <x:v>2600</x:v>
      </x:c>
      <x:c r="I1139" s="46" t="n">
        <x:v>0.1</x:v>
      </x:c>
      <x:c r="J1139" s="47" t="n">
        <x:f>G1139*H1139*(1-I1139)</x:f>
        <x:v>7020</x:v>
      </x:c>
      <x:c r="K1139" s="47" t="n">
        <x:v>1320</x:v>
      </x:c>
      <x:c r="L1139" s="47" t="n">
        <x:f>G1139*K1139</x:f>
        <x:v>3960</x:v>
      </x:c>
      <x:c r="M1139" s="47" t="n">
        <x:f>J1139-L1139</x:f>
        <x:v>3060</x:v>
      </x:c>
      <x:c r="N1139" s="5" t="str">
        <x:v>Walk-in</x:v>
      </x:c>
      <x:c r="O1139" s="5" t="str">
        <x:v>Transfer</x:v>
      </x:c>
      <x:c r="P1139" s="5" t="str">
        <x:v>Lunch</x:v>
      </x:c>
      <x:c r="Q1139" s="48" t="n">
        <x:v>15</x:v>
      </x:c>
      <x:c r="R1139" s="5" t="n">
        <x:v>4</x:v>
      </x:c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5" t="str">
        <x:v>ORD-00470</x:v>
      </x:c>
      <x:c r="B1140" s="43" t="n">
        <x:v>46170</x:v>
      </x:c>
      <x:c r="C1140" s="5" t="str">
        <x:v>CUST-0408</x:v>
      </x:c>
      <x:c r="D1140" s="5" t="str">
        <x:v>FD006</x:v>
      </x:c>
      <x:c r="E1140" s="5" t="str">
        <x:v>Eba &amp; Egusi Soup</x:v>
      </x:c>
      <x:c r="F1140" s="5" t="str">
        <x:v>Swallow</x:v>
      </x:c>
      <x:c r="G1140" s="44" t="n">
        <x:v>3</x:v>
      </x:c>
      <x:c r="H1140" s="45" t="n">
        <x:v>2600</x:v>
      </x:c>
      <x:c r="I1140" s="46" t="n">
        <x:v>0</x:v>
      </x:c>
      <x:c r="J1140" s="47" t="n">
        <x:f>G1140*H1140*(1-I1140)</x:f>
        <x:v>7800</x:v>
      </x:c>
      <x:c r="K1140" s="47" t="n">
        <x:v>1320</x:v>
      </x:c>
      <x:c r="L1140" s="47" t="n">
        <x:f>G1140*K1140</x:f>
        <x:v>3960</x:v>
      </x:c>
      <x:c r="M1140" s="47" t="n">
        <x:f>J1140-L1140</x:f>
        <x:v>3840</x:v>
      </x:c>
      <x:c r="N1140" s="5" t="str">
        <x:v>Delivery</x:v>
      </x:c>
      <x:c r="O1140" s="5" t="str">
        <x:v>Transfer</x:v>
      </x:c>
      <x:c r="P1140" s="5" t="str">
        <x:v>Breakfast</x:v>
      </x:c>
      <x:c r="Q1140" s="48" t="n">
        <x:v>10</x:v>
      </x:c>
      <x:c r="R1140" s="5" t="n">
        <x:v>4</x:v>
      </x:c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5" t="str">
        <x:v>ORD-00545</x:v>
      </x:c>
      <x:c r="B1141" s="43" t="n">
        <x:v>46170</x:v>
      </x:c>
      <x:c r="C1141" s="5" t="str">
        <x:v>CUST-0047</x:v>
      </x:c>
      <x:c r="D1141" s="5" t="str">
        <x:v>FD009</x:v>
      </x:c>
      <x:c r="E1141" s="5" t="str">
        <x:v>Moi Moi</x:v>
      </x:c>
      <x:c r="F1141" s="5" t="str">
        <x:v>Sides</x:v>
      </x:c>
      <x:c r="G1141" s="44" t="n">
        <x:v>1</x:v>
      </x:c>
      <x:c r="H1141" s="45" t="n">
        <x:v>900</x:v>
      </x:c>
      <x:c r="I1141" s="46" t="n">
        <x:v>0</x:v>
      </x:c>
      <x:c r="J1141" s="47" t="n">
        <x:f>G1141*H1141*(1-I1141)</x:f>
        <x:v>900</x:v>
      </x:c>
      <x:c r="K1141" s="47" t="n">
        <x:v>380</x:v>
      </x:c>
      <x:c r="L1141" s="47" t="n">
        <x:f>G1141*K1141</x:f>
        <x:v>380</x:v>
      </x:c>
      <x:c r="M1141" s="47" t="n">
        <x:f>J1141-L1141</x:f>
        <x:v>520</x:v>
      </x:c>
      <x:c r="N1141" s="5" t="str">
        <x:v>Walk-in</x:v>
      </x:c>
      <x:c r="O1141" s="5" t="str">
        <x:v>Transfer</x:v>
      </x:c>
      <x:c r="P1141" s="5" t="str">
        <x:v>Breakfast</x:v>
      </x:c>
      <x:c r="Q1141" s="48" t="n">
        <x:v>9</x:v>
      </x:c>
      <x:c r="R1141" s="5" t="n">
        <x:v>4</x:v>
      </x:c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5" t="str">
        <x:v>ORD-00675</x:v>
      </x:c>
      <x:c r="B1142" s="43" t="n">
        <x:v>46170</x:v>
      </x:c>
      <x:c r="C1142" s="5" t="str">
        <x:v>CUST-0196</x:v>
      </x:c>
      <x:c r="D1142" s="5" t="str">
        <x:v>FD003</x:v>
      </x:c>
      <x:c r="E1142" s="5" t="str">
        <x:v>Fried Rice &amp; Chicken</x:v>
      </x:c>
      <x:c r="F1142" s="5" t="str">
        <x:v>Rice Meals</x:v>
      </x:c>
      <x:c r="G1142" s="44" t="n">
        <x:v>3</x:v>
      </x:c>
      <x:c r="H1142" s="45" t="n">
        <x:v>3000</x:v>
      </x:c>
      <x:c r="I1142" s="46" t="n">
        <x:v>0</x:v>
      </x:c>
      <x:c r="J1142" s="47" t="n">
        <x:f>G1142*H1142*(1-I1142)</x:f>
        <x:v>9000</x:v>
      </x:c>
      <x:c r="K1142" s="47" t="n">
        <x:v>1580</x:v>
      </x:c>
      <x:c r="L1142" s="47" t="n">
        <x:f>G1142*K1142</x:f>
        <x:v>4740</x:v>
      </x:c>
      <x:c r="M1142" s="47" t="n">
        <x:f>J1142-L1142</x:f>
        <x:v>4260</x:v>
      </x:c>
      <x:c r="N1142" s="5" t="str">
        <x:v>Delivery</x:v>
      </x:c>
      <x:c r="O1142" s="5" t="str">
        <x:v>Cash</x:v>
      </x:c>
      <x:c r="P1142" s="5" t="str">
        <x:v>Dinner</x:v>
      </x:c>
      <x:c r="Q1142" s="48" t="n">
        <x:v>20</x:v>
      </x:c>
      <x:c r="R1142" s="5" t="n">
        <x:v>4</x:v>
      </x:c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5" t="str">
        <x:v>ORD-01414</x:v>
      </x:c>
      <x:c r="B1143" s="43" t="n">
        <x:v>46170</x:v>
      </x:c>
      <x:c r="C1143" s="5" t="str">
        <x:v>CUST-0211</x:v>
      </x:c>
      <x:c r="D1143" s="5" t="str">
        <x:v>FD004</x:v>
      </x:c>
      <x:c r="E1143" s="5" t="str">
        <x:v>Beans &amp; Plantain</x:v>
      </x:c>
      <x:c r="F1143" s="5" t="str">
        <x:v>Traditional Meals</x:v>
      </x:c>
      <x:c r="G1143" s="44" t="n">
        <x:v>1</x:v>
      </x:c>
      <x:c r="H1143" s="45" t="n">
        <x:v>2000</x:v>
      </x:c>
      <x:c r="I1143" s="46" t="n">
        <x:v>0</x:v>
      </x:c>
      <x:c r="J1143" s="47" t="n">
        <x:f>G1143*H1143*(1-I1143)</x:f>
        <x:v>2000</x:v>
      </x:c>
      <x:c r="K1143" s="47" t="n">
        <x:v>960</x:v>
      </x:c>
      <x:c r="L1143" s="47" t="n">
        <x:f>G1143*K1143</x:f>
        <x:v>960</x:v>
      </x:c>
      <x:c r="M1143" s="47" t="n">
        <x:f>J1143-L1143</x:f>
        <x:v>1040</x:v>
      </x:c>
      <x:c r="N1143" s="5" t="str">
        <x:v>Walk-in</x:v>
      </x:c>
      <x:c r="O1143" s="5" t="str">
        <x:v>Cash</x:v>
      </x:c>
      <x:c r="P1143" s="5" t="str">
        <x:v>Breakfast</x:v>
      </x:c>
      <x:c r="Q1143" s="48" t="n">
        <x:v>8</x:v>
      </x:c>
      <x:c r="R1143" s="5" t="n">
        <x:v>4</x:v>
      </x:c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5" t="str">
        <x:v>ORD-01606</x:v>
      </x:c>
      <x:c r="B1144" s="43" t="n">
        <x:v>46170</x:v>
      </x:c>
      <x:c r="C1144" s="5" t="str">
        <x:v>CUST-0235</x:v>
      </x:c>
      <x:c r="D1144" s="5" t="str">
        <x:v>FD004</x:v>
      </x:c>
      <x:c r="E1144" s="5" t="str">
        <x:v>Beans &amp; Plantain</x:v>
      </x:c>
      <x:c r="F1144" s="5" t="str">
        <x:v>Traditional Meals</x:v>
      </x:c>
      <x:c r="G1144" s="44" t="n">
        <x:v>2</x:v>
      </x:c>
      <x:c r="H1144" s="45" t="n">
        <x:v>2000</x:v>
      </x:c>
      <x:c r="I1144" s="46" t="n">
        <x:v>0</x:v>
      </x:c>
      <x:c r="J1144" s="47" t="n">
        <x:f>G1144*H1144*(1-I1144)</x:f>
        <x:v>4000</x:v>
      </x:c>
      <x:c r="K1144" s="47" t="n">
        <x:v>960</x:v>
      </x:c>
      <x:c r="L1144" s="47" t="n">
        <x:f>G1144*K1144</x:f>
        <x:v>1920</x:v>
      </x:c>
      <x:c r="M1144" s="47" t="n">
        <x:f>J1144-L1144</x:f>
        <x:v>2080</x:v>
      </x:c>
      <x:c r="N1144" s="5" t="str">
        <x:v>Takeaway</x:v>
      </x:c>
      <x:c r="O1144" s="5" t="str">
        <x:v>POS</x:v>
      </x:c>
      <x:c r="P1144" s="5" t="str">
        <x:v>Breakfast</x:v>
      </x:c>
      <x:c r="Q1144" s="48" t="n">
        <x:v>9</x:v>
      </x:c>
      <x:c r="R1144" s="5" t="n">
        <x:v>4</x:v>
      </x:c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5" t="str">
        <x:v>ORD-00078</x:v>
      </x:c>
      <x:c r="B1145" s="43" t="n">
        <x:v>46171</x:v>
      </x:c>
      <x:c r="C1145" s="5" t="str">
        <x:v>CUST-0247</x:v>
      </x:c>
      <x:c r="D1145" s="5" t="str">
        <x:v>FD012</x:v>
      </x:c>
      <x:c r="E1145" s="5" t="str">
        <x:v>Fried Plantain</x:v>
      </x:c>
      <x:c r="F1145" s="5" t="str">
        <x:v>Sides</x:v>
      </x:c>
      <x:c r="G1145" s="44" t="n">
        <x:v>3</x:v>
      </x:c>
      <x:c r="H1145" s="45" t="n">
        <x:v>700</x:v>
      </x:c>
      <x:c r="I1145" s="46" t="n">
        <x:v>0</x:v>
      </x:c>
      <x:c r="J1145" s="47" t="n">
        <x:f>G1145*H1145*(1-I1145)</x:f>
        <x:v>2100</x:v>
      </x:c>
      <x:c r="K1145" s="47" t="n">
        <x:v>300</x:v>
      </x:c>
      <x:c r="L1145" s="47" t="n">
        <x:f>G1145*K1145</x:f>
        <x:v>900</x:v>
      </x:c>
      <x:c r="M1145" s="47" t="n">
        <x:f>J1145-L1145</x:f>
        <x:v>1200</x:v>
      </x:c>
      <x:c r="N1145" s="5" t="str">
        <x:v>Walk-in</x:v>
      </x:c>
      <x:c r="O1145" s="5" t="str">
        <x:v>Transfer</x:v>
      </x:c>
      <x:c r="P1145" s="5" t="str">
        <x:v>Lunch</x:v>
      </x:c>
      <x:c r="Q1145" s="48" t="n">
        <x:v>14</x:v>
      </x:c>
      <x:c r="R1145" s="5" t="n">
        <x:v>5</x:v>
      </x:c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5" t="str">
        <x:v>ORD-00399</x:v>
      </x:c>
      <x:c r="B1146" s="43" t="n">
        <x:v>46171</x:v>
      </x:c>
      <x:c r="C1146" s="5" t="str">
        <x:v>CUST-0490</x:v>
      </x:c>
      <x:c r="D1146" s="5" t="str">
        <x:v>FD005</x:v>
      </x:c>
      <x:c r="E1146" s="5" t="str">
        <x:v>Yam Porridge</x:v>
      </x:c>
      <x:c r="F1146" s="5" t="str">
        <x:v>Traditional Meals</x:v>
      </x:c>
      <x:c r="G1146" s="44" t="n">
        <x:v>2</x:v>
      </x:c>
      <x:c r="H1146" s="45" t="n">
        <x:v>2200</x:v>
      </x:c>
      <x:c r="I1146" s="46" t="n">
        <x:v>0</x:v>
      </x:c>
      <x:c r="J1146" s="47" t="n">
        <x:f>G1146*H1146*(1-I1146)</x:f>
        <x:v>4400</x:v>
      </x:c>
      <x:c r="K1146" s="47" t="n">
        <x:v>1050</x:v>
      </x:c>
      <x:c r="L1146" s="47" t="n">
        <x:f>G1146*K1146</x:f>
        <x:v>2100</x:v>
      </x:c>
      <x:c r="M1146" s="47" t="n">
        <x:f>J1146-L1146</x:f>
        <x:v>2300</x:v>
      </x:c>
      <x:c r="N1146" s="5" t="str">
        <x:v>Takeaway</x:v>
      </x:c>
      <x:c r="O1146" s="5" t="str">
        <x:v>POS</x:v>
      </x:c>
      <x:c r="P1146" s="5" t="str">
        <x:v>Lunch</x:v>
      </x:c>
      <x:c r="Q1146" s="48" t="n">
        <x:v>15</x:v>
      </x:c>
      <x:c r="R1146" s="5" t="n">
        <x:v>3</x:v>
      </x:c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5" t="str">
        <x:v>ORD-00596</x:v>
      </x:c>
      <x:c r="B1147" s="43" t="n">
        <x:v>46171</x:v>
      </x:c>
      <x:c r="C1147" s="5" t="str">
        <x:v>CUST-0373</x:v>
      </x:c>
      <x:c r="D1147" s="5" t="str">
        <x:v>FD010</x:v>
      </x:c>
      <x:c r="E1147" s="5" t="str">
        <x:v>Soft Drink</x:v>
      </x:c>
      <x:c r="F1147" s="5" t="str">
        <x:v>Beverages</x:v>
      </x:c>
      <x:c r="G1147" s="44" t="n">
        <x:v>2</x:v>
      </x:c>
      <x:c r="H1147" s="45" t="n">
        <x:v>600</x:v>
      </x:c>
      <x:c r="I1147" s="46" t="n">
        <x:v>0</x:v>
      </x:c>
      <x:c r="J1147" s="47" t="n">
        <x:f>G1147*H1147*(1-I1147)</x:f>
        <x:v>1200</x:v>
      </x:c>
      <x:c r="K1147" s="47" t="n">
        <x:v>280</x:v>
      </x:c>
      <x:c r="L1147" s="47" t="n">
        <x:f>G1147*K1147</x:f>
        <x:v>560</x:v>
      </x:c>
      <x:c r="M1147" s="47" t="n">
        <x:f>J1147-L1147</x:f>
        <x:v>640</x:v>
      </x:c>
      <x:c r="N1147" s="5" t="str">
        <x:v>Walk-in</x:v>
      </x:c>
      <x:c r="O1147" s="5" t="str">
        <x:v>Transfer</x:v>
      </x:c>
      <x:c r="P1147" s="5" t="str">
        <x:v>Lunch</x:v>
      </x:c>
      <x:c r="Q1147" s="48" t="n">
        <x:v>13</x:v>
      </x:c>
      <x:c r="R1147" s="5" t="n">
        <x:v>5</x:v>
      </x:c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5" t="str">
        <x:v>ORD-00605</x:v>
      </x:c>
      <x:c r="B1148" s="43" t="n">
        <x:v>46171</x:v>
      </x:c>
      <x:c r="C1148" s="5" t="str">
        <x:v>CUST-0338</x:v>
      </x:c>
      <x:c r="D1148" s="5" t="str">
        <x:v>FD003</x:v>
      </x:c>
      <x:c r="E1148" s="5" t="str">
        <x:v>Fried Rice &amp; Chicken</x:v>
      </x:c>
      <x:c r="F1148" s="5" t="str">
        <x:v>Rice Meals</x:v>
      </x:c>
      <x:c r="G1148" s="44" t="n">
        <x:v>3</x:v>
      </x:c>
      <x:c r="H1148" s="45" t="n">
        <x:v>3000</x:v>
      </x:c>
      <x:c r="I1148" s="46" t="n">
        <x:v>0</x:v>
      </x:c>
      <x:c r="J1148" s="47" t="n">
        <x:f>G1148*H1148*(1-I1148)</x:f>
        <x:v>9000</x:v>
      </x:c>
      <x:c r="K1148" s="47" t="n">
        <x:v>1580</x:v>
      </x:c>
      <x:c r="L1148" s="47" t="n">
        <x:f>G1148*K1148</x:f>
        <x:v>4740</x:v>
      </x:c>
      <x:c r="M1148" s="47" t="n">
        <x:f>J1148-L1148</x:f>
        <x:v>4260</x:v>
      </x:c>
      <x:c r="N1148" s="5" t="str">
        <x:v>Takeaway</x:v>
      </x:c>
      <x:c r="O1148" s="5" t="str">
        <x:v>Transfer</x:v>
      </x:c>
      <x:c r="P1148" s="5" t="str">
        <x:v>Lunch</x:v>
      </x:c>
      <x:c r="Q1148" s="48" t="n">
        <x:v>11</x:v>
      </x:c>
      <x:c r="R1148" s="5" t="n">
        <x:v>5</x:v>
      </x:c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5" t="str">
        <x:v>ORD-00950</x:v>
      </x:c>
      <x:c r="B1149" s="43" t="n">
        <x:v>46171</x:v>
      </x:c>
      <x:c r="C1149" s="5" t="str">
        <x:v>CUST-0478</x:v>
      </x:c>
      <x:c r="D1149" s="5" t="str">
        <x:v>FD005</x:v>
      </x:c>
      <x:c r="E1149" s="5" t="str">
        <x:v>Yam Porridge</x:v>
      </x:c>
      <x:c r="F1149" s="5" t="str">
        <x:v>Traditional Meals</x:v>
      </x:c>
      <x:c r="G1149" s="44" t="n">
        <x:v>3</x:v>
      </x:c>
      <x:c r="H1149" s="45" t="n">
        <x:v>2200</x:v>
      </x:c>
      <x:c r="I1149" s="46" t="n">
        <x:v>0.1</x:v>
      </x:c>
      <x:c r="J1149" s="47" t="n">
        <x:f>G1149*H1149*(1-I1149)</x:f>
        <x:v>5940</x:v>
      </x:c>
      <x:c r="K1149" s="47" t="n">
        <x:v>1050</x:v>
      </x:c>
      <x:c r="L1149" s="47" t="n">
        <x:f>G1149*K1149</x:f>
        <x:v>3150</x:v>
      </x:c>
      <x:c r="M1149" s="47" t="n">
        <x:f>J1149-L1149</x:f>
        <x:v>2790</x:v>
      </x:c>
      <x:c r="N1149" s="5" t="str">
        <x:v>Takeaway</x:v>
      </x:c>
      <x:c r="O1149" s="5" t="str">
        <x:v>Transfer</x:v>
      </x:c>
      <x:c r="P1149" s="5" t="str">
        <x:v>Dinner</x:v>
      </x:c>
      <x:c r="Q1149" s="48" t="n">
        <x:v>18</x:v>
      </x:c>
      <x:c r="R1149" s="5" t="n">
        <x:v>4</x:v>
      </x:c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5" t="str">
        <x:v>ORD-01534</x:v>
      </x:c>
      <x:c r="B1150" s="43" t="n">
        <x:v>46171</x:v>
      </x:c>
      <x:c r="C1150" s="5" t="str">
        <x:v>CUST-0494</x:v>
      </x:c>
      <x:c r="D1150" s="5" t="str">
        <x:v>FD004</x:v>
      </x:c>
      <x:c r="E1150" s="5" t="str">
        <x:v>Beans &amp; Plantain</x:v>
      </x:c>
      <x:c r="F1150" s="5" t="str">
        <x:v>Traditional Meals</x:v>
      </x:c>
      <x:c r="G1150" s="44" t="n">
        <x:v>3</x:v>
      </x:c>
      <x:c r="H1150" s="45" t="n">
        <x:v>2000</x:v>
      </x:c>
      <x:c r="I1150" s="46" t="n">
        <x:v>0.05</x:v>
      </x:c>
      <x:c r="J1150" s="47" t="n">
        <x:f>G1150*H1150*(1-I1150)</x:f>
        <x:v>5700</x:v>
      </x:c>
      <x:c r="K1150" s="47" t="n">
        <x:v>960</x:v>
      </x:c>
      <x:c r="L1150" s="47" t="n">
        <x:f>G1150*K1150</x:f>
        <x:v>2880</x:v>
      </x:c>
      <x:c r="M1150" s="47" t="n">
        <x:f>J1150-L1150</x:f>
        <x:v>2820</x:v>
      </x:c>
      <x:c r="N1150" s="5" t="str">
        <x:v>Walk-in</x:v>
      </x:c>
      <x:c r="O1150" s="5" t="str">
        <x:v>POS</x:v>
      </x:c>
      <x:c r="P1150" s="5" t="str">
        <x:v>Dinner</x:v>
      </x:c>
      <x:c r="Q1150" s="48" t="n">
        <x:v>19</x:v>
      </x:c>
      <x:c r="R1150" s="5" t="n">
        <x:v>5</x:v>
      </x:c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5" t="str">
        <x:v>ORD-01568</x:v>
      </x:c>
      <x:c r="B1151" s="43" t="n">
        <x:v>46171</x:v>
      </x:c>
      <x:c r="C1151" s="5" t="str">
        <x:v>CUST-0414</x:v>
      </x:c>
      <x:c r="D1151" s="5" t="str">
        <x:v>FD004</x:v>
      </x:c>
      <x:c r="E1151" s="5" t="str">
        <x:v>Beans &amp; Plantain</x:v>
      </x:c>
      <x:c r="F1151" s="5" t="str">
        <x:v>Traditional Meals</x:v>
      </x:c>
      <x:c r="G1151" s="44" t="n">
        <x:v>2</x:v>
      </x:c>
      <x:c r="H1151" s="45" t="n">
        <x:v>2000</x:v>
      </x:c>
      <x:c r="I1151" s="46" t="n">
        <x:v>0</x:v>
      </x:c>
      <x:c r="J1151" s="47" t="n">
        <x:f>G1151*H1151*(1-I1151)</x:f>
        <x:v>4000</x:v>
      </x:c>
      <x:c r="K1151" s="47" t="n">
        <x:v>960</x:v>
      </x:c>
      <x:c r="L1151" s="47" t="n">
        <x:f>G1151*K1151</x:f>
        <x:v>1920</x:v>
      </x:c>
      <x:c r="M1151" s="47" t="n">
        <x:f>J1151-L1151</x:f>
        <x:v>2080</x:v>
      </x:c>
      <x:c r="N1151" s="5" t="str">
        <x:v>Walk-in</x:v>
      </x:c>
      <x:c r="O1151" s="5" t="str">
        <x:v>Transfer</x:v>
      </x:c>
      <x:c r="P1151" s="5" t="str">
        <x:v>Lunch</x:v>
      </x:c>
      <x:c r="Q1151" s="48" t="n">
        <x:v>11</x:v>
      </x:c>
      <x:c r="R1151" s="5" t="n">
        <x:v>5</x:v>
      </x:c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5" t="str">
        <x:v>ORD-00238</x:v>
      </x:c>
      <x:c r="B1152" s="43" t="n">
        <x:v>46172</x:v>
      </x:c>
      <x:c r="C1152" s="5" t="str">
        <x:v>CUST-0610</x:v>
      </x:c>
      <x:c r="D1152" s="5" t="str">
        <x:v>FD003</x:v>
      </x:c>
      <x:c r="E1152" s="5" t="str">
        <x:v>Fried Rice &amp; Chicken</x:v>
      </x:c>
      <x:c r="F1152" s="5" t="str">
        <x:v>Rice Meals</x:v>
      </x:c>
      <x:c r="G1152" s="44" t="n">
        <x:v>2</x:v>
      </x:c>
      <x:c r="H1152" s="45" t="n">
        <x:v>3000</x:v>
      </x:c>
      <x:c r="I1152" s="46" t="n">
        <x:v>0</x:v>
      </x:c>
      <x:c r="J1152" s="47" t="n">
        <x:f>G1152*H1152*(1-I1152)</x:f>
        <x:v>6000</x:v>
      </x:c>
      <x:c r="K1152" s="47" t="n">
        <x:v>1580</x:v>
      </x:c>
      <x:c r="L1152" s="47" t="n">
        <x:f>G1152*K1152</x:f>
        <x:v>3160</x:v>
      </x:c>
      <x:c r="M1152" s="47" t="n">
        <x:f>J1152-L1152</x:f>
        <x:v>2840</x:v>
      </x:c>
      <x:c r="N1152" s="5" t="str">
        <x:v>Walk-in</x:v>
      </x:c>
      <x:c r="O1152" s="5" t="str">
        <x:v>POS</x:v>
      </x:c>
      <x:c r="P1152" s="5" t="str">
        <x:v>Breakfast</x:v>
      </x:c>
      <x:c r="Q1152" s="48" t="n">
        <x:v>8</x:v>
      </x:c>
      <x:c r="R1152" s="5" t="n">
        <x:v>4</x:v>
      </x:c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5" t="str">
        <x:v>ORD-00294</x:v>
      </x:c>
      <x:c r="B1153" s="43" t="n">
        <x:v>46172</x:v>
      </x:c>
      <x:c r="C1153" s="5" t="str">
        <x:v>CUST-0049</x:v>
      </x:c>
      <x:c r="D1153" s="5" t="str">
        <x:v>FD006</x:v>
      </x:c>
      <x:c r="E1153" s="5" t="str">
        <x:v>Eba &amp; Egusi Soup</x:v>
      </x:c>
      <x:c r="F1153" s="5" t="str">
        <x:v>Swallow</x:v>
      </x:c>
      <x:c r="G1153" s="44" t="n">
        <x:v>3</x:v>
      </x:c>
      <x:c r="H1153" s="45" t="n">
        <x:v>2600</x:v>
      </x:c>
      <x:c r="I1153" s="46" t="n">
        <x:v>0</x:v>
      </x:c>
      <x:c r="J1153" s="47" t="n">
        <x:f>G1153*H1153*(1-I1153)</x:f>
        <x:v>7800</x:v>
      </x:c>
      <x:c r="K1153" s="47" t="n">
        <x:v>1320</x:v>
      </x:c>
      <x:c r="L1153" s="47" t="n">
        <x:f>G1153*K1153</x:f>
        <x:v>3960</x:v>
      </x:c>
      <x:c r="M1153" s="47" t="n">
        <x:f>J1153-L1153</x:f>
        <x:v>3840</x:v>
      </x:c>
      <x:c r="N1153" s="5" t="str">
        <x:v>Delivery</x:v>
      </x:c>
      <x:c r="O1153" s="5" t="str">
        <x:v>Transfer</x:v>
      </x:c>
      <x:c r="P1153" s="5" t="str">
        <x:v>Dinner</x:v>
      </x:c>
      <x:c r="Q1153" s="48" t="n">
        <x:v>17</x:v>
      </x:c>
      <x:c r="R1153" s="5" t="n">
        <x:v>5</x:v>
      </x:c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5" t="str">
        <x:v>ORD-00304</x:v>
      </x:c>
      <x:c r="B1154" s="43" t="n">
        <x:v>46172</x:v>
      </x:c>
      <x:c r="C1154" s="5" t="str">
        <x:v>CUST-0132</x:v>
      </x:c>
      <x:c r="D1154" s="5" t="str">
        <x:v>FD001</x:v>
      </x:c>
      <x:c r="E1154" s="5" t="str">
        <x:v>White Rice &amp; Stew</x:v>
      </x:c>
      <x:c r="F1154" s="5" t="str">
        <x:v>Rice Meals</x:v>
      </x:c>
      <x:c r="G1154" s="44" t="n">
        <x:v>3</x:v>
      </x:c>
      <x:c r="H1154" s="45" t="n">
        <x:v>1800</x:v>
      </x:c>
      <x:c r="I1154" s="46" t="n">
        <x:v>0</x:v>
      </x:c>
      <x:c r="J1154" s="47" t="n">
        <x:f>G1154*H1154*(1-I1154)</x:f>
        <x:v>5400</x:v>
      </x:c>
      <x:c r="K1154" s="47" t="n">
        <x:v>820</x:v>
      </x:c>
      <x:c r="L1154" s="47" t="n">
        <x:f>G1154*K1154</x:f>
        <x:v>2460</x:v>
      </x:c>
      <x:c r="M1154" s="47" t="n">
        <x:f>J1154-L1154</x:f>
        <x:v>2940</x:v>
      </x:c>
      <x:c r="N1154" s="5" t="str">
        <x:v>Walk-in</x:v>
      </x:c>
      <x:c r="O1154" s="5" t="str">
        <x:v>Transfer</x:v>
      </x:c>
      <x:c r="P1154" s="5" t="str">
        <x:v>Lunch</x:v>
      </x:c>
      <x:c r="Q1154" s="48" t="n">
        <x:v>15</x:v>
      </x:c>
      <x:c r="R1154" s="5" t="n">
        <x:v>5</x:v>
      </x:c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5" t="str">
        <x:v>ORD-00402</x:v>
      </x:c>
      <x:c r="B1155" s="43" t="n">
        <x:v>46172</x:v>
      </x:c>
      <x:c r="C1155" s="5" t="str">
        <x:v>CUST-0198</x:v>
      </x:c>
      <x:c r="D1155" s="5" t="str">
        <x:v>FD002</x:v>
      </x:c>
      <x:c r="E1155" s="5" t="str">
        <x:v>Jollof Rice &amp; Chicken</x:v>
      </x:c>
      <x:c r="F1155" s="5" t="str">
        <x:v>Rice Meals</x:v>
      </x:c>
      <x:c r="G1155" s="44" t="n">
        <x:v>2</x:v>
      </x:c>
      <x:c r="H1155" s="45" t="n">
        <x:v>2800</x:v>
      </x:c>
      <x:c r="I1155" s="46" t="n">
        <x:v>0</x:v>
      </x:c>
      <x:c r="J1155" s="47" t="n">
        <x:f>G1155*H1155*(1-I1155)</x:f>
        <x:v>5600</x:v>
      </x:c>
      <x:c r="K1155" s="47" t="n">
        <x:v>1450</x:v>
      </x:c>
      <x:c r="L1155" s="47" t="n">
        <x:f>G1155*K1155</x:f>
        <x:v>2900</x:v>
      </x:c>
      <x:c r="M1155" s="47" t="n">
        <x:f>J1155-L1155</x:f>
        <x:v>2700</x:v>
      </x:c>
      <x:c r="N1155" s="5" t="str">
        <x:v>Walk-in</x:v>
      </x:c>
      <x:c r="O1155" s="5" t="str">
        <x:v>Transfer</x:v>
      </x:c>
      <x:c r="P1155" s="5" t="str">
        <x:v>Lunch</x:v>
      </x:c>
      <x:c r="Q1155" s="48" t="n">
        <x:v>15</x:v>
      </x:c>
      <x:c r="R1155" s="5" t="n">
        <x:v>4</x:v>
      </x:c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5" t="str">
        <x:v>ORD-00539</x:v>
      </x:c>
      <x:c r="B1156" s="43" t="n">
        <x:v>46172</x:v>
      </x:c>
      <x:c r="C1156" s="5" t="str">
        <x:v>CUST-0125</x:v>
      </x:c>
      <x:c r="D1156" s="5" t="str">
        <x:v>FD001</x:v>
      </x:c>
      <x:c r="E1156" s="5" t="str">
        <x:v>White Rice &amp; Stew</x:v>
      </x:c>
      <x:c r="F1156" s="5" t="str">
        <x:v>Rice Meals</x:v>
      </x:c>
      <x:c r="G1156" s="44" t="n">
        <x:v>1</x:v>
      </x:c>
      <x:c r="H1156" s="45" t="n">
        <x:v>1800</x:v>
      </x:c>
      <x:c r="I1156" s="46" t="n">
        <x:v>0</x:v>
      </x:c>
      <x:c r="J1156" s="47" t="n">
        <x:f>G1156*H1156*(1-I1156)</x:f>
        <x:v>1800</x:v>
      </x:c>
      <x:c r="K1156" s="47" t="n">
        <x:v>820</x:v>
      </x:c>
      <x:c r="L1156" s="47" t="n">
        <x:f>G1156*K1156</x:f>
        <x:v>820</x:v>
      </x:c>
      <x:c r="M1156" s="47" t="n">
        <x:f>J1156-L1156</x:f>
        <x:v>980</x:v>
      </x:c>
      <x:c r="N1156" s="5" t="str">
        <x:v>Delivery</x:v>
      </x:c>
      <x:c r="O1156" s="5" t="str">
        <x:v>Transfer</x:v>
      </x:c>
      <x:c r="P1156" s="5" t="str">
        <x:v>Lunch</x:v>
      </x:c>
      <x:c r="Q1156" s="48" t="n">
        <x:v>15</x:v>
      </x:c>
      <x:c r="R1156" s="5" t="n">
        <x:v>3</x:v>
      </x:c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5" t="str">
        <x:v>ORD-00617</x:v>
      </x:c>
      <x:c r="B1157" s="43" t="n">
        <x:v>46172</x:v>
      </x:c>
      <x:c r="C1157" s="5" t="str">
        <x:v>CUST-0333</x:v>
      </x:c>
      <x:c r="D1157" s="5" t="str">
        <x:v>FD001</x:v>
      </x:c>
      <x:c r="E1157" s="5" t="str">
        <x:v>White Rice &amp; Stew</x:v>
      </x:c>
      <x:c r="F1157" s="5" t="str">
        <x:v>Rice Meals</x:v>
      </x:c>
      <x:c r="G1157" s="44" t="n">
        <x:v>1</x:v>
      </x:c>
      <x:c r="H1157" s="45" t="n">
        <x:v>1800</x:v>
      </x:c>
      <x:c r="I1157" s="46" t="n">
        <x:v>0.1</x:v>
      </x:c>
      <x:c r="J1157" s="47" t="n">
        <x:f>G1157*H1157*(1-I1157)</x:f>
        <x:v>1620</x:v>
      </x:c>
      <x:c r="K1157" s="47" t="n">
        <x:v>820</x:v>
      </x:c>
      <x:c r="L1157" s="47" t="n">
        <x:f>G1157*K1157</x:f>
        <x:v>820</x:v>
      </x:c>
      <x:c r="M1157" s="47" t="n">
        <x:f>J1157-L1157</x:f>
        <x:v>800</x:v>
      </x:c>
      <x:c r="N1157" s="5" t="str">
        <x:v>Takeaway</x:v>
      </x:c>
      <x:c r="O1157" s="5" t="str">
        <x:v>Cash</x:v>
      </x:c>
      <x:c r="P1157" s="5" t="str">
        <x:v>Lunch</x:v>
      </x:c>
      <x:c r="Q1157" s="48" t="n">
        <x:v>11</x:v>
      </x:c>
      <x:c r="R1157" s="5" t="n">
        <x:v>5</x:v>
      </x:c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5" t="str">
        <x:v>ORD-00797</x:v>
      </x:c>
      <x:c r="B1158" s="43" t="n">
        <x:v>46172</x:v>
      </x:c>
      <x:c r="C1158" s="5" t="str">
        <x:v>CUST-0625</x:v>
      </x:c>
      <x:c r="D1158" s="5" t="str">
        <x:v>FD011</x:v>
      </x:c>
      <x:c r="E1158" s="5" t="str">
        <x:v>Bottled Water</x:v>
      </x:c>
      <x:c r="F1158" s="5" t="str">
        <x:v>Beverages</x:v>
      </x:c>
      <x:c r="G1158" s="44" t="n">
        <x:v>2</x:v>
      </x:c>
      <x:c r="H1158" s="45" t="n">
        <x:v>300</x:v>
      </x:c>
      <x:c r="I1158" s="46" t="n">
        <x:v>0</x:v>
      </x:c>
      <x:c r="J1158" s="47" t="n">
        <x:f>G1158*H1158*(1-I1158)</x:f>
        <x:v>600</x:v>
      </x:c>
      <x:c r="K1158" s="47" t="n">
        <x:v>120</x:v>
      </x:c>
      <x:c r="L1158" s="47" t="n">
        <x:f>G1158*K1158</x:f>
        <x:v>240</x:v>
      </x:c>
      <x:c r="M1158" s="47" t="n">
        <x:f>J1158-L1158</x:f>
        <x:v>360</x:v>
      </x:c>
      <x:c r="N1158" s="5" t="str">
        <x:v>Takeaway</x:v>
      </x:c>
      <x:c r="O1158" s="5" t="str">
        <x:v>Transfer</x:v>
      </x:c>
      <x:c r="P1158" s="5" t="str">
        <x:v>Lunch</x:v>
      </x:c>
      <x:c r="Q1158" s="48" t="n">
        <x:v>12</x:v>
      </x:c>
      <x:c r="R1158" s="5" t="n">
        <x:v>5</x:v>
      </x:c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5" t="str">
        <x:v>ORD-00839</x:v>
      </x:c>
      <x:c r="B1159" s="43" t="n">
        <x:v>46172</x:v>
      </x:c>
      <x:c r="C1159" s="5" t="str">
        <x:v>CUST-0035</x:v>
      </x:c>
      <x:c r="D1159" s="5" t="str">
        <x:v>FD003</x:v>
      </x:c>
      <x:c r="E1159" s="5" t="str">
        <x:v>Fried Rice &amp; Chicken</x:v>
      </x:c>
      <x:c r="F1159" s="5" t="str">
        <x:v>Rice Meals</x:v>
      </x:c>
      <x:c r="G1159" s="44" t="n">
        <x:v>1</x:v>
      </x:c>
      <x:c r="H1159" s="45" t="n">
        <x:v>3000</x:v>
      </x:c>
      <x:c r="I1159" s="46" t="n">
        <x:v>0.05</x:v>
      </x:c>
      <x:c r="J1159" s="47" t="n">
        <x:f>G1159*H1159*(1-I1159)</x:f>
        <x:v>2850</x:v>
      </x:c>
      <x:c r="K1159" s="47" t="n">
        <x:v>1580</x:v>
      </x:c>
      <x:c r="L1159" s="47" t="n">
        <x:f>G1159*K1159</x:f>
        <x:v>1580</x:v>
      </x:c>
      <x:c r="M1159" s="47" t="n">
        <x:f>J1159-L1159</x:f>
        <x:v>1270</x:v>
      </x:c>
      <x:c r="N1159" s="5" t="str">
        <x:v>Delivery</x:v>
      </x:c>
      <x:c r="O1159" s="5" t="str">
        <x:v>POS</x:v>
      </x:c>
      <x:c r="P1159" s="5" t="str">
        <x:v>Lunch</x:v>
      </x:c>
      <x:c r="Q1159" s="48" t="n">
        <x:v>12</x:v>
      </x:c>
      <x:c r="R1159" s="5" t="n">
        <x:v>5</x:v>
      </x:c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5" t="str">
        <x:v>ORD-01018</x:v>
      </x:c>
      <x:c r="B1160" s="43" t="n">
        <x:v>46172</x:v>
      </x:c>
      <x:c r="C1160" s="5" t="str">
        <x:v>CUST-0406</x:v>
      </x:c>
      <x:c r="D1160" s="5" t="str">
        <x:v>FD001</x:v>
      </x:c>
      <x:c r="E1160" s="5" t="str">
        <x:v>White Rice &amp; Stew</x:v>
      </x:c>
      <x:c r="F1160" s="5" t="str">
        <x:v>Rice Meals</x:v>
      </x:c>
      <x:c r="G1160" s="44" t="n">
        <x:v>4</x:v>
      </x:c>
      <x:c r="H1160" s="45" t="n">
        <x:v>1800</x:v>
      </x:c>
      <x:c r="I1160" s="46" t="n">
        <x:v>0</x:v>
      </x:c>
      <x:c r="J1160" s="47" t="n">
        <x:f>G1160*H1160*(1-I1160)</x:f>
        <x:v>7200</x:v>
      </x:c>
      <x:c r="K1160" s="47" t="n">
        <x:v>820</x:v>
      </x:c>
      <x:c r="L1160" s="47" t="n">
        <x:f>G1160*K1160</x:f>
        <x:v>3280</x:v>
      </x:c>
      <x:c r="M1160" s="47" t="n">
        <x:f>J1160-L1160</x:f>
        <x:v>3920</x:v>
      </x:c>
      <x:c r="N1160" s="5" t="str">
        <x:v>Walk-in</x:v>
      </x:c>
      <x:c r="O1160" s="5" t="str">
        <x:v>Cash</x:v>
      </x:c>
      <x:c r="P1160" s="5" t="str">
        <x:v>Dinner</x:v>
      </x:c>
      <x:c r="Q1160" s="48" t="n">
        <x:v>16</x:v>
      </x:c>
      <x:c r="R1160" s="5" t="n">
        <x:v>4</x:v>
      </x:c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5" t="str">
        <x:v>ORD-00063</x:v>
      </x:c>
      <x:c r="B1161" s="43" t="n">
        <x:v>46173</x:v>
      </x:c>
      <x:c r="C1161" s="5" t="str">
        <x:v>CUST-0391</x:v>
      </x:c>
      <x:c r="D1161" s="5" t="str">
        <x:v>FD006</x:v>
      </x:c>
      <x:c r="E1161" s="5" t="str">
        <x:v>Eba &amp; Egusi Soup</x:v>
      </x:c>
      <x:c r="F1161" s="5" t="str">
        <x:v>Swallow</x:v>
      </x:c>
      <x:c r="G1161" s="44" t="n">
        <x:v>2</x:v>
      </x:c>
      <x:c r="H1161" s="45" t="n">
        <x:v>2600</x:v>
      </x:c>
      <x:c r="I1161" s="46" t="n">
        <x:v>0</x:v>
      </x:c>
      <x:c r="J1161" s="47" t="n">
        <x:f>G1161*H1161*(1-I1161)</x:f>
        <x:v>5200</x:v>
      </x:c>
      <x:c r="K1161" s="47" t="n">
        <x:v>1320</x:v>
      </x:c>
      <x:c r="L1161" s="47" t="n">
        <x:f>G1161*K1161</x:f>
        <x:v>2640</x:v>
      </x:c>
      <x:c r="M1161" s="47" t="n">
        <x:f>J1161-L1161</x:f>
        <x:v>2560</x:v>
      </x:c>
      <x:c r="N1161" s="5" t="str">
        <x:v>Takeaway</x:v>
      </x:c>
      <x:c r="O1161" s="5" t="str">
        <x:v>POS</x:v>
      </x:c>
      <x:c r="P1161" s="5" t="str">
        <x:v>Lunch</x:v>
      </x:c>
      <x:c r="Q1161" s="48" t="n">
        <x:v>12</x:v>
      </x:c>
      <x:c r="R1161" s="5" t="n">
        <x:v>3</x:v>
      </x:c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5" t="str">
        <x:v>ORD-01385</x:v>
      </x:c>
      <x:c r="B1162" s="43" t="n">
        <x:v>46173</x:v>
      </x:c>
      <x:c r="C1162" s="5" t="str">
        <x:v>CUST-0509</x:v>
      </x:c>
      <x:c r="D1162" s="5" t="str">
        <x:v>FD002</x:v>
      </x:c>
      <x:c r="E1162" s="5" t="str">
        <x:v>Jollof Rice &amp; Chicken</x:v>
      </x:c>
      <x:c r="F1162" s="5" t="str">
        <x:v>Rice Meals</x:v>
      </x:c>
      <x:c r="G1162" s="44" t="n">
        <x:v>3</x:v>
      </x:c>
      <x:c r="H1162" s="45" t="n">
        <x:v>2800</x:v>
      </x:c>
      <x:c r="I1162" s="46" t="n">
        <x:v>0</x:v>
      </x:c>
      <x:c r="J1162" s="47" t="n">
        <x:f>G1162*H1162*(1-I1162)</x:f>
        <x:v>8400</x:v>
      </x:c>
      <x:c r="K1162" s="47" t="n">
        <x:v>1450</x:v>
      </x:c>
      <x:c r="L1162" s="47" t="n">
        <x:f>G1162*K1162</x:f>
        <x:v>4350</x:v>
      </x:c>
      <x:c r="M1162" s="47" t="n">
        <x:f>J1162-L1162</x:f>
        <x:v>4050</x:v>
      </x:c>
      <x:c r="N1162" s="5" t="str">
        <x:v>Takeaway</x:v>
      </x:c>
      <x:c r="O1162" s="5" t="str">
        <x:v>POS</x:v>
      </x:c>
      <x:c r="P1162" s="5" t="str">
        <x:v>Breakfast</x:v>
      </x:c>
      <x:c r="Q1162" s="48" t="n">
        <x:v>8</x:v>
      </x:c>
      <x:c r="R1162" s="5" t="n">
        <x:v>4</x:v>
      </x:c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5" t="str">
        <x:v>ORD-01455</x:v>
      </x:c>
      <x:c r="B1163" s="43" t="n">
        <x:v>46173</x:v>
      </x:c>
      <x:c r="C1163" s="5" t="str">
        <x:v>CUST-0280</x:v>
      </x:c>
      <x:c r="D1163" s="5" t="str">
        <x:v>FD007</x:v>
      </x:c>
      <x:c r="E1163" s="5" t="str">
        <x:v>Amala &amp; Ewedu</x:v>
      </x:c>
      <x:c r="F1163" s="5" t="str">
        <x:v>Swallow</x:v>
      </x:c>
      <x:c r="G1163" s="44" t="n">
        <x:v>3</x:v>
      </x:c>
      <x:c r="H1163" s="45" t="n">
        <x:v>2500</x:v>
      </x:c>
      <x:c r="I1163" s="46" t="n">
        <x:v>0</x:v>
      </x:c>
      <x:c r="J1163" s="47" t="n">
        <x:f>G1163*H1163*(1-I1163)</x:f>
        <x:v>7500</x:v>
      </x:c>
      <x:c r="K1163" s="47" t="n">
        <x:v>1250</x:v>
      </x:c>
      <x:c r="L1163" s="47" t="n">
        <x:f>G1163*K1163</x:f>
        <x:v>3750</x:v>
      </x:c>
      <x:c r="M1163" s="47" t="n">
        <x:f>J1163-L1163</x:f>
        <x:v>3750</x:v>
      </x:c>
      <x:c r="N1163" s="5" t="str">
        <x:v>Takeaway</x:v>
      </x:c>
      <x:c r="O1163" s="5" t="str">
        <x:v>Transfer</x:v>
      </x:c>
      <x:c r="P1163" s="5" t="str">
        <x:v>Lunch</x:v>
      </x:c>
      <x:c r="Q1163" s="48" t="n">
        <x:v>11</x:v>
      </x:c>
      <x:c r="R1163" s="5" t="n">
        <x:v>3</x:v>
      </x:c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5" t="str">
        <x:v>ORD-01477</x:v>
      </x:c>
      <x:c r="B1164" s="43" t="n">
        <x:v>46173</x:v>
      </x:c>
      <x:c r="C1164" s="5" t="str">
        <x:v>CUST-0623</x:v>
      </x:c>
      <x:c r="D1164" s="5" t="str">
        <x:v>FD002</x:v>
      </x:c>
      <x:c r="E1164" s="5" t="str">
        <x:v>Jollof Rice &amp; Chicken</x:v>
      </x:c>
      <x:c r="F1164" s="5" t="str">
        <x:v>Rice Meals</x:v>
      </x:c>
      <x:c r="G1164" s="44" t="n">
        <x:v>4</x:v>
      </x:c>
      <x:c r="H1164" s="45" t="n">
        <x:v>2800</x:v>
      </x:c>
      <x:c r="I1164" s="46" t="n">
        <x:v>0</x:v>
      </x:c>
      <x:c r="J1164" s="47" t="n">
        <x:f>G1164*H1164*(1-I1164)</x:f>
        <x:v>11200</x:v>
      </x:c>
      <x:c r="K1164" s="47" t="n">
        <x:v>1450</x:v>
      </x:c>
      <x:c r="L1164" s="47" t="n">
        <x:f>G1164*K1164</x:f>
        <x:v>5800</x:v>
      </x:c>
      <x:c r="M1164" s="47" t="n">
        <x:f>J1164-L1164</x:f>
        <x:v>5400</x:v>
      </x:c>
      <x:c r="N1164" s="5" t="str">
        <x:v>Walk-in</x:v>
      </x:c>
      <x:c r="O1164" s="5" t="str">
        <x:v>POS</x:v>
      </x:c>
      <x:c r="P1164" s="5" t="str">
        <x:v>Dinner</x:v>
      </x:c>
      <x:c r="Q1164" s="48" t="n">
        <x:v>17</x:v>
      </x:c>
      <x:c r="R1164" s="5" t="n">
        <x:v>5</x:v>
      </x:c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5" t="str">
        <x:v>ORD-01599</x:v>
      </x:c>
      <x:c r="B1165" s="43" t="n">
        <x:v>46173</x:v>
      </x:c>
      <x:c r="C1165" s="5" t="str">
        <x:v>CUST-0474</x:v>
      </x:c>
      <x:c r="D1165" s="5" t="str">
        <x:v>FD005</x:v>
      </x:c>
      <x:c r="E1165" s="5" t="str">
        <x:v>Yam Porridge</x:v>
      </x:c>
      <x:c r="F1165" s="5" t="str">
        <x:v>Traditional Meals</x:v>
      </x:c>
      <x:c r="G1165" s="44" t="n">
        <x:v>4</x:v>
      </x:c>
      <x:c r="H1165" s="45" t="n">
        <x:v>2200</x:v>
      </x:c>
      <x:c r="I1165" s="46" t="n">
        <x:v>0</x:v>
      </x:c>
      <x:c r="J1165" s="47" t="n">
        <x:f>G1165*H1165*(1-I1165)</x:f>
        <x:v>8800</x:v>
      </x:c>
      <x:c r="K1165" s="47" t="n">
        <x:v>1050</x:v>
      </x:c>
      <x:c r="L1165" s="47" t="n">
        <x:f>G1165*K1165</x:f>
        <x:v>4200</x:v>
      </x:c>
      <x:c r="M1165" s="47" t="n">
        <x:f>J1165-L1165</x:f>
        <x:v>4600</x:v>
      </x:c>
      <x:c r="N1165" s="5" t="str">
        <x:v>Delivery</x:v>
      </x:c>
      <x:c r="O1165" s="5" t="str">
        <x:v>POS</x:v>
      </x:c>
      <x:c r="P1165" s="5" t="str">
        <x:v>Lunch</x:v>
      </x:c>
      <x:c r="Q1165" s="48" t="n">
        <x:v>11</x:v>
      </x:c>
      <x:c r="R1165" s="5" t="n">
        <x:v>4</x:v>
      </x:c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5" t="str">
        <x:v>ORD-01641</x:v>
      </x:c>
      <x:c r="B1166" s="43" t="n">
        <x:v>46173</x:v>
      </x:c>
      <x:c r="C1166" s="5" t="str">
        <x:v>CUST-0545</x:v>
      </x:c>
      <x:c r="D1166" s="5" t="str">
        <x:v>FD002</x:v>
      </x:c>
      <x:c r="E1166" s="5" t="str">
        <x:v>Jollof Rice &amp; Chicken</x:v>
      </x:c>
      <x:c r="F1166" s="5" t="str">
        <x:v>Rice Meals</x:v>
      </x:c>
      <x:c r="G1166" s="44" t="n">
        <x:v>1</x:v>
      </x:c>
      <x:c r="H1166" s="45" t="n">
        <x:v>2800</x:v>
      </x:c>
      <x:c r="I1166" s="46" t="n">
        <x:v>0</x:v>
      </x:c>
      <x:c r="J1166" s="47" t="n">
        <x:f>G1166*H1166*(1-I1166)</x:f>
        <x:v>2800</x:v>
      </x:c>
      <x:c r="K1166" s="47" t="n">
        <x:v>1450</x:v>
      </x:c>
      <x:c r="L1166" s="47" t="n">
        <x:f>G1166*K1166</x:f>
        <x:v>1450</x:v>
      </x:c>
      <x:c r="M1166" s="47" t="n">
        <x:f>J1166-L1166</x:f>
        <x:v>1350</x:v>
      </x:c>
      <x:c r="N1166" s="5" t="str">
        <x:v>Walk-in</x:v>
      </x:c>
      <x:c r="O1166" s="5" t="str">
        <x:v>POS</x:v>
      </x:c>
      <x:c r="P1166" s="5" t="str">
        <x:v>Dinner</x:v>
      </x:c>
      <x:c r="Q1166" s="48" t="n">
        <x:v>17</x:v>
      </x:c>
      <x:c r="R1166" s="5" t="n">
        <x:v>5</x:v>
      </x:c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5" t="str">
        <x:v>ORD-00103</x:v>
      </x:c>
      <x:c r="B1167" s="43" t="n">
        <x:v>46174</x:v>
      </x:c>
      <x:c r="C1167" s="5" t="str">
        <x:v>CUST-0087</x:v>
      </x:c>
      <x:c r="D1167" s="5" t="str">
        <x:v>FD001</x:v>
      </x:c>
      <x:c r="E1167" s="5" t="str">
        <x:v>White Rice &amp; Stew</x:v>
      </x:c>
      <x:c r="F1167" s="5" t="str">
        <x:v>Rice Meals</x:v>
      </x:c>
      <x:c r="G1167" s="44" t="n">
        <x:v>3</x:v>
      </x:c>
      <x:c r="H1167" s="45" t="n">
        <x:v>1800</x:v>
      </x:c>
      <x:c r="I1167" s="46" t="n">
        <x:v>0</x:v>
      </x:c>
      <x:c r="J1167" s="47" t="n">
        <x:f>G1167*H1167*(1-I1167)</x:f>
        <x:v>5400</x:v>
      </x:c>
      <x:c r="K1167" s="47" t="n">
        <x:v>820</x:v>
      </x:c>
      <x:c r="L1167" s="47" t="n">
        <x:f>G1167*K1167</x:f>
        <x:v>2460</x:v>
      </x:c>
      <x:c r="M1167" s="47" t="n">
        <x:f>J1167-L1167</x:f>
        <x:v>2940</x:v>
      </x:c>
      <x:c r="N1167" s="5" t="str">
        <x:v>Walk-in</x:v>
      </x:c>
      <x:c r="O1167" s="5" t="str">
        <x:v>Transfer</x:v>
      </x:c>
      <x:c r="P1167" s="5" t="str">
        <x:v>Dinner</x:v>
      </x:c>
      <x:c r="Q1167" s="48" t="n">
        <x:v>20</x:v>
      </x:c>
      <x:c r="R1167" s="5" t="n">
        <x:v>5</x:v>
      </x:c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5" t="str">
        <x:v>ORD-00805</x:v>
      </x:c>
      <x:c r="B1168" s="43" t="n">
        <x:v>46174</x:v>
      </x:c>
      <x:c r="C1168" s="5" t="str">
        <x:v>CUST-0567</x:v>
      </x:c>
      <x:c r="D1168" s="5" t="str">
        <x:v>FD003</x:v>
      </x:c>
      <x:c r="E1168" s="5" t="str">
        <x:v>Fried Rice &amp; Chicken</x:v>
      </x:c>
      <x:c r="F1168" s="5" t="str">
        <x:v>Rice Meals</x:v>
      </x:c>
      <x:c r="G1168" s="44" t="n">
        <x:v>1</x:v>
      </x:c>
      <x:c r="H1168" s="45" t="n">
        <x:v>3000</x:v>
      </x:c>
      <x:c r="I1168" s="46" t="n">
        <x:v>0</x:v>
      </x:c>
      <x:c r="J1168" s="47" t="n">
        <x:f>G1168*H1168*(1-I1168)</x:f>
        <x:v>3000</x:v>
      </x:c>
      <x:c r="K1168" s="47" t="n">
        <x:v>1580</x:v>
      </x:c>
      <x:c r="L1168" s="47" t="n">
        <x:f>G1168*K1168</x:f>
        <x:v>1580</x:v>
      </x:c>
      <x:c r="M1168" s="47" t="n">
        <x:f>J1168-L1168</x:f>
        <x:v>1420</x:v>
      </x:c>
      <x:c r="N1168" s="5" t="str">
        <x:v>Takeaway</x:v>
      </x:c>
      <x:c r="O1168" s="5" t="str">
        <x:v>Cash</x:v>
      </x:c>
      <x:c r="P1168" s="5" t="str">
        <x:v>Dinner</x:v>
      </x:c>
      <x:c r="Q1168" s="48" t="n">
        <x:v>18</x:v>
      </x:c>
      <x:c r="R1168" s="5" t="n">
        <x:v>4</x:v>
      </x:c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5" t="str">
        <x:v>ORD-01184</x:v>
      </x:c>
      <x:c r="B1169" s="43" t="n">
        <x:v>46174</x:v>
      </x:c>
      <x:c r="C1169" s="5" t="str">
        <x:v>CUST-0515</x:v>
      </x:c>
      <x:c r="D1169" s="5" t="str">
        <x:v>FD008</x:v>
      </x:c>
      <x:c r="E1169" s="5" t="str">
        <x:v>Pounded Yam &amp; Vegetable Soup</x:v>
      </x:c>
      <x:c r="F1169" s="5" t="str">
        <x:v>Swallow</x:v>
      </x:c>
      <x:c r="G1169" s="44" t="n">
        <x:v>1</x:v>
      </x:c>
      <x:c r="H1169" s="45" t="n">
        <x:v>3200</x:v>
      </x:c>
      <x:c r="I1169" s="46" t="n">
        <x:v>0</x:v>
      </x:c>
      <x:c r="J1169" s="47" t="n">
        <x:f>G1169*H1169*(1-I1169)</x:f>
        <x:v>3200</x:v>
      </x:c>
      <x:c r="K1169" s="47" t="n">
        <x:v>1710</x:v>
      </x:c>
      <x:c r="L1169" s="47" t="n">
        <x:f>G1169*K1169</x:f>
        <x:v>1710</x:v>
      </x:c>
      <x:c r="M1169" s="47" t="n">
        <x:f>J1169-L1169</x:f>
        <x:v>1490</x:v>
      </x:c>
      <x:c r="N1169" s="5" t="str">
        <x:v>Takeaway</x:v>
      </x:c>
      <x:c r="O1169" s="5" t="str">
        <x:v>POS</x:v>
      </x:c>
      <x:c r="P1169" s="5" t="str">
        <x:v>Lunch</x:v>
      </x:c>
      <x:c r="Q1169" s="48" t="n">
        <x:v>15</x:v>
      </x:c>
      <x:c r="R1169" s="5" t="n">
        <x:v>4</x:v>
      </x:c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5" t="str">
        <x:v>ORD-01221</x:v>
      </x:c>
      <x:c r="B1170" s="43" t="n">
        <x:v>46174</x:v>
      </x:c>
      <x:c r="C1170" s="5" t="str">
        <x:v>CUST-0396</x:v>
      </x:c>
      <x:c r="D1170" s="5" t="str">
        <x:v>FD003</x:v>
      </x:c>
      <x:c r="E1170" s="5" t="str">
        <x:v>Fried Rice &amp; Chicken</x:v>
      </x:c>
      <x:c r="F1170" s="5" t="str">
        <x:v>Rice Meals</x:v>
      </x:c>
      <x:c r="G1170" s="44" t="n">
        <x:v>3</x:v>
      </x:c>
      <x:c r="H1170" s="45" t="n">
        <x:v>3000</x:v>
      </x:c>
      <x:c r="I1170" s="46" t="n">
        <x:v>0</x:v>
      </x:c>
      <x:c r="J1170" s="47" t="n">
        <x:f>G1170*H1170*(1-I1170)</x:f>
        <x:v>9000</x:v>
      </x:c>
      <x:c r="K1170" s="47" t="n">
        <x:v>1580</x:v>
      </x:c>
      <x:c r="L1170" s="47" t="n">
        <x:f>G1170*K1170</x:f>
        <x:v>4740</x:v>
      </x:c>
      <x:c r="M1170" s="47" t="n">
        <x:f>J1170-L1170</x:f>
        <x:v>4260</x:v>
      </x:c>
      <x:c r="N1170" s="5" t="str">
        <x:v>Takeaway</x:v>
      </x:c>
      <x:c r="O1170" s="5" t="str">
        <x:v>POS</x:v>
      </x:c>
      <x:c r="P1170" s="5" t="str">
        <x:v>Lunch</x:v>
      </x:c>
      <x:c r="Q1170" s="48" t="n">
        <x:v>12</x:v>
      </x:c>
      <x:c r="R1170" s="5" t="n">
        <x:v>4</x:v>
      </x:c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5" t="str">
        <x:v>ORD-01243</x:v>
      </x:c>
      <x:c r="B1171" s="43" t="n">
        <x:v>46174</x:v>
      </x:c>
      <x:c r="C1171" s="5" t="str">
        <x:v>CUST-0066</x:v>
      </x:c>
      <x:c r="D1171" s="5" t="str">
        <x:v>FD005</x:v>
      </x:c>
      <x:c r="E1171" s="5" t="str">
        <x:v>Yam Porridge</x:v>
      </x:c>
      <x:c r="F1171" s="5" t="str">
        <x:v>Traditional Meals</x:v>
      </x:c>
      <x:c r="G1171" s="44" t="n">
        <x:v>3</x:v>
      </x:c>
      <x:c r="H1171" s="45" t="n">
        <x:v>2200</x:v>
      </x:c>
      <x:c r="I1171" s="46" t="n">
        <x:v>0</x:v>
      </x:c>
      <x:c r="J1171" s="47" t="n">
        <x:f>G1171*H1171*(1-I1171)</x:f>
        <x:v>6600</x:v>
      </x:c>
      <x:c r="K1171" s="47" t="n">
        <x:v>1050</x:v>
      </x:c>
      <x:c r="L1171" s="47" t="n">
        <x:f>G1171*K1171</x:f>
        <x:v>3150</x:v>
      </x:c>
      <x:c r="M1171" s="47" t="n">
        <x:f>J1171-L1171</x:f>
        <x:v>3450</x:v>
      </x:c>
      <x:c r="N1171" s="5" t="str">
        <x:v>Walk-in</x:v>
      </x:c>
      <x:c r="O1171" s="5" t="str">
        <x:v>Cash</x:v>
      </x:c>
      <x:c r="P1171" s="5" t="str">
        <x:v>Lunch</x:v>
      </x:c>
      <x:c r="Q1171" s="48" t="n">
        <x:v>11</x:v>
      </x:c>
      <x:c r="R1171" s="5" t="n">
        <x:v>5</x:v>
      </x:c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5" t="str">
        <x:v>ORD-01339</x:v>
      </x:c>
      <x:c r="B1172" s="43" t="n">
        <x:v>46174</x:v>
      </x:c>
      <x:c r="C1172" s="5" t="str">
        <x:v>CUST-0467</x:v>
      </x:c>
      <x:c r="D1172" s="5" t="str">
        <x:v>FD002</x:v>
      </x:c>
      <x:c r="E1172" s="5" t="str">
        <x:v>Jollof Rice &amp; Chicken</x:v>
      </x:c>
      <x:c r="F1172" s="5" t="str">
        <x:v>Rice Meals</x:v>
      </x:c>
      <x:c r="G1172" s="44" t="n">
        <x:v>1</x:v>
      </x:c>
      <x:c r="H1172" s="45" t="n">
        <x:v>2800</x:v>
      </x:c>
      <x:c r="I1172" s="46" t="n">
        <x:v>0</x:v>
      </x:c>
      <x:c r="J1172" s="47" t="n">
        <x:f>G1172*H1172*(1-I1172)</x:f>
        <x:v>2800</x:v>
      </x:c>
      <x:c r="K1172" s="47" t="n">
        <x:v>1450</x:v>
      </x:c>
      <x:c r="L1172" s="47" t="n">
        <x:f>G1172*K1172</x:f>
        <x:v>1450</x:v>
      </x:c>
      <x:c r="M1172" s="47" t="n">
        <x:f>J1172-L1172</x:f>
        <x:v>1350</x:v>
      </x:c>
      <x:c r="N1172" s="5" t="str">
        <x:v>Takeaway</x:v>
      </x:c>
      <x:c r="O1172" s="5" t="str">
        <x:v>POS</x:v>
      </x:c>
      <x:c r="P1172" s="5" t="str">
        <x:v>Lunch</x:v>
      </x:c>
      <x:c r="Q1172" s="48" t="n">
        <x:v>15</x:v>
      </x:c>
      <x:c r="R1172" s="5" t="n">
        <x:v>3</x:v>
      </x:c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5" t="str">
        <x:v>ORD-01432</x:v>
      </x:c>
      <x:c r="B1173" s="43" t="n">
        <x:v>46174</x:v>
      </x:c>
      <x:c r="C1173" s="5" t="str">
        <x:v>CUST-0177</x:v>
      </x:c>
      <x:c r="D1173" s="5" t="str">
        <x:v>FD011</x:v>
      </x:c>
      <x:c r="E1173" s="5" t="str">
        <x:v>Bottled Water</x:v>
      </x:c>
      <x:c r="F1173" s="5" t="str">
        <x:v>Beverages</x:v>
      </x:c>
      <x:c r="G1173" s="44" t="n">
        <x:v>4</x:v>
      </x:c>
      <x:c r="H1173" s="45" t="n">
        <x:v>300</x:v>
      </x:c>
      <x:c r="I1173" s="46" t="n">
        <x:v>0</x:v>
      </x:c>
      <x:c r="J1173" s="47" t="n">
        <x:f>G1173*H1173*(1-I1173)</x:f>
        <x:v>1200</x:v>
      </x:c>
      <x:c r="K1173" s="47" t="n">
        <x:v>120</x:v>
      </x:c>
      <x:c r="L1173" s="47" t="n">
        <x:f>G1173*K1173</x:f>
        <x:v>480</x:v>
      </x:c>
      <x:c r="M1173" s="47" t="n">
        <x:f>J1173-L1173</x:f>
        <x:v>720</x:v>
      </x:c>
      <x:c r="N1173" s="5" t="str">
        <x:v>Takeaway</x:v>
      </x:c>
      <x:c r="O1173" s="5" t="str">
        <x:v>Transfer</x:v>
      </x:c>
      <x:c r="P1173" s="5" t="str">
        <x:v>Lunch</x:v>
      </x:c>
      <x:c r="Q1173" s="48" t="n">
        <x:v>15</x:v>
      </x:c>
      <x:c r="R1173" s="5" t="n">
        <x:v>5</x:v>
      </x:c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5" t="str">
        <x:v>ORD-01547</x:v>
      </x:c>
      <x:c r="B1174" s="43" t="n">
        <x:v>46174</x:v>
      </x:c>
      <x:c r="C1174" s="5" t="str">
        <x:v>CUST-0102</x:v>
      </x:c>
      <x:c r="D1174" s="5" t="str">
        <x:v>FD008</x:v>
      </x:c>
      <x:c r="E1174" s="5" t="str">
        <x:v>Pounded Yam &amp; Vegetable Soup</x:v>
      </x:c>
      <x:c r="F1174" s="5" t="str">
        <x:v>Swallow</x:v>
      </x:c>
      <x:c r="G1174" s="44" t="n">
        <x:v>1</x:v>
      </x:c>
      <x:c r="H1174" s="45" t="n">
        <x:v>3200</x:v>
      </x:c>
      <x:c r="I1174" s="46" t="n">
        <x:v>0</x:v>
      </x:c>
      <x:c r="J1174" s="47" t="n">
        <x:f>G1174*H1174*(1-I1174)</x:f>
        <x:v>3200</x:v>
      </x:c>
      <x:c r="K1174" s="47" t="n">
        <x:v>1710</x:v>
      </x:c>
      <x:c r="L1174" s="47" t="n">
        <x:f>G1174*K1174</x:f>
        <x:v>1710</x:v>
      </x:c>
      <x:c r="M1174" s="47" t="n">
        <x:f>J1174-L1174</x:f>
        <x:v>1490</x:v>
      </x:c>
      <x:c r="N1174" s="5" t="str">
        <x:v>Walk-in</x:v>
      </x:c>
      <x:c r="O1174" s="5" t="str">
        <x:v>POS</x:v>
      </x:c>
      <x:c r="P1174" s="5" t="str">
        <x:v>Lunch</x:v>
      </x:c>
      <x:c r="Q1174" s="48" t="n">
        <x:v>12</x:v>
      </x:c>
      <x:c r="R1174" s="5" t="n">
        <x:v>4</x:v>
      </x:c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5" t="str">
        <x:v>ORD-01673</x:v>
      </x:c>
      <x:c r="B1175" s="43" t="n">
        <x:v>46174</x:v>
      </x:c>
      <x:c r="C1175" s="5" t="str">
        <x:v>CUST-0415</x:v>
      </x:c>
      <x:c r="D1175" s="5" t="str">
        <x:v>FD010</x:v>
      </x:c>
      <x:c r="E1175" s="5" t="str">
        <x:v>Soft Drink</x:v>
      </x:c>
      <x:c r="F1175" s="5" t="str">
        <x:v>Beverages</x:v>
      </x:c>
      <x:c r="G1175" s="44" t="n">
        <x:v>1</x:v>
      </x:c>
      <x:c r="H1175" s="45" t="n">
        <x:v>600</x:v>
      </x:c>
      <x:c r="I1175" s="46" t="n">
        <x:v>0.05</x:v>
      </x:c>
      <x:c r="J1175" s="47" t="n">
        <x:f>G1175*H1175*(1-I1175)</x:f>
        <x:v>570</x:v>
      </x:c>
      <x:c r="K1175" s="47" t="n">
        <x:v>280</x:v>
      </x:c>
      <x:c r="L1175" s="47" t="n">
        <x:f>G1175*K1175</x:f>
        <x:v>280</x:v>
      </x:c>
      <x:c r="M1175" s="47" t="n">
        <x:f>J1175-L1175</x:f>
        <x:v>290</x:v>
      </x:c>
      <x:c r="N1175" s="5" t="str">
        <x:v>Walk-in</x:v>
      </x:c>
      <x:c r="O1175" s="5" t="str">
        <x:v>Transfer</x:v>
      </x:c>
      <x:c r="P1175" s="5" t="str">
        <x:v>Dinner</x:v>
      </x:c>
      <x:c r="Q1175" s="48" t="n">
        <x:v>19</x:v>
      </x:c>
      <x:c r="R1175" s="5" t="n">
        <x:v>4</x:v>
      </x:c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5" t="str">
        <x:v>ORD-00174</x:v>
      </x:c>
      <x:c r="B1176" s="43" t="n">
        <x:v>46175</x:v>
      </x:c>
      <x:c r="C1176" s="5" t="str">
        <x:v>CUST-0451</x:v>
      </x:c>
      <x:c r="D1176" s="5" t="str">
        <x:v>FD008</x:v>
      </x:c>
      <x:c r="E1176" s="5" t="str">
        <x:v>Pounded Yam &amp; Vegetable Soup</x:v>
      </x:c>
      <x:c r="F1176" s="5" t="str">
        <x:v>Swallow</x:v>
      </x:c>
      <x:c r="G1176" s="44" t="n">
        <x:v>1</x:v>
      </x:c>
      <x:c r="H1176" s="45" t="n">
        <x:v>3200</x:v>
      </x:c>
      <x:c r="I1176" s="46" t="n">
        <x:v>0</x:v>
      </x:c>
      <x:c r="J1176" s="47" t="n">
        <x:f>G1176*H1176*(1-I1176)</x:f>
        <x:v>3200</x:v>
      </x:c>
      <x:c r="K1176" s="47" t="n">
        <x:v>1710</x:v>
      </x:c>
      <x:c r="L1176" s="47" t="n">
        <x:f>G1176*K1176</x:f>
        <x:v>1710</x:v>
      </x:c>
      <x:c r="M1176" s="47" t="n">
        <x:f>J1176-L1176</x:f>
        <x:v>1490</x:v>
      </x:c>
      <x:c r="N1176" s="5" t="str">
        <x:v>Walk-in</x:v>
      </x:c>
      <x:c r="O1176" s="5" t="str">
        <x:v>Transfer</x:v>
      </x:c>
      <x:c r="P1176" s="5" t="str">
        <x:v>Breakfast</x:v>
      </x:c>
      <x:c r="Q1176" s="48" t="n">
        <x:v>8</x:v>
      </x:c>
      <x:c r="R1176" s="5" t="n">
        <x:v>3</x:v>
      </x:c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5" t="str">
        <x:v>ORD-00464</x:v>
      </x:c>
      <x:c r="B1177" s="43" t="n">
        <x:v>46175</x:v>
      </x:c>
      <x:c r="C1177" s="5" t="str">
        <x:v>CUST-0509</x:v>
      </x:c>
      <x:c r="D1177" s="5" t="str">
        <x:v>FD010</x:v>
      </x:c>
      <x:c r="E1177" s="5" t="str">
        <x:v>Soft Drink</x:v>
      </x:c>
      <x:c r="F1177" s="5" t="str">
        <x:v>Beverages</x:v>
      </x:c>
      <x:c r="G1177" s="44" t="n">
        <x:v>4</x:v>
      </x:c>
      <x:c r="H1177" s="45" t="n">
        <x:v>600</x:v>
      </x:c>
      <x:c r="I1177" s="46" t="n">
        <x:v>0</x:v>
      </x:c>
      <x:c r="J1177" s="47" t="n">
        <x:f>G1177*H1177*(1-I1177)</x:f>
        <x:v>2400</x:v>
      </x:c>
      <x:c r="K1177" s="47" t="n">
        <x:v>280</x:v>
      </x:c>
      <x:c r="L1177" s="47" t="n">
        <x:f>G1177*K1177</x:f>
        <x:v>1120</x:v>
      </x:c>
      <x:c r="M1177" s="47" t="n">
        <x:f>J1177-L1177</x:f>
        <x:v>1280</x:v>
      </x:c>
      <x:c r="N1177" s="5" t="str">
        <x:v>Walk-in</x:v>
      </x:c>
      <x:c r="O1177" s="5" t="str">
        <x:v>POS</x:v>
      </x:c>
      <x:c r="P1177" s="5" t="str">
        <x:v>Lunch</x:v>
      </x:c>
      <x:c r="Q1177" s="48" t="n">
        <x:v>12</x:v>
      </x:c>
      <x:c r="R1177" s="5" t="n">
        <x:v>4</x:v>
      </x:c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5" t="str">
        <x:v>ORD-00858</x:v>
      </x:c>
      <x:c r="B1178" s="43" t="n">
        <x:v>46175</x:v>
      </x:c>
      <x:c r="C1178" s="5" t="str">
        <x:v>CUST-0044</x:v>
      </x:c>
      <x:c r="D1178" s="5" t="str">
        <x:v>FD009</x:v>
      </x:c>
      <x:c r="E1178" s="5" t="str">
        <x:v>Moi Moi</x:v>
      </x:c>
      <x:c r="F1178" s="5" t="str">
        <x:v>Sides</x:v>
      </x:c>
      <x:c r="G1178" s="44" t="n">
        <x:v>3</x:v>
      </x:c>
      <x:c r="H1178" s="45" t="n">
        <x:v>900</x:v>
      </x:c>
      <x:c r="I1178" s="46" t="n">
        <x:v>0</x:v>
      </x:c>
      <x:c r="J1178" s="47" t="n">
        <x:f>G1178*H1178*(1-I1178)</x:f>
        <x:v>2700</x:v>
      </x:c>
      <x:c r="K1178" s="47" t="n">
        <x:v>380</x:v>
      </x:c>
      <x:c r="L1178" s="47" t="n">
        <x:f>G1178*K1178</x:f>
        <x:v>1140</x:v>
      </x:c>
      <x:c r="M1178" s="47" t="n">
        <x:f>J1178-L1178</x:f>
        <x:v>1560</x:v>
      </x:c>
      <x:c r="N1178" s="5" t="str">
        <x:v>Walk-in</x:v>
      </x:c>
      <x:c r="O1178" s="5" t="str">
        <x:v>Transfer</x:v>
      </x:c>
      <x:c r="P1178" s="5" t="str">
        <x:v>Dinner</x:v>
      </x:c>
      <x:c r="Q1178" s="48" t="n">
        <x:v>18</x:v>
      </x:c>
      <x:c r="R1178" s="5" t="n">
        <x:v>5</x:v>
      </x:c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5" t="str">
        <x:v>ORD-01363</x:v>
      </x:c>
      <x:c r="B1179" s="43" t="n">
        <x:v>46175</x:v>
      </x:c>
      <x:c r="C1179" s="5" t="str">
        <x:v>CUST-0344</x:v>
      </x:c>
      <x:c r="D1179" s="5" t="str">
        <x:v>FD003</x:v>
      </x:c>
      <x:c r="E1179" s="5" t="str">
        <x:v>Fried Rice &amp; Chicken</x:v>
      </x:c>
      <x:c r="F1179" s="5" t="str">
        <x:v>Rice Meals</x:v>
      </x:c>
      <x:c r="G1179" s="44" t="n">
        <x:v>4</x:v>
      </x:c>
      <x:c r="H1179" s="45" t="n">
        <x:v>3000</x:v>
      </x:c>
      <x:c r="I1179" s="46" t="n">
        <x:v>0</x:v>
      </x:c>
      <x:c r="J1179" s="47" t="n">
        <x:f>G1179*H1179*(1-I1179)</x:f>
        <x:v>12000</x:v>
      </x:c>
      <x:c r="K1179" s="47" t="n">
        <x:v>1580</x:v>
      </x:c>
      <x:c r="L1179" s="47" t="n">
        <x:f>G1179*K1179</x:f>
        <x:v>6320</x:v>
      </x:c>
      <x:c r="M1179" s="47" t="n">
        <x:f>J1179-L1179</x:f>
        <x:v>5680</x:v>
      </x:c>
      <x:c r="N1179" s="5" t="str">
        <x:v>Takeaway</x:v>
      </x:c>
      <x:c r="O1179" s="5" t="str">
        <x:v>Cash</x:v>
      </x:c>
      <x:c r="P1179" s="5" t="str">
        <x:v>Lunch</x:v>
      </x:c>
      <x:c r="Q1179" s="48" t="n">
        <x:v>12</x:v>
      </x:c>
      <x:c r="R1179" s="5" t="n">
        <x:v>5</x:v>
      </x:c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5" t="str">
        <x:v>ORD-01370</x:v>
      </x:c>
      <x:c r="B1180" s="43" t="n">
        <x:v>46175</x:v>
      </x:c>
      <x:c r="C1180" s="5" t="str">
        <x:v>CUST-0374</x:v>
      </x:c>
      <x:c r="D1180" s="5" t="str">
        <x:v>FD003</x:v>
      </x:c>
      <x:c r="E1180" s="5" t="str">
        <x:v>Fried Rice &amp; Chicken</x:v>
      </x:c>
      <x:c r="F1180" s="5" t="str">
        <x:v>Rice Meals</x:v>
      </x:c>
      <x:c r="G1180" s="44" t="n">
        <x:v>2</x:v>
      </x:c>
      <x:c r="H1180" s="45" t="n">
        <x:v>3000</x:v>
      </x:c>
      <x:c r="I1180" s="46" t="n">
        <x:v>0.05</x:v>
      </x:c>
      <x:c r="J1180" s="47" t="n">
        <x:f>G1180*H1180*(1-I1180)</x:f>
        <x:v>5700</x:v>
      </x:c>
      <x:c r="K1180" s="47" t="n">
        <x:v>1580</x:v>
      </x:c>
      <x:c r="L1180" s="47" t="n">
        <x:f>G1180*K1180</x:f>
        <x:v>3160</x:v>
      </x:c>
      <x:c r="M1180" s="47" t="n">
        <x:f>J1180-L1180</x:f>
        <x:v>2540</x:v>
      </x:c>
      <x:c r="N1180" s="5" t="str">
        <x:v>Takeaway</x:v>
      </x:c>
      <x:c r="O1180" s="5" t="str">
        <x:v>Transfer</x:v>
      </x:c>
      <x:c r="P1180" s="5" t="str">
        <x:v>Lunch</x:v>
      </x:c>
      <x:c r="Q1180" s="48" t="n">
        <x:v>12</x:v>
      </x:c>
      <x:c r="R1180" s="5" t="n">
        <x:v>4</x:v>
      </x:c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5" t="str">
        <x:v>ORD-01442</x:v>
      </x:c>
      <x:c r="B1181" s="43" t="n">
        <x:v>46175</x:v>
      </x:c>
      <x:c r="C1181" s="5" t="str">
        <x:v>CUST-0003</x:v>
      </x:c>
      <x:c r="D1181" s="5" t="str">
        <x:v>FD001</x:v>
      </x:c>
      <x:c r="E1181" s="5" t="str">
        <x:v>White Rice &amp; Stew</x:v>
      </x:c>
      <x:c r="F1181" s="5" t="str">
        <x:v>Rice Meals</x:v>
      </x:c>
      <x:c r="G1181" s="44" t="n">
        <x:v>4</x:v>
      </x:c>
      <x:c r="H1181" s="45" t="n">
        <x:v>1800</x:v>
      </x:c>
      <x:c r="I1181" s="46" t="n">
        <x:v>0</x:v>
      </x:c>
      <x:c r="J1181" s="47" t="n">
        <x:f>G1181*H1181*(1-I1181)</x:f>
        <x:v>7200</x:v>
      </x:c>
      <x:c r="K1181" s="47" t="n">
        <x:v>820</x:v>
      </x:c>
      <x:c r="L1181" s="47" t="n">
        <x:f>G1181*K1181</x:f>
        <x:v>3280</x:v>
      </x:c>
      <x:c r="M1181" s="47" t="n">
        <x:f>J1181-L1181</x:f>
        <x:v>3920</x:v>
      </x:c>
      <x:c r="N1181" s="5" t="str">
        <x:v>Delivery</x:v>
      </x:c>
      <x:c r="O1181" s="5" t="str">
        <x:v>POS</x:v>
      </x:c>
      <x:c r="P1181" s="5" t="str">
        <x:v>Lunch</x:v>
      </x:c>
      <x:c r="Q1181" s="48" t="n">
        <x:v>14</x:v>
      </x:c>
      <x:c r="R1181" s="5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5" t="str">
        <x:v>ORD-01610</x:v>
      </x:c>
      <x:c r="B1182" s="43" t="n">
        <x:v>46175</x:v>
      </x:c>
      <x:c r="C1182" s="5" t="str">
        <x:v>CUST-0174</x:v>
      </x:c>
      <x:c r="D1182" s="5" t="str">
        <x:v>FD008</x:v>
      </x:c>
      <x:c r="E1182" s="5" t="str">
        <x:v>Pounded Yam &amp; Vegetable Soup</x:v>
      </x:c>
      <x:c r="F1182" s="5" t="str">
        <x:v>Swallow</x:v>
      </x:c>
      <x:c r="G1182" s="44" t="n">
        <x:v>2</x:v>
      </x:c>
      <x:c r="H1182" s="45" t="n">
        <x:v>3200</x:v>
      </x:c>
      <x:c r="I1182" s="46" t="n">
        <x:v>0</x:v>
      </x:c>
      <x:c r="J1182" s="47" t="n">
        <x:f>G1182*H1182*(1-I1182)</x:f>
        <x:v>6400</x:v>
      </x:c>
      <x:c r="K1182" s="47" t="n">
        <x:v>1710</x:v>
      </x:c>
      <x:c r="L1182" s="47" t="n">
        <x:f>G1182*K1182</x:f>
        <x:v>3420</x:v>
      </x:c>
      <x:c r="M1182" s="47" t="n">
        <x:f>J1182-L1182</x:f>
        <x:v>2980</x:v>
      </x:c>
      <x:c r="N1182" s="5" t="str">
        <x:v>Takeaway</x:v>
      </x:c>
      <x:c r="O1182" s="5" t="str">
        <x:v>Cash</x:v>
      </x:c>
      <x:c r="P1182" s="5" t="str">
        <x:v>Lunch</x:v>
      </x:c>
      <x:c r="Q1182" s="48" t="n">
        <x:v>15</x:v>
      </x:c>
      <x:c r="R1182" s="5" t="n">
        <x:v>4</x:v>
      </x:c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5" t="str">
        <x:v>ORD-01664</x:v>
      </x:c>
      <x:c r="B1183" s="43" t="n">
        <x:v>46175</x:v>
      </x:c>
      <x:c r="C1183" s="5" t="str">
        <x:v>CUST-0055</x:v>
      </x:c>
      <x:c r="D1183" s="5" t="str">
        <x:v>FD004</x:v>
      </x:c>
      <x:c r="E1183" s="5" t="str">
        <x:v>Beans &amp; Plantain</x:v>
      </x:c>
      <x:c r="F1183" s="5" t="str">
        <x:v>Traditional Meals</x:v>
      </x:c>
      <x:c r="G1183" s="44" t="n">
        <x:v>2</x:v>
      </x:c>
      <x:c r="H1183" s="45" t="n">
        <x:v>2000</x:v>
      </x:c>
      <x:c r="I1183" s="46" t="n">
        <x:v>0</x:v>
      </x:c>
      <x:c r="J1183" s="47" t="n">
        <x:f>G1183*H1183*(1-I1183)</x:f>
        <x:v>4000</x:v>
      </x:c>
      <x:c r="K1183" s="47" t="n">
        <x:v>960</x:v>
      </x:c>
      <x:c r="L1183" s="47" t="n">
        <x:f>G1183*K1183</x:f>
        <x:v>1920</x:v>
      </x:c>
      <x:c r="M1183" s="47" t="n">
        <x:f>J1183-L1183</x:f>
        <x:v>2080</x:v>
      </x:c>
      <x:c r="N1183" s="5" t="str">
        <x:v>Walk-in</x:v>
      </x:c>
      <x:c r="O1183" s="5" t="str">
        <x:v>POS</x:v>
      </x:c>
      <x:c r="P1183" s="5" t="str">
        <x:v>Lunch</x:v>
      </x:c>
      <x:c r="Q1183" s="48" t="n">
        <x:v>13</x:v>
      </x:c>
      <x:c r="R1183" s="5" t="n">
        <x:v>4</x:v>
      </x:c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5" t="str">
        <x:v>ORD-01755</x:v>
      </x:c>
      <x:c r="B1184" s="43" t="n">
        <x:v>46175</x:v>
      </x:c>
      <x:c r="C1184" s="5" t="str">
        <x:v>CUST-0378</x:v>
      </x:c>
      <x:c r="D1184" s="5" t="str">
        <x:v>FD003</x:v>
      </x:c>
      <x:c r="E1184" s="5" t="str">
        <x:v>Fried Rice &amp; Chicken</x:v>
      </x:c>
      <x:c r="F1184" s="5" t="str">
        <x:v>Rice Meals</x:v>
      </x:c>
      <x:c r="G1184" s="44" t="n">
        <x:v>4</x:v>
      </x:c>
      <x:c r="H1184" s="45" t="n">
        <x:v>3000</x:v>
      </x:c>
      <x:c r="I1184" s="46" t="n">
        <x:v>0</x:v>
      </x:c>
      <x:c r="J1184" s="47" t="n">
        <x:f>G1184*H1184*(1-I1184)</x:f>
        <x:v>12000</x:v>
      </x:c>
      <x:c r="K1184" s="47" t="n">
        <x:v>1580</x:v>
      </x:c>
      <x:c r="L1184" s="47" t="n">
        <x:f>G1184*K1184</x:f>
        <x:v>6320</x:v>
      </x:c>
      <x:c r="M1184" s="47" t="n">
        <x:f>J1184-L1184</x:f>
        <x:v>5680</x:v>
      </x:c>
      <x:c r="N1184" s="5" t="str">
        <x:v>Walk-in</x:v>
      </x:c>
      <x:c r="O1184" s="5" t="str">
        <x:v>Transfer</x:v>
      </x:c>
      <x:c r="P1184" s="5" t="str">
        <x:v>Breakfast</x:v>
      </x:c>
      <x:c r="Q1184" s="48" t="n">
        <x:v>8</x:v>
      </x:c>
      <x:c r="R1184" s="5" t="n">
        <x:v>4</x:v>
      </x:c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5" t="str">
        <x:v>ORD-00093</x:v>
      </x:c>
      <x:c r="B1185" s="43" t="n">
        <x:v>46176</x:v>
      </x:c>
      <x:c r="C1185" s="5" t="str">
        <x:v>CUST-0538</x:v>
      </x:c>
      <x:c r="D1185" s="5" t="str">
        <x:v>FD009</x:v>
      </x:c>
      <x:c r="E1185" s="5" t="str">
        <x:v>Moi Moi</x:v>
      </x:c>
      <x:c r="F1185" s="5" t="str">
        <x:v>Sides</x:v>
      </x:c>
      <x:c r="G1185" s="44" t="n">
        <x:v>1</x:v>
      </x:c>
      <x:c r="H1185" s="45" t="n">
        <x:v>900</x:v>
      </x:c>
      <x:c r="I1185" s="46" t="n">
        <x:v>0</x:v>
      </x:c>
      <x:c r="J1185" s="47" t="n">
        <x:f>G1185*H1185*(1-I1185)</x:f>
        <x:v>900</x:v>
      </x:c>
      <x:c r="K1185" s="47" t="n">
        <x:v>380</x:v>
      </x:c>
      <x:c r="L1185" s="47" t="n">
        <x:f>G1185*K1185</x:f>
        <x:v>380</x:v>
      </x:c>
      <x:c r="M1185" s="47" t="n">
        <x:f>J1185-L1185</x:f>
        <x:v>520</x:v>
      </x:c>
      <x:c r="N1185" s="5" t="str">
        <x:v>Walk-in</x:v>
      </x:c>
      <x:c r="O1185" s="5" t="str">
        <x:v>Transfer</x:v>
      </x:c>
      <x:c r="P1185" s="5" t="str">
        <x:v>Breakfast</x:v>
      </x:c>
      <x:c r="Q1185" s="48" t="n">
        <x:v>10</x:v>
      </x:c>
      <x:c r="R1185" s="5" t="n">
        <x:v>5</x:v>
      </x:c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5" t="str">
        <x:v>ORD-00246</x:v>
      </x:c>
      <x:c r="B1186" s="43" t="n">
        <x:v>46176</x:v>
      </x:c>
      <x:c r="C1186" s="5" t="str">
        <x:v>CUST-0017</x:v>
      </x:c>
      <x:c r="D1186" s="5" t="str">
        <x:v>FD007</x:v>
      </x:c>
      <x:c r="E1186" s="5" t="str">
        <x:v>Amala &amp; Ewedu</x:v>
      </x:c>
      <x:c r="F1186" s="5" t="str">
        <x:v>Swallow</x:v>
      </x:c>
      <x:c r="G1186" s="44" t="n">
        <x:v>4</x:v>
      </x:c>
      <x:c r="H1186" s="45" t="n">
        <x:v>2500</x:v>
      </x:c>
      <x:c r="I1186" s="46" t="n">
        <x:v>0</x:v>
      </x:c>
      <x:c r="J1186" s="47" t="n">
        <x:f>G1186*H1186*(1-I1186)</x:f>
        <x:v>10000</x:v>
      </x:c>
      <x:c r="K1186" s="47" t="n">
        <x:v>1250</x:v>
      </x:c>
      <x:c r="L1186" s="47" t="n">
        <x:f>G1186*K1186</x:f>
        <x:v>5000</x:v>
      </x:c>
      <x:c r="M1186" s="47" t="n">
        <x:f>J1186-L1186</x:f>
        <x:v>5000</x:v>
      </x:c>
      <x:c r="N1186" s="5" t="str">
        <x:v>Walk-in</x:v>
      </x:c>
      <x:c r="O1186" s="5" t="str">
        <x:v>Transfer</x:v>
      </x:c>
      <x:c r="P1186" s="5" t="str">
        <x:v>Lunch</x:v>
      </x:c>
      <x:c r="Q1186" s="48" t="n">
        <x:v>12</x:v>
      </x:c>
      <x:c r="R1186" s="5" t="n">
        <x:v>4</x:v>
      </x:c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5" t="str">
        <x:v>ORD-00260</x:v>
      </x:c>
      <x:c r="B1187" s="43" t="n">
        <x:v>46176</x:v>
      </x:c>
      <x:c r="C1187" s="5" t="str">
        <x:v>CUST-0088</x:v>
      </x:c>
      <x:c r="D1187" s="5" t="str">
        <x:v>FD008</x:v>
      </x:c>
      <x:c r="E1187" s="5" t="str">
        <x:v>Pounded Yam &amp; Vegetable Soup</x:v>
      </x:c>
      <x:c r="F1187" s="5" t="str">
        <x:v>Swallow</x:v>
      </x:c>
      <x:c r="G1187" s="44" t="n">
        <x:v>4</x:v>
      </x:c>
      <x:c r="H1187" s="45" t="n">
        <x:v>3200</x:v>
      </x:c>
      <x:c r="I1187" s="46" t="n">
        <x:v>0</x:v>
      </x:c>
      <x:c r="J1187" s="47" t="n">
        <x:f>G1187*H1187*(1-I1187)</x:f>
        <x:v>12800</x:v>
      </x:c>
      <x:c r="K1187" s="47" t="n">
        <x:v>1710</x:v>
      </x:c>
      <x:c r="L1187" s="47" t="n">
        <x:f>G1187*K1187</x:f>
        <x:v>6840</x:v>
      </x:c>
      <x:c r="M1187" s="47" t="n">
        <x:f>J1187-L1187</x:f>
        <x:v>5960</x:v>
      </x:c>
      <x:c r="N1187" s="5" t="str">
        <x:v>Walk-in</x:v>
      </x:c>
      <x:c r="O1187" s="5" t="str">
        <x:v>POS</x:v>
      </x:c>
      <x:c r="P1187" s="5" t="str">
        <x:v>Lunch</x:v>
      </x:c>
      <x:c r="Q1187" s="48" t="n">
        <x:v>15</x:v>
      </x:c>
      <x:c r="R1187" s="5" t="n">
        <x:v>5</x:v>
      </x:c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5" t="str">
        <x:v>ORD-00380</x:v>
      </x:c>
      <x:c r="B1188" s="43" t="n">
        <x:v>46176</x:v>
      </x:c>
      <x:c r="C1188" s="5" t="str">
        <x:v>CUST-0193</x:v>
      </x:c>
      <x:c r="D1188" s="5" t="str">
        <x:v>FD009</x:v>
      </x:c>
      <x:c r="E1188" s="5" t="str">
        <x:v>Moi Moi</x:v>
      </x:c>
      <x:c r="F1188" s="5" t="str">
        <x:v>Sides</x:v>
      </x:c>
      <x:c r="G1188" s="44" t="n">
        <x:v>1</x:v>
      </x:c>
      <x:c r="H1188" s="45" t="n">
        <x:v>900</x:v>
      </x:c>
      <x:c r="I1188" s="46" t="n">
        <x:v>0</x:v>
      </x:c>
      <x:c r="J1188" s="47" t="n">
        <x:f>G1188*H1188*(1-I1188)</x:f>
        <x:v>900</x:v>
      </x:c>
      <x:c r="K1188" s="47" t="n">
        <x:v>380</x:v>
      </x:c>
      <x:c r="L1188" s="47" t="n">
        <x:f>G1188*K1188</x:f>
        <x:v>380</x:v>
      </x:c>
      <x:c r="M1188" s="47" t="n">
        <x:f>J1188-L1188</x:f>
        <x:v>520</x:v>
      </x:c>
      <x:c r="N1188" s="5" t="str">
        <x:v>Delivery</x:v>
      </x:c>
      <x:c r="O1188" s="5" t="str">
        <x:v>POS</x:v>
      </x:c>
      <x:c r="P1188" s="5" t="str">
        <x:v>Lunch</x:v>
      </x:c>
      <x:c r="Q1188" s="48" t="n">
        <x:v>12</x:v>
      </x:c>
      <x:c r="R1188" s="5" t="n">
        <x:v>4</x:v>
      </x:c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5" t="str">
        <x:v>ORD-00414</x:v>
      </x:c>
      <x:c r="B1189" s="43" t="n">
        <x:v>46176</x:v>
      </x:c>
      <x:c r="C1189" s="5" t="str">
        <x:v>CUST-0628</x:v>
      </x:c>
      <x:c r="D1189" s="5" t="str">
        <x:v>FD001</x:v>
      </x:c>
      <x:c r="E1189" s="5" t="str">
        <x:v>White Rice &amp; Stew</x:v>
      </x:c>
      <x:c r="F1189" s="5" t="str">
        <x:v>Rice Meals</x:v>
      </x:c>
      <x:c r="G1189" s="44" t="n">
        <x:v>2</x:v>
      </x:c>
      <x:c r="H1189" s="45" t="n">
        <x:v>1800</x:v>
      </x:c>
      <x:c r="I1189" s="46" t="n">
        <x:v>0.05</x:v>
      </x:c>
      <x:c r="J1189" s="47" t="n">
        <x:f>G1189*H1189*(1-I1189)</x:f>
        <x:v>3420</x:v>
      </x:c>
      <x:c r="K1189" s="47" t="n">
        <x:v>820</x:v>
      </x:c>
      <x:c r="L1189" s="47" t="n">
        <x:f>G1189*K1189</x:f>
        <x:v>1640</x:v>
      </x:c>
      <x:c r="M1189" s="47" t="n">
        <x:f>J1189-L1189</x:f>
        <x:v>1780</x:v>
      </x:c>
      <x:c r="N1189" s="5" t="str">
        <x:v>Takeaway</x:v>
      </x:c>
      <x:c r="O1189" s="5" t="str">
        <x:v>Transfer</x:v>
      </x:c>
      <x:c r="P1189" s="5" t="str">
        <x:v>Lunch</x:v>
      </x:c>
      <x:c r="Q1189" s="48" t="n">
        <x:v>15</x:v>
      </x:c>
      <x:c r="R1189" s="5" t="n">
        <x:v>4</x:v>
      </x:c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5" t="str">
        <x:v>ORD-01181</x:v>
      </x:c>
      <x:c r="B1190" s="43" t="n">
        <x:v>46176</x:v>
      </x:c>
      <x:c r="C1190" s="5" t="str">
        <x:v>CUST-0166</x:v>
      </x:c>
      <x:c r="D1190" s="5" t="str">
        <x:v>FD002</x:v>
      </x:c>
      <x:c r="E1190" s="5" t="str">
        <x:v>Jollof Rice &amp; Chicken</x:v>
      </x:c>
      <x:c r="F1190" s="5" t="str">
        <x:v>Rice Meals</x:v>
      </x:c>
      <x:c r="G1190" s="44" t="n">
        <x:v>2</x:v>
      </x:c>
      <x:c r="H1190" s="45" t="n">
        <x:v>2800</x:v>
      </x:c>
      <x:c r="I1190" s="46" t="n">
        <x:v>0</x:v>
      </x:c>
      <x:c r="J1190" s="47" t="n">
        <x:f>G1190*H1190*(1-I1190)</x:f>
        <x:v>5600</x:v>
      </x:c>
      <x:c r="K1190" s="47" t="n">
        <x:v>1450</x:v>
      </x:c>
      <x:c r="L1190" s="47" t="n">
        <x:f>G1190*K1190</x:f>
        <x:v>2900</x:v>
      </x:c>
      <x:c r="M1190" s="47" t="n">
        <x:f>J1190-L1190</x:f>
        <x:v>2700</x:v>
      </x:c>
      <x:c r="N1190" s="5" t="str">
        <x:v>Walk-in</x:v>
      </x:c>
      <x:c r="O1190" s="5" t="str">
        <x:v>Transfer</x:v>
      </x:c>
      <x:c r="P1190" s="5" t="str">
        <x:v>Lunch</x:v>
      </x:c>
      <x:c r="Q1190" s="48" t="n">
        <x:v>14</x:v>
      </x:c>
      <x:c r="R1190" s="5" t="n">
        <x:v>3</x:v>
      </x:c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5" t="str">
        <x:v>ORD-01216</x:v>
      </x:c>
      <x:c r="B1191" s="43" t="n">
        <x:v>46176</x:v>
      </x:c>
      <x:c r="C1191" s="5" t="str">
        <x:v>CUST-0431</x:v>
      </x:c>
      <x:c r="D1191" s="5" t="str">
        <x:v>FD001</x:v>
      </x:c>
      <x:c r="E1191" s="5" t="str">
        <x:v>White Rice &amp; Stew</x:v>
      </x:c>
      <x:c r="F1191" s="5" t="str">
        <x:v>Rice Meals</x:v>
      </x:c>
      <x:c r="G1191" s="44" t="n">
        <x:v>3</x:v>
      </x:c>
      <x:c r="H1191" s="45" t="n">
        <x:v>1800</x:v>
      </x:c>
      <x:c r="I1191" s="46" t="n">
        <x:v>0.1</x:v>
      </x:c>
      <x:c r="J1191" s="47" t="n">
        <x:f>G1191*H1191*(1-I1191)</x:f>
        <x:v>4860</x:v>
      </x:c>
      <x:c r="K1191" s="47" t="n">
        <x:v>820</x:v>
      </x:c>
      <x:c r="L1191" s="47" t="n">
        <x:f>G1191*K1191</x:f>
        <x:v>2460</x:v>
      </x:c>
      <x:c r="M1191" s="47" t="n">
        <x:f>J1191-L1191</x:f>
        <x:v>2400</x:v>
      </x:c>
      <x:c r="N1191" s="5" t="str">
        <x:v>Delivery</x:v>
      </x:c>
      <x:c r="O1191" s="5" t="str">
        <x:v>POS</x:v>
      </x:c>
      <x:c r="P1191" s="5" t="str">
        <x:v>Breakfast</x:v>
      </x:c>
      <x:c r="Q1191" s="48" t="n">
        <x:v>9</x:v>
      </x:c>
      <x:c r="R1191" s="5" t="n">
        <x:v>5</x:v>
      </x:c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5" t="str">
        <x:v>ORD-01404</x:v>
      </x:c>
      <x:c r="B1192" s="43" t="n">
        <x:v>46176</x:v>
      </x:c>
      <x:c r="C1192" s="5" t="str">
        <x:v>CUST-0165</x:v>
      </x:c>
      <x:c r="D1192" s="5" t="str">
        <x:v>FD003</x:v>
      </x:c>
      <x:c r="E1192" s="5" t="str">
        <x:v>Fried Rice &amp; Chicken</x:v>
      </x:c>
      <x:c r="F1192" s="5" t="str">
        <x:v>Rice Meals</x:v>
      </x:c>
      <x:c r="G1192" s="44" t="n">
        <x:v>3</x:v>
      </x:c>
      <x:c r="H1192" s="45" t="n">
        <x:v>3000</x:v>
      </x:c>
      <x:c r="I1192" s="46" t="n">
        <x:v>0</x:v>
      </x:c>
      <x:c r="J1192" s="47" t="n">
        <x:f>G1192*H1192*(1-I1192)</x:f>
        <x:v>9000</x:v>
      </x:c>
      <x:c r="K1192" s="47" t="n">
        <x:v>1580</x:v>
      </x:c>
      <x:c r="L1192" s="47" t="n">
        <x:f>G1192*K1192</x:f>
        <x:v>4740</x:v>
      </x:c>
      <x:c r="M1192" s="47" t="n">
        <x:f>J1192-L1192</x:f>
        <x:v>4260</x:v>
      </x:c>
      <x:c r="N1192" s="5" t="str">
        <x:v>Walk-in</x:v>
      </x:c>
      <x:c r="O1192" s="5" t="str">
        <x:v>POS</x:v>
      </x:c>
      <x:c r="P1192" s="5" t="str">
        <x:v>Dinner</x:v>
      </x:c>
      <x:c r="Q1192" s="48" t="n">
        <x:v>19</x:v>
      </x:c>
      <x:c r="R1192" s="5" t="n">
        <x:v>5</x:v>
      </x:c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5" t="str">
        <x:v>ORD-01435</x:v>
      </x:c>
      <x:c r="B1193" s="43" t="n">
        <x:v>46176</x:v>
      </x:c>
      <x:c r="C1193" s="5" t="str">
        <x:v>CUST-0412</x:v>
      </x:c>
      <x:c r="D1193" s="5" t="str">
        <x:v>FD004</x:v>
      </x:c>
      <x:c r="E1193" s="5" t="str">
        <x:v>Beans &amp; Plantain</x:v>
      </x:c>
      <x:c r="F1193" s="5" t="str">
        <x:v>Traditional Meals</x:v>
      </x:c>
      <x:c r="G1193" s="44" t="n">
        <x:v>3</x:v>
      </x:c>
      <x:c r="H1193" s="45" t="n">
        <x:v>2000</x:v>
      </x:c>
      <x:c r="I1193" s="46" t="n">
        <x:v>0</x:v>
      </x:c>
      <x:c r="J1193" s="47" t="n">
        <x:f>G1193*H1193*(1-I1193)</x:f>
        <x:v>6000</x:v>
      </x:c>
      <x:c r="K1193" s="47" t="n">
        <x:v>960</x:v>
      </x:c>
      <x:c r="L1193" s="47" t="n">
        <x:f>G1193*K1193</x:f>
        <x:v>2880</x:v>
      </x:c>
      <x:c r="M1193" s="47" t="n">
        <x:f>J1193-L1193</x:f>
        <x:v>3120</x:v>
      </x:c>
      <x:c r="N1193" s="5" t="str">
        <x:v>Takeaway</x:v>
      </x:c>
      <x:c r="O1193" s="5" t="str">
        <x:v>Transfer</x:v>
      </x:c>
      <x:c r="P1193" s="5" t="str">
        <x:v>Dinner</x:v>
      </x:c>
      <x:c r="Q1193" s="48" t="n">
        <x:v>19</x:v>
      </x:c>
      <x:c r="R1193" s="5" t="n">
        <x:v>4</x:v>
      </x:c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5" t="str">
        <x:v>ORD-01796</x:v>
      </x:c>
      <x:c r="B1194" s="43" t="n">
        <x:v>46176</x:v>
      </x:c>
      <x:c r="C1194" s="5" t="str">
        <x:v>CUST-0527</x:v>
      </x:c>
      <x:c r="D1194" s="5" t="str">
        <x:v>FD006</x:v>
      </x:c>
      <x:c r="E1194" s="5" t="str">
        <x:v>Eba &amp; Egusi Soup</x:v>
      </x:c>
      <x:c r="F1194" s="5" t="str">
        <x:v>Swallow</x:v>
      </x:c>
      <x:c r="G1194" s="44" t="n">
        <x:v>2</x:v>
      </x:c>
      <x:c r="H1194" s="45" t="n">
        <x:v>2600</x:v>
      </x:c>
      <x:c r="I1194" s="46" t="n">
        <x:v>0</x:v>
      </x:c>
      <x:c r="J1194" s="47" t="n">
        <x:f>G1194*H1194*(1-I1194)</x:f>
        <x:v>5200</x:v>
      </x:c>
      <x:c r="K1194" s="47" t="n">
        <x:v>1320</x:v>
      </x:c>
      <x:c r="L1194" s="47" t="n">
        <x:f>G1194*K1194</x:f>
        <x:v>2640</x:v>
      </x:c>
      <x:c r="M1194" s="47" t="n">
        <x:f>J1194-L1194</x:f>
        <x:v>2560</x:v>
      </x:c>
      <x:c r="N1194" s="5" t="str">
        <x:v>Walk-in</x:v>
      </x:c>
      <x:c r="O1194" s="5" t="str">
        <x:v>Cash</x:v>
      </x:c>
      <x:c r="P1194" s="5" t="str">
        <x:v>Lunch</x:v>
      </x:c>
      <x:c r="Q1194" s="48" t="n">
        <x:v>13</x:v>
      </x:c>
      <x:c r="R1194" s="5" t="n">
        <x:v>5</x:v>
      </x:c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5" t="str">
        <x:v>ORD-00031</x:v>
      </x:c>
      <x:c r="B1195" s="43" t="n">
        <x:v>46177</x:v>
      </x:c>
      <x:c r="C1195" s="5" t="str">
        <x:v>CUST-0571</x:v>
      </x:c>
      <x:c r="D1195" s="5" t="str">
        <x:v>FD004</x:v>
      </x:c>
      <x:c r="E1195" s="5" t="str">
        <x:v>Beans &amp; Plantain</x:v>
      </x:c>
      <x:c r="F1195" s="5" t="str">
        <x:v>Traditional Meals</x:v>
      </x:c>
      <x:c r="G1195" s="44" t="n">
        <x:v>3</x:v>
      </x:c>
      <x:c r="H1195" s="45" t="n">
        <x:v>2000</x:v>
      </x:c>
      <x:c r="I1195" s="46" t="n">
        <x:v>0</x:v>
      </x:c>
      <x:c r="J1195" s="47" t="n">
        <x:f>G1195*H1195*(1-I1195)</x:f>
        <x:v>6000</x:v>
      </x:c>
      <x:c r="K1195" s="47" t="n">
        <x:v>960</x:v>
      </x:c>
      <x:c r="L1195" s="47" t="n">
        <x:f>G1195*K1195</x:f>
        <x:v>2880</x:v>
      </x:c>
      <x:c r="M1195" s="47" t="n">
        <x:f>J1195-L1195</x:f>
        <x:v>3120</x:v>
      </x:c>
      <x:c r="N1195" s="5" t="str">
        <x:v>Takeaway</x:v>
      </x:c>
      <x:c r="O1195" s="5" t="str">
        <x:v>Cash</x:v>
      </x:c>
      <x:c r="P1195" s="5" t="str">
        <x:v>Breakfast</x:v>
      </x:c>
      <x:c r="Q1195" s="48" t="n">
        <x:v>8</x:v>
      </x:c>
      <x:c r="R1195" s="5" t="n">
        <x:v>4</x:v>
      </x:c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5" t="str">
        <x:v>ORD-00646</x:v>
      </x:c>
      <x:c r="B1196" s="43" t="n">
        <x:v>46177</x:v>
      </x:c>
      <x:c r="C1196" s="5" t="str">
        <x:v>CUST-0104</x:v>
      </x:c>
      <x:c r="D1196" s="5" t="str">
        <x:v>FD002</x:v>
      </x:c>
      <x:c r="E1196" s="5" t="str">
        <x:v>Jollof Rice &amp; Chicken</x:v>
      </x:c>
      <x:c r="F1196" s="5" t="str">
        <x:v>Rice Meals</x:v>
      </x:c>
      <x:c r="G1196" s="44" t="n">
        <x:v>2</x:v>
      </x:c>
      <x:c r="H1196" s="45" t="n">
        <x:v>2800</x:v>
      </x:c>
      <x:c r="I1196" s="46" t="n">
        <x:v>0</x:v>
      </x:c>
      <x:c r="J1196" s="47" t="n">
        <x:f>G1196*H1196*(1-I1196)</x:f>
        <x:v>5600</x:v>
      </x:c>
      <x:c r="K1196" s="47" t="n">
        <x:v>1450</x:v>
      </x:c>
      <x:c r="L1196" s="47" t="n">
        <x:f>G1196*K1196</x:f>
        <x:v>2900</x:v>
      </x:c>
      <x:c r="M1196" s="47" t="n">
        <x:f>J1196-L1196</x:f>
        <x:v>2700</x:v>
      </x:c>
      <x:c r="N1196" s="5" t="str">
        <x:v>Walk-in</x:v>
      </x:c>
      <x:c r="O1196" s="5" t="str">
        <x:v>Cash</x:v>
      </x:c>
      <x:c r="P1196" s="5" t="str">
        <x:v>Lunch</x:v>
      </x:c>
      <x:c r="Q1196" s="48" t="n">
        <x:v>15</x:v>
      </x:c>
      <x:c r="R1196" s="5" t="n">
        <x:v>5</x:v>
      </x:c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5" t="str">
        <x:v>ORD-00691</x:v>
      </x:c>
      <x:c r="B1197" s="43" t="n">
        <x:v>46177</x:v>
      </x:c>
      <x:c r="C1197" s="5" t="str">
        <x:v>CUST-0126</x:v>
      </x:c>
      <x:c r="D1197" s="5" t="str">
        <x:v>FD003</x:v>
      </x:c>
      <x:c r="E1197" s="5" t="str">
        <x:v>Fried Rice &amp; Chicken</x:v>
      </x:c>
      <x:c r="F1197" s="5" t="str">
        <x:v>Rice Meals</x:v>
      </x:c>
      <x:c r="G1197" s="44" t="n">
        <x:v>2</x:v>
      </x:c>
      <x:c r="H1197" s="45" t="n">
        <x:v>3000</x:v>
      </x:c>
      <x:c r="I1197" s="46" t="n">
        <x:v>0.05</x:v>
      </x:c>
      <x:c r="J1197" s="47" t="n">
        <x:f>G1197*H1197*(1-I1197)</x:f>
        <x:v>5700</x:v>
      </x:c>
      <x:c r="K1197" s="47" t="n">
        <x:v>1580</x:v>
      </x:c>
      <x:c r="L1197" s="47" t="n">
        <x:f>G1197*K1197</x:f>
        <x:v>3160</x:v>
      </x:c>
      <x:c r="M1197" s="47" t="n">
        <x:f>J1197-L1197</x:f>
        <x:v>2540</x:v>
      </x:c>
      <x:c r="N1197" s="5" t="str">
        <x:v>Walk-in</x:v>
      </x:c>
      <x:c r="O1197" s="5" t="str">
        <x:v>Transfer</x:v>
      </x:c>
      <x:c r="P1197" s="5" t="str">
        <x:v>Lunch</x:v>
      </x:c>
      <x:c r="Q1197" s="48" t="n">
        <x:v>11</x:v>
      </x:c>
      <x:c r="R1197" s="5" t="n">
        <x:v>5</x:v>
      </x:c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5" t="str">
        <x:v>ORD-00837</x:v>
      </x:c>
      <x:c r="B1198" s="43" t="n">
        <x:v>46177</x:v>
      </x:c>
      <x:c r="C1198" s="5" t="str">
        <x:v>CUST-0592</x:v>
      </x:c>
      <x:c r="D1198" s="5" t="str">
        <x:v>FD010</x:v>
      </x:c>
      <x:c r="E1198" s="5" t="str">
        <x:v>Soft Drink</x:v>
      </x:c>
      <x:c r="F1198" s="5" t="str">
        <x:v>Beverages</x:v>
      </x:c>
      <x:c r="G1198" s="44" t="n">
        <x:v>4</x:v>
      </x:c>
      <x:c r="H1198" s="45" t="n">
        <x:v>600</x:v>
      </x:c>
      <x:c r="I1198" s="46" t="n">
        <x:v>0</x:v>
      </x:c>
      <x:c r="J1198" s="47" t="n">
        <x:f>G1198*H1198*(1-I1198)</x:f>
        <x:v>2400</x:v>
      </x:c>
      <x:c r="K1198" s="47" t="n">
        <x:v>280</x:v>
      </x:c>
      <x:c r="L1198" s="47" t="n">
        <x:f>G1198*K1198</x:f>
        <x:v>1120</x:v>
      </x:c>
      <x:c r="M1198" s="47" t="n">
        <x:f>J1198-L1198</x:f>
        <x:v>1280</x:v>
      </x:c>
      <x:c r="N1198" s="5" t="str">
        <x:v>Walk-in</x:v>
      </x:c>
      <x:c r="O1198" s="5" t="str">
        <x:v>Cash</x:v>
      </x:c>
      <x:c r="P1198" s="5" t="str">
        <x:v>Lunch</x:v>
      </x:c>
      <x:c r="Q1198" s="48" t="n">
        <x:v>12</x:v>
      </x:c>
      <x:c r="R1198" s="5" t="n">
        <x:v>4</x:v>
      </x:c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5" t="str">
        <x:v>ORD-00892</x:v>
      </x:c>
      <x:c r="B1199" s="43" t="n">
        <x:v>46177</x:v>
      </x:c>
      <x:c r="C1199" s="5" t="str">
        <x:v>CUST-0357</x:v>
      </x:c>
      <x:c r="D1199" s="5" t="str">
        <x:v>FD003</x:v>
      </x:c>
      <x:c r="E1199" s="5" t="str">
        <x:v>Fried Rice &amp; Chicken</x:v>
      </x:c>
      <x:c r="F1199" s="5" t="str">
        <x:v>Rice Meals</x:v>
      </x:c>
      <x:c r="G1199" s="44" t="n">
        <x:v>3</x:v>
      </x:c>
      <x:c r="H1199" s="45" t="n">
        <x:v>3000</x:v>
      </x:c>
      <x:c r="I1199" s="46" t="n">
        <x:v>0</x:v>
      </x:c>
      <x:c r="J1199" s="47" t="n">
        <x:f>G1199*H1199*(1-I1199)</x:f>
        <x:v>9000</x:v>
      </x:c>
      <x:c r="K1199" s="47" t="n">
        <x:v>1580</x:v>
      </x:c>
      <x:c r="L1199" s="47" t="n">
        <x:f>G1199*K1199</x:f>
        <x:v>4740</x:v>
      </x:c>
      <x:c r="M1199" s="47" t="n">
        <x:f>J1199-L1199</x:f>
        <x:v>4260</x:v>
      </x:c>
      <x:c r="N1199" s="5" t="str">
        <x:v>Takeaway</x:v>
      </x:c>
      <x:c r="O1199" s="5" t="str">
        <x:v>Cash</x:v>
      </x:c>
      <x:c r="P1199" s="5" t="str">
        <x:v>Lunch</x:v>
      </x:c>
      <x:c r="Q1199" s="48" t="n">
        <x:v>15</x:v>
      </x:c>
      <x:c r="R1199" s="5" t="n">
        <x:v>5</x:v>
      </x:c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5" t="str">
        <x:v>ORD-01043</x:v>
      </x:c>
      <x:c r="B1200" s="43" t="n">
        <x:v>46177</x:v>
      </x:c>
      <x:c r="C1200" s="5" t="str">
        <x:v>CUST-0286</x:v>
      </x:c>
      <x:c r="D1200" s="5" t="str">
        <x:v>FD005</x:v>
      </x:c>
      <x:c r="E1200" s="5" t="str">
        <x:v>Yam Porridge</x:v>
      </x:c>
      <x:c r="F1200" s="5" t="str">
        <x:v>Traditional Meals</x:v>
      </x:c>
      <x:c r="G1200" s="44" t="n">
        <x:v>1</x:v>
      </x:c>
      <x:c r="H1200" s="45" t="n">
        <x:v>2200</x:v>
      </x:c>
      <x:c r="I1200" s="46" t="n">
        <x:v>0</x:v>
      </x:c>
      <x:c r="J1200" s="47" t="n">
        <x:f>G1200*H1200*(1-I1200)</x:f>
        <x:v>2200</x:v>
      </x:c>
      <x:c r="K1200" s="47" t="n">
        <x:v>1050</x:v>
      </x:c>
      <x:c r="L1200" s="47" t="n">
        <x:f>G1200*K1200</x:f>
        <x:v>1050</x:v>
      </x:c>
      <x:c r="M1200" s="47" t="n">
        <x:f>J1200-L1200</x:f>
        <x:v>1150</x:v>
      </x:c>
      <x:c r="N1200" s="5" t="str">
        <x:v>Walk-in</x:v>
      </x:c>
      <x:c r="O1200" s="5" t="str">
        <x:v>POS</x:v>
      </x:c>
      <x:c r="P1200" s="5" t="str">
        <x:v>Lunch</x:v>
      </x:c>
      <x:c r="Q1200" s="48" t="n">
        <x:v>14</x:v>
      </x:c>
      <x:c r="R1200" s="5" t="n">
        <x:v>5</x:v>
      </x:c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5" t="str">
        <x:v>ORD-01103</x:v>
      </x:c>
      <x:c r="B1201" s="43" t="n">
        <x:v>46177</x:v>
      </x:c>
      <x:c r="C1201" s="5" t="str">
        <x:v>CUST-0341</x:v>
      </x:c>
      <x:c r="D1201" s="5" t="str">
        <x:v>FD003</x:v>
      </x:c>
      <x:c r="E1201" s="5" t="str">
        <x:v>Fried Rice &amp; Chicken</x:v>
      </x:c>
      <x:c r="F1201" s="5" t="str">
        <x:v>Rice Meals</x:v>
      </x:c>
      <x:c r="G1201" s="44" t="n">
        <x:v>3</x:v>
      </x:c>
      <x:c r="H1201" s="45" t="n">
        <x:v>3000</x:v>
      </x:c>
      <x:c r="I1201" s="46" t="n">
        <x:v>0</x:v>
      </x:c>
      <x:c r="J1201" s="47" t="n">
        <x:f>G1201*H1201*(1-I1201)</x:f>
        <x:v>9000</x:v>
      </x:c>
      <x:c r="K1201" s="47" t="n">
        <x:v>1580</x:v>
      </x:c>
      <x:c r="L1201" s="47" t="n">
        <x:f>G1201*K1201</x:f>
        <x:v>4740</x:v>
      </x:c>
      <x:c r="M1201" s="47" t="n">
        <x:f>J1201-L1201</x:f>
        <x:v>4260</x:v>
      </x:c>
      <x:c r="N1201" s="5" t="str">
        <x:v>Delivery</x:v>
      </x:c>
      <x:c r="O1201" s="5" t="str">
        <x:v>POS</x:v>
      </x:c>
      <x:c r="P1201" s="5" t="str">
        <x:v>Lunch</x:v>
      </x:c>
      <x:c r="Q1201" s="48" t="n">
        <x:v>15</x:v>
      </x:c>
      <x:c r="R1201" s="5" t="n">
        <x:v>4</x:v>
      </x:c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5" t="str">
        <x:v>ORD-01333</x:v>
      </x:c>
      <x:c r="B1202" s="43" t="n">
        <x:v>46177</x:v>
      </x:c>
      <x:c r="C1202" s="5" t="str">
        <x:v>CUST-0285</x:v>
      </x:c>
      <x:c r="D1202" s="5" t="str">
        <x:v>FD006</x:v>
      </x:c>
      <x:c r="E1202" s="5" t="str">
        <x:v>Eba &amp; Egusi Soup</x:v>
      </x:c>
      <x:c r="F1202" s="5" t="str">
        <x:v>Swallow</x:v>
      </x:c>
      <x:c r="G1202" s="44" t="n">
        <x:v>2</x:v>
      </x:c>
      <x:c r="H1202" s="45" t="n">
        <x:v>2600</x:v>
      </x:c>
      <x:c r="I1202" s="46" t="n">
        <x:v>0</x:v>
      </x:c>
      <x:c r="J1202" s="47" t="n">
        <x:f>G1202*H1202*(1-I1202)</x:f>
        <x:v>5200</x:v>
      </x:c>
      <x:c r="K1202" s="47" t="n">
        <x:v>1320</x:v>
      </x:c>
      <x:c r="L1202" s="47" t="n">
        <x:f>G1202*K1202</x:f>
        <x:v>2640</x:v>
      </x:c>
      <x:c r="M1202" s="47" t="n">
        <x:f>J1202-L1202</x:f>
        <x:v>2560</x:v>
      </x:c>
      <x:c r="N1202" s="5" t="str">
        <x:v>Walk-in</x:v>
      </x:c>
      <x:c r="O1202" s="5" t="str">
        <x:v>POS</x:v>
      </x:c>
      <x:c r="P1202" s="5" t="str">
        <x:v>Lunch</x:v>
      </x:c>
      <x:c r="Q1202" s="48" t="n">
        <x:v>12</x:v>
      </x:c>
      <x:c r="R1202" s="5" t="n">
        <x:v>5</x:v>
      </x:c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5" t="str">
        <x:v>ORD-01602</x:v>
      </x:c>
      <x:c r="B1203" s="43" t="n">
        <x:v>46177</x:v>
      </x:c>
      <x:c r="C1203" s="5" t="str">
        <x:v>CUST-0174</x:v>
      </x:c>
      <x:c r="D1203" s="5" t="str">
        <x:v>FD009</x:v>
      </x:c>
      <x:c r="E1203" s="5" t="str">
        <x:v>Moi Moi</x:v>
      </x:c>
      <x:c r="F1203" s="5" t="str">
        <x:v>Sides</x:v>
      </x:c>
      <x:c r="G1203" s="44" t="n">
        <x:v>1</x:v>
      </x:c>
      <x:c r="H1203" s="45" t="n">
        <x:v>900</x:v>
      </x:c>
      <x:c r="I1203" s="46" t="n">
        <x:v>0</x:v>
      </x:c>
      <x:c r="J1203" s="47" t="n">
        <x:f>G1203*H1203*(1-I1203)</x:f>
        <x:v>900</x:v>
      </x:c>
      <x:c r="K1203" s="47" t="n">
        <x:v>380</x:v>
      </x:c>
      <x:c r="L1203" s="47" t="n">
        <x:f>G1203*K1203</x:f>
        <x:v>380</x:v>
      </x:c>
      <x:c r="M1203" s="47" t="n">
        <x:f>J1203-L1203</x:f>
        <x:v>520</x:v>
      </x:c>
      <x:c r="N1203" s="5" t="str">
        <x:v>Walk-in</x:v>
      </x:c>
      <x:c r="O1203" s="5" t="str">
        <x:v>Cash</x:v>
      </x:c>
      <x:c r="P1203" s="5" t="str">
        <x:v>Lunch</x:v>
      </x:c>
      <x:c r="Q1203" s="48" t="n">
        <x:v>15</x:v>
      </x:c>
      <x:c r="R1203" s="5" t="n">
        <x:v>4</x:v>
      </x:c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5" t="str">
        <x:v>ORD-00022</x:v>
      </x:c>
      <x:c r="B1204" s="43" t="n">
        <x:v>46178</x:v>
      </x:c>
      <x:c r="C1204" s="5" t="str">
        <x:v>CUST-0198</x:v>
      </x:c>
      <x:c r="D1204" s="5" t="str">
        <x:v>FD002</x:v>
      </x:c>
      <x:c r="E1204" s="5" t="str">
        <x:v>Jollof Rice &amp; Chicken</x:v>
      </x:c>
      <x:c r="F1204" s="5" t="str">
        <x:v>Rice Meals</x:v>
      </x:c>
      <x:c r="G1204" s="44" t="n">
        <x:v>2</x:v>
      </x:c>
      <x:c r="H1204" s="45" t="n">
        <x:v>2800</x:v>
      </x:c>
      <x:c r="I1204" s="46" t="n">
        <x:v>0</x:v>
      </x:c>
      <x:c r="J1204" s="47" t="n">
        <x:f>G1204*H1204*(1-I1204)</x:f>
        <x:v>5600</x:v>
      </x:c>
      <x:c r="K1204" s="47" t="n">
        <x:v>1450</x:v>
      </x:c>
      <x:c r="L1204" s="47" t="n">
        <x:f>G1204*K1204</x:f>
        <x:v>2900</x:v>
      </x:c>
      <x:c r="M1204" s="47" t="n">
        <x:f>J1204-L1204</x:f>
        <x:v>2700</x:v>
      </x:c>
      <x:c r="N1204" s="5" t="str">
        <x:v>Walk-in</x:v>
      </x:c>
      <x:c r="O1204" s="5" t="str">
        <x:v>Transfer</x:v>
      </x:c>
      <x:c r="P1204" s="5" t="str">
        <x:v>Lunch</x:v>
      </x:c>
      <x:c r="Q1204" s="48" t="n">
        <x:v>15</x:v>
      </x:c>
      <x:c r="R1204" s="5" t="n">
        <x:v>5</x:v>
      </x:c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5" t="str">
        <x:v>ORD-00052</x:v>
      </x:c>
      <x:c r="B1205" s="43" t="n">
        <x:v>46178</x:v>
      </x:c>
      <x:c r="C1205" s="5" t="str">
        <x:v>CUST-0375</x:v>
      </x:c>
      <x:c r="D1205" s="5" t="str">
        <x:v>FD005</x:v>
      </x:c>
      <x:c r="E1205" s="5" t="str">
        <x:v>Yam Porridge</x:v>
      </x:c>
      <x:c r="F1205" s="5" t="str">
        <x:v>Traditional Meals</x:v>
      </x:c>
      <x:c r="G1205" s="44" t="n">
        <x:v>1</x:v>
      </x:c>
      <x:c r="H1205" s="45" t="n">
        <x:v>2200</x:v>
      </x:c>
      <x:c r="I1205" s="46" t="n">
        <x:v>0</x:v>
      </x:c>
      <x:c r="J1205" s="47" t="n">
        <x:f>G1205*H1205*(1-I1205)</x:f>
        <x:v>2200</x:v>
      </x:c>
      <x:c r="K1205" s="47" t="n">
        <x:v>1050</x:v>
      </x:c>
      <x:c r="L1205" s="47" t="n">
        <x:f>G1205*K1205</x:f>
        <x:v>1050</x:v>
      </x:c>
      <x:c r="M1205" s="47" t="n">
        <x:f>J1205-L1205</x:f>
        <x:v>1150</x:v>
      </x:c>
      <x:c r="N1205" s="5" t="str">
        <x:v>Delivery</x:v>
      </x:c>
      <x:c r="O1205" s="5" t="str">
        <x:v>POS</x:v>
      </x:c>
      <x:c r="P1205" s="5" t="str">
        <x:v>Dinner</x:v>
      </x:c>
      <x:c r="Q1205" s="48" t="n">
        <x:v>18</x:v>
      </x:c>
      <x:c r="R1205" s="5" t="n">
        <x:v>4</x:v>
      </x:c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5" t="str">
        <x:v>ORD-00342</x:v>
      </x:c>
      <x:c r="B1206" s="43" t="n">
        <x:v>46178</x:v>
      </x:c>
      <x:c r="C1206" s="5" t="str">
        <x:v>CUST-0367</x:v>
      </x:c>
      <x:c r="D1206" s="5" t="str">
        <x:v>FD004</x:v>
      </x:c>
      <x:c r="E1206" s="5" t="str">
        <x:v>Beans &amp; Plantain</x:v>
      </x:c>
      <x:c r="F1206" s="5" t="str">
        <x:v>Traditional Meals</x:v>
      </x:c>
      <x:c r="G1206" s="44" t="n">
        <x:v>3</x:v>
      </x:c>
      <x:c r="H1206" s="45" t="n">
        <x:v>2000</x:v>
      </x:c>
      <x:c r="I1206" s="46" t="n">
        <x:v>0</x:v>
      </x:c>
      <x:c r="J1206" s="47" t="n">
        <x:f>G1206*H1206*(1-I1206)</x:f>
        <x:v>6000</x:v>
      </x:c>
      <x:c r="K1206" s="47" t="n">
        <x:v>960</x:v>
      </x:c>
      <x:c r="L1206" s="47" t="n">
        <x:f>G1206*K1206</x:f>
        <x:v>2880</x:v>
      </x:c>
      <x:c r="M1206" s="47" t="n">
        <x:f>J1206-L1206</x:f>
        <x:v>3120</x:v>
      </x:c>
      <x:c r="N1206" s="5" t="str">
        <x:v>Walk-in</x:v>
      </x:c>
      <x:c r="O1206" s="5" t="str">
        <x:v>POS</x:v>
      </x:c>
      <x:c r="P1206" s="5" t="str">
        <x:v>Dinner</x:v>
      </x:c>
      <x:c r="Q1206" s="48" t="n">
        <x:v>19</x:v>
      </x:c>
      <x:c r="R1206" s="5" t="n">
        <x:v>3</x:v>
      </x:c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5" t="str">
        <x:v>ORD-00875</x:v>
      </x:c>
      <x:c r="B1207" s="43" t="n">
        <x:v>46178</x:v>
      </x:c>
      <x:c r="C1207" s="5" t="str">
        <x:v>CUST-0470</x:v>
      </x:c>
      <x:c r="D1207" s="5" t="str">
        <x:v>FD001</x:v>
      </x:c>
      <x:c r="E1207" s="5" t="str">
        <x:v>White Rice &amp; Stew</x:v>
      </x:c>
      <x:c r="F1207" s="5" t="str">
        <x:v>Rice Meals</x:v>
      </x:c>
      <x:c r="G1207" s="44" t="n">
        <x:v>2</x:v>
      </x:c>
      <x:c r="H1207" s="45" t="n">
        <x:v>1800</x:v>
      </x:c>
      <x:c r="I1207" s="46" t="n">
        <x:v>0</x:v>
      </x:c>
      <x:c r="J1207" s="47" t="n">
        <x:f>G1207*H1207*(1-I1207)</x:f>
        <x:v>3600</x:v>
      </x:c>
      <x:c r="K1207" s="47" t="n">
        <x:v>820</x:v>
      </x:c>
      <x:c r="L1207" s="47" t="n">
        <x:f>G1207*K1207</x:f>
        <x:v>1640</x:v>
      </x:c>
      <x:c r="M1207" s="47" t="n">
        <x:f>J1207-L1207</x:f>
        <x:v>1960</x:v>
      </x:c>
      <x:c r="N1207" s="5" t="str">
        <x:v>Delivery</x:v>
      </x:c>
      <x:c r="O1207" s="5" t="str">
        <x:v>Cash</x:v>
      </x:c>
      <x:c r="P1207" s="5" t="str">
        <x:v>Dinner</x:v>
      </x:c>
      <x:c r="Q1207" s="48" t="n">
        <x:v>18</x:v>
      </x:c>
      <x:c r="R1207" s="5" t="n">
        <x:v>4</x:v>
      </x:c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5" t="str">
        <x:v>ORD-00953</x:v>
      </x:c>
      <x:c r="B1208" s="43" t="n">
        <x:v>46178</x:v>
      </x:c>
      <x:c r="C1208" s="5" t="str">
        <x:v>CUST-0164</x:v>
      </x:c>
      <x:c r="D1208" s="5" t="str">
        <x:v>FD009</x:v>
      </x:c>
      <x:c r="E1208" s="5" t="str">
        <x:v>Moi Moi</x:v>
      </x:c>
      <x:c r="F1208" s="5" t="str">
        <x:v>Sides</x:v>
      </x:c>
      <x:c r="G1208" s="44" t="n">
        <x:v>1</x:v>
      </x:c>
      <x:c r="H1208" s="45" t="n">
        <x:v>900</x:v>
      </x:c>
      <x:c r="I1208" s="46" t="n">
        <x:v>0</x:v>
      </x:c>
      <x:c r="J1208" s="47" t="n">
        <x:f>G1208*H1208*(1-I1208)</x:f>
        <x:v>900</x:v>
      </x:c>
      <x:c r="K1208" s="47" t="n">
        <x:v>380</x:v>
      </x:c>
      <x:c r="L1208" s="47" t="n">
        <x:f>G1208*K1208</x:f>
        <x:v>380</x:v>
      </x:c>
      <x:c r="M1208" s="47" t="n">
        <x:f>J1208-L1208</x:f>
        <x:v>520</x:v>
      </x:c>
      <x:c r="N1208" s="5" t="str">
        <x:v>Takeaway</x:v>
      </x:c>
      <x:c r="O1208" s="5" t="str">
        <x:v>Transfer</x:v>
      </x:c>
      <x:c r="P1208" s="5" t="str">
        <x:v>Lunch</x:v>
      </x:c>
      <x:c r="Q1208" s="48" t="n">
        <x:v>12</x:v>
      </x:c>
      <x:c r="R1208" s="5" t="n">
        <x:v>5</x:v>
      </x:c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5" t="str">
        <x:v>ORD-01232</x:v>
      </x:c>
      <x:c r="B1209" s="43" t="n">
        <x:v>46178</x:v>
      </x:c>
      <x:c r="C1209" s="5" t="str">
        <x:v>CUST-0003</x:v>
      </x:c>
      <x:c r="D1209" s="5" t="str">
        <x:v>FD003</x:v>
      </x:c>
      <x:c r="E1209" s="5" t="str">
        <x:v>Fried Rice &amp; Chicken</x:v>
      </x:c>
      <x:c r="F1209" s="5" t="str">
        <x:v>Rice Meals</x:v>
      </x:c>
      <x:c r="G1209" s="44" t="n">
        <x:v>1</x:v>
      </x:c>
      <x:c r="H1209" s="45" t="n">
        <x:v>3000</x:v>
      </x:c>
      <x:c r="I1209" s="46" t="n">
        <x:v>0</x:v>
      </x:c>
      <x:c r="J1209" s="47" t="n">
        <x:f>G1209*H1209*(1-I1209)</x:f>
        <x:v>3000</x:v>
      </x:c>
      <x:c r="K1209" s="47" t="n">
        <x:v>1580</x:v>
      </x:c>
      <x:c r="L1209" s="47" t="n">
        <x:f>G1209*K1209</x:f>
        <x:v>1580</x:v>
      </x:c>
      <x:c r="M1209" s="47" t="n">
        <x:f>J1209-L1209</x:f>
        <x:v>1420</x:v>
      </x:c>
      <x:c r="N1209" s="5" t="str">
        <x:v>Delivery</x:v>
      </x:c>
      <x:c r="O1209" s="5" t="str">
        <x:v>POS</x:v>
      </x:c>
      <x:c r="P1209" s="5" t="str">
        <x:v>Lunch</x:v>
      </x:c>
      <x:c r="Q1209" s="48" t="n">
        <x:v>14</x:v>
      </x:c>
      <x:c r="R1209" s="5" t="n">
        <x:v>5</x:v>
      </x:c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5" t="str">
        <x:v>ORD-01634</x:v>
      </x:c>
      <x:c r="B1210" s="43" t="n">
        <x:v>46178</x:v>
      </x:c>
      <x:c r="C1210" s="5" t="str">
        <x:v>CUST-0226</x:v>
      </x:c>
      <x:c r="D1210" s="5" t="str">
        <x:v>FD008</x:v>
      </x:c>
      <x:c r="E1210" s="5" t="str">
        <x:v>Pounded Yam &amp; Vegetable Soup</x:v>
      </x:c>
      <x:c r="F1210" s="5" t="str">
        <x:v>Swallow</x:v>
      </x:c>
      <x:c r="G1210" s="44" t="n">
        <x:v>3</x:v>
      </x:c>
      <x:c r="H1210" s="45" t="n">
        <x:v>3200</x:v>
      </x:c>
      <x:c r="I1210" s="46" t="n">
        <x:v>0</x:v>
      </x:c>
      <x:c r="J1210" s="47" t="n">
        <x:f>G1210*H1210*(1-I1210)</x:f>
        <x:v>9600</x:v>
      </x:c>
      <x:c r="K1210" s="47" t="n">
        <x:v>1710</x:v>
      </x:c>
      <x:c r="L1210" s="47" t="n">
        <x:f>G1210*K1210</x:f>
        <x:v>5130</x:v>
      </x:c>
      <x:c r="M1210" s="47" t="n">
        <x:f>J1210-L1210</x:f>
        <x:v>4470</x:v>
      </x:c>
      <x:c r="N1210" s="5" t="str">
        <x:v>Takeaway</x:v>
      </x:c>
      <x:c r="O1210" s="5" t="str">
        <x:v>POS</x:v>
      </x:c>
      <x:c r="P1210" s="5" t="str">
        <x:v>Lunch</x:v>
      </x:c>
      <x:c r="Q1210" s="48" t="n">
        <x:v>12</x:v>
      </x:c>
      <x:c r="R1210" s="5" t="n">
        <x:v>4</x:v>
      </x:c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5" t="str">
        <x:v>ORD-01749</x:v>
      </x:c>
      <x:c r="B1211" s="43" t="n">
        <x:v>46178</x:v>
      </x:c>
      <x:c r="C1211" s="5" t="str">
        <x:v>CUST-0147</x:v>
      </x:c>
      <x:c r="D1211" s="5" t="str">
        <x:v>FD011</x:v>
      </x:c>
      <x:c r="E1211" s="5" t="str">
        <x:v>Bottled Water</x:v>
      </x:c>
      <x:c r="F1211" s="5" t="str">
        <x:v>Beverages</x:v>
      </x:c>
      <x:c r="G1211" s="44" t="n">
        <x:v>3</x:v>
      </x:c>
      <x:c r="H1211" s="45" t="n">
        <x:v>300</x:v>
      </x:c>
      <x:c r="I1211" s="46" t="n">
        <x:v>0</x:v>
      </x:c>
      <x:c r="J1211" s="47" t="n">
        <x:f>G1211*H1211*(1-I1211)</x:f>
        <x:v>900</x:v>
      </x:c>
      <x:c r="K1211" s="47" t="n">
        <x:v>120</x:v>
      </x:c>
      <x:c r="L1211" s="47" t="n">
        <x:f>G1211*K1211</x:f>
        <x:v>360</x:v>
      </x:c>
      <x:c r="M1211" s="47" t="n">
        <x:f>J1211-L1211</x:f>
        <x:v>540</x:v>
      </x:c>
      <x:c r="N1211" s="5" t="str">
        <x:v>Walk-in</x:v>
      </x:c>
      <x:c r="O1211" s="5" t="str">
        <x:v>Transfer</x:v>
      </x:c>
      <x:c r="P1211" s="5" t="str">
        <x:v>Lunch</x:v>
      </x:c>
      <x:c r="Q1211" s="48" t="n">
        <x:v>14</x:v>
      </x:c>
      <x:c r="R1211" s="5" t="n">
        <x:v>4</x:v>
      </x:c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5" t="str">
        <x:v>ORD-00139</x:v>
      </x:c>
      <x:c r="B1212" s="43" t="n">
        <x:v>46179</x:v>
      </x:c>
      <x:c r="C1212" s="5" t="str">
        <x:v>CUST-0021</x:v>
      </x:c>
      <x:c r="D1212" s="5" t="str">
        <x:v>FD012</x:v>
      </x:c>
      <x:c r="E1212" s="5" t="str">
        <x:v>Fried Plantain</x:v>
      </x:c>
      <x:c r="F1212" s="5" t="str">
        <x:v>Sides</x:v>
      </x:c>
      <x:c r="G1212" s="44" t="n">
        <x:v>2</x:v>
      </x:c>
      <x:c r="H1212" s="45" t="n">
        <x:v>700</x:v>
      </x:c>
      <x:c r="I1212" s="46" t="n">
        <x:v>0</x:v>
      </x:c>
      <x:c r="J1212" s="47" t="n">
        <x:f>G1212*H1212*(1-I1212)</x:f>
        <x:v>1400</x:v>
      </x:c>
      <x:c r="K1212" s="47" t="n">
        <x:v>300</x:v>
      </x:c>
      <x:c r="L1212" s="47" t="n">
        <x:f>G1212*K1212</x:f>
        <x:v>600</x:v>
      </x:c>
      <x:c r="M1212" s="47" t="n">
        <x:f>J1212-L1212</x:f>
        <x:v>800</x:v>
      </x:c>
      <x:c r="N1212" s="5" t="str">
        <x:v>Takeaway</x:v>
      </x:c>
      <x:c r="O1212" s="5" t="str">
        <x:v>Transfer</x:v>
      </x:c>
      <x:c r="P1212" s="5" t="str">
        <x:v>Lunch</x:v>
      </x:c>
      <x:c r="Q1212" s="48" t="n">
        <x:v>11</x:v>
      </x:c>
      <x:c r="R1212" s="5" t="n">
        <x:v>5</x:v>
      </x:c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5" t="str">
        <x:v>ORD-00177</x:v>
      </x:c>
      <x:c r="B1213" s="43" t="n">
        <x:v>46179</x:v>
      </x:c>
      <x:c r="C1213" s="5" t="str">
        <x:v>CUST-0214</x:v>
      </x:c>
      <x:c r="D1213" s="5" t="str">
        <x:v>FD001</x:v>
      </x:c>
      <x:c r="E1213" s="5" t="str">
        <x:v>White Rice &amp; Stew</x:v>
      </x:c>
      <x:c r="F1213" s="5" t="str">
        <x:v>Rice Meals</x:v>
      </x:c>
      <x:c r="G1213" s="44" t="n">
        <x:v>2</x:v>
      </x:c>
      <x:c r="H1213" s="45" t="n">
        <x:v>1800</x:v>
      </x:c>
      <x:c r="I1213" s="46" t="n">
        <x:v>0</x:v>
      </x:c>
      <x:c r="J1213" s="47" t="n">
        <x:f>G1213*H1213*(1-I1213)</x:f>
        <x:v>3600</x:v>
      </x:c>
      <x:c r="K1213" s="47" t="n">
        <x:v>820</x:v>
      </x:c>
      <x:c r="L1213" s="47" t="n">
        <x:f>G1213*K1213</x:f>
        <x:v>1640</x:v>
      </x:c>
      <x:c r="M1213" s="47" t="n">
        <x:f>J1213-L1213</x:f>
        <x:v>1960</x:v>
      </x:c>
      <x:c r="N1213" s="5" t="str">
        <x:v>Walk-in</x:v>
      </x:c>
      <x:c r="O1213" s="5" t="str">
        <x:v>Cash</x:v>
      </x:c>
      <x:c r="P1213" s="5" t="str">
        <x:v>Lunch</x:v>
      </x:c>
      <x:c r="Q1213" s="48" t="n">
        <x:v>13</x:v>
      </x:c>
      <x:c r="R1213" s="5" t="n">
        <x:v>4</x:v>
      </x:c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5" t="str">
        <x:v>ORD-00290</x:v>
      </x:c>
      <x:c r="B1214" s="43" t="n">
        <x:v>46179</x:v>
      </x:c>
      <x:c r="C1214" s="5" t="str">
        <x:v>CUST-0261</x:v>
      </x:c>
      <x:c r="D1214" s="5" t="str">
        <x:v>FD001</x:v>
      </x:c>
      <x:c r="E1214" s="5" t="str">
        <x:v>White Rice &amp; Stew</x:v>
      </x:c>
      <x:c r="F1214" s="5" t="str">
        <x:v>Rice Meals</x:v>
      </x:c>
      <x:c r="G1214" s="44" t="n">
        <x:v>1</x:v>
      </x:c>
      <x:c r="H1214" s="45" t="n">
        <x:v>1800</x:v>
      </x:c>
      <x:c r="I1214" s="46" t="n">
        <x:v>0</x:v>
      </x:c>
      <x:c r="J1214" s="47" t="n">
        <x:f>G1214*H1214*(1-I1214)</x:f>
        <x:v>1800</x:v>
      </x:c>
      <x:c r="K1214" s="47" t="n">
        <x:v>820</x:v>
      </x:c>
      <x:c r="L1214" s="47" t="n">
        <x:f>G1214*K1214</x:f>
        <x:v>820</x:v>
      </x:c>
      <x:c r="M1214" s="47" t="n">
        <x:f>J1214-L1214</x:f>
        <x:v>980</x:v>
      </x:c>
      <x:c r="N1214" s="5" t="str">
        <x:v>Walk-in</x:v>
      </x:c>
      <x:c r="O1214" s="5" t="str">
        <x:v>Transfer</x:v>
      </x:c>
      <x:c r="P1214" s="5" t="str">
        <x:v>Dinner</x:v>
      </x:c>
      <x:c r="Q1214" s="48" t="n">
        <x:v>17</x:v>
      </x:c>
      <x:c r="R1214" s="5" t="n">
        <x:v>4</x:v>
      </x:c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5" t="str">
        <x:v>ORD-00684</x:v>
      </x:c>
      <x:c r="B1215" s="43" t="n">
        <x:v>46179</x:v>
      </x:c>
      <x:c r="C1215" s="5" t="str">
        <x:v>CUST-0171</x:v>
      </x:c>
      <x:c r="D1215" s="5" t="str">
        <x:v>FD001</x:v>
      </x:c>
      <x:c r="E1215" s="5" t="str">
        <x:v>White Rice &amp; Stew</x:v>
      </x:c>
      <x:c r="F1215" s="5" t="str">
        <x:v>Rice Meals</x:v>
      </x:c>
      <x:c r="G1215" s="44" t="n">
        <x:v>3</x:v>
      </x:c>
      <x:c r="H1215" s="45" t="n">
        <x:v>1800</x:v>
      </x:c>
      <x:c r="I1215" s="46" t="n">
        <x:v>0.05</x:v>
      </x:c>
      <x:c r="J1215" s="47" t="n">
        <x:f>G1215*H1215*(1-I1215)</x:f>
        <x:v>5130</x:v>
      </x:c>
      <x:c r="K1215" s="47" t="n">
        <x:v>820</x:v>
      </x:c>
      <x:c r="L1215" s="47" t="n">
        <x:f>G1215*K1215</x:f>
        <x:v>2460</x:v>
      </x:c>
      <x:c r="M1215" s="47" t="n">
        <x:f>J1215-L1215</x:f>
        <x:v>2670</x:v>
      </x:c>
      <x:c r="N1215" s="5" t="str">
        <x:v>Takeaway</x:v>
      </x:c>
      <x:c r="O1215" s="5" t="str">
        <x:v>Transfer</x:v>
      </x:c>
      <x:c r="P1215" s="5" t="str">
        <x:v>Lunch</x:v>
      </x:c>
      <x:c r="Q1215" s="48" t="n">
        <x:v>15</x:v>
      </x:c>
      <x:c r="R1215" s="5" t="n">
        <x:v>3</x:v>
      </x:c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5" t="str">
        <x:v>ORD-00984</x:v>
      </x:c>
      <x:c r="B1216" s="43" t="n">
        <x:v>46179</x:v>
      </x:c>
      <x:c r="C1216" s="5" t="str">
        <x:v>CUST-0079</x:v>
      </x:c>
      <x:c r="D1216" s="5" t="str">
        <x:v>FD001</x:v>
      </x:c>
      <x:c r="E1216" s="5" t="str">
        <x:v>White Rice &amp; Stew</x:v>
      </x:c>
      <x:c r="F1216" s="5" t="str">
        <x:v>Rice Meals</x:v>
      </x:c>
      <x:c r="G1216" s="44" t="n">
        <x:v>3</x:v>
      </x:c>
      <x:c r="H1216" s="45" t="n">
        <x:v>1800</x:v>
      </x:c>
      <x:c r="I1216" s="46" t="n">
        <x:v>0</x:v>
      </x:c>
      <x:c r="J1216" s="47" t="n">
        <x:f>G1216*H1216*(1-I1216)</x:f>
        <x:v>5400</x:v>
      </x:c>
      <x:c r="K1216" s="47" t="n">
        <x:v>820</x:v>
      </x:c>
      <x:c r="L1216" s="47" t="n">
        <x:f>G1216*K1216</x:f>
        <x:v>2460</x:v>
      </x:c>
      <x:c r="M1216" s="47" t="n">
        <x:f>J1216-L1216</x:f>
        <x:v>2940</x:v>
      </x:c>
      <x:c r="N1216" s="5" t="str">
        <x:v>Walk-in</x:v>
      </x:c>
      <x:c r="O1216" s="5" t="str">
        <x:v>Cash</x:v>
      </x:c>
      <x:c r="P1216" s="5" t="str">
        <x:v>Lunch</x:v>
      </x:c>
      <x:c r="Q1216" s="48" t="n">
        <x:v>14</x:v>
      </x:c>
      <x:c r="R1216" s="5" t="n">
        <x:v>5</x:v>
      </x:c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5" t="str">
        <x:v>ORD-01400</x:v>
      </x:c>
      <x:c r="B1217" s="43" t="n">
        <x:v>46179</x:v>
      </x:c>
      <x:c r="C1217" s="5" t="str">
        <x:v>CUST-0055</x:v>
      </x:c>
      <x:c r="D1217" s="5" t="str">
        <x:v>FD004</x:v>
      </x:c>
      <x:c r="E1217" s="5" t="str">
        <x:v>Beans &amp; Plantain</x:v>
      </x:c>
      <x:c r="F1217" s="5" t="str">
        <x:v>Traditional Meals</x:v>
      </x:c>
      <x:c r="G1217" s="44" t="n">
        <x:v>3</x:v>
      </x:c>
      <x:c r="H1217" s="45" t="n">
        <x:v>2000</x:v>
      </x:c>
      <x:c r="I1217" s="46" t="n">
        <x:v>0</x:v>
      </x:c>
      <x:c r="J1217" s="47" t="n">
        <x:f>G1217*H1217*(1-I1217)</x:f>
        <x:v>6000</x:v>
      </x:c>
      <x:c r="K1217" s="47" t="n">
        <x:v>960</x:v>
      </x:c>
      <x:c r="L1217" s="47" t="n">
        <x:f>G1217*K1217</x:f>
        <x:v>2880</x:v>
      </x:c>
      <x:c r="M1217" s="47" t="n">
        <x:f>J1217-L1217</x:f>
        <x:v>3120</x:v>
      </x:c>
      <x:c r="N1217" s="5" t="str">
        <x:v>Walk-in</x:v>
      </x:c>
      <x:c r="O1217" s="5" t="str">
        <x:v>POS</x:v>
      </x:c>
      <x:c r="P1217" s="5" t="str">
        <x:v>Breakfast</x:v>
      </x:c>
      <x:c r="Q1217" s="48" t="n">
        <x:v>8</x:v>
      </x:c>
      <x:c r="R1217" s="5" t="n">
        <x:v>4</x:v>
      </x:c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5" t="str">
        <x:v>ORD-01487</x:v>
      </x:c>
      <x:c r="B1218" s="43" t="n">
        <x:v>46179</x:v>
      </x:c>
      <x:c r="C1218" s="5" t="str">
        <x:v>CUST-0533</x:v>
      </x:c>
      <x:c r="D1218" s="5" t="str">
        <x:v>FD008</x:v>
      </x:c>
      <x:c r="E1218" s="5" t="str">
        <x:v>Pounded Yam &amp; Vegetable Soup</x:v>
      </x:c>
      <x:c r="F1218" s="5" t="str">
        <x:v>Swallow</x:v>
      </x:c>
      <x:c r="G1218" s="44" t="n">
        <x:v>1</x:v>
      </x:c>
      <x:c r="H1218" s="45" t="n">
        <x:v>3200</x:v>
      </x:c>
      <x:c r="I1218" s="46" t="n">
        <x:v>0</x:v>
      </x:c>
      <x:c r="J1218" s="47" t="n">
        <x:f>G1218*H1218*(1-I1218)</x:f>
        <x:v>3200</x:v>
      </x:c>
      <x:c r="K1218" s="47" t="n">
        <x:v>1710</x:v>
      </x:c>
      <x:c r="L1218" s="47" t="n">
        <x:f>G1218*K1218</x:f>
        <x:v>1710</x:v>
      </x:c>
      <x:c r="M1218" s="47" t="n">
        <x:f>J1218-L1218</x:f>
        <x:v>1490</x:v>
      </x:c>
      <x:c r="N1218" s="5" t="str">
        <x:v>Walk-in</x:v>
      </x:c>
      <x:c r="O1218" s="5" t="str">
        <x:v>POS</x:v>
      </x:c>
      <x:c r="P1218" s="5" t="str">
        <x:v>Lunch</x:v>
      </x:c>
      <x:c r="Q1218" s="48" t="n">
        <x:v>11</x:v>
      </x:c>
      <x:c r="R1218" s="5" t="n">
        <x:v>4</x:v>
      </x:c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5" t="str">
        <x:v>ORD-01488</x:v>
      </x:c>
      <x:c r="B1219" s="43" t="n">
        <x:v>46179</x:v>
      </x:c>
      <x:c r="C1219" s="5" t="str">
        <x:v>CUST-0465</x:v>
      </x:c>
      <x:c r="D1219" s="5" t="str">
        <x:v>FD008</x:v>
      </x:c>
      <x:c r="E1219" s="5" t="str">
        <x:v>Pounded Yam &amp; Vegetable Soup</x:v>
      </x:c>
      <x:c r="F1219" s="5" t="str">
        <x:v>Swallow</x:v>
      </x:c>
      <x:c r="G1219" s="44" t="n">
        <x:v>3</x:v>
      </x:c>
      <x:c r="H1219" s="45" t="n">
        <x:v>3200</x:v>
      </x:c>
      <x:c r="I1219" s="46" t="n">
        <x:v>0</x:v>
      </x:c>
      <x:c r="J1219" s="47" t="n">
        <x:f>G1219*H1219*(1-I1219)</x:f>
        <x:v>9600</x:v>
      </x:c>
      <x:c r="K1219" s="47" t="n">
        <x:v>1710</x:v>
      </x:c>
      <x:c r="L1219" s="47" t="n">
        <x:f>G1219*K1219</x:f>
        <x:v>5130</x:v>
      </x:c>
      <x:c r="M1219" s="47" t="n">
        <x:f>J1219-L1219</x:f>
        <x:v>4470</x:v>
      </x:c>
      <x:c r="N1219" s="5" t="str">
        <x:v>Delivery</x:v>
      </x:c>
      <x:c r="O1219" s="5" t="str">
        <x:v>Cash</x:v>
      </x:c>
      <x:c r="P1219" s="5" t="str">
        <x:v>Lunch</x:v>
      </x:c>
      <x:c r="Q1219" s="48" t="n">
        <x:v>14</x:v>
      </x:c>
      <x:c r="R1219" s="5" t="n">
        <x:v>5</x:v>
      </x:c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5" t="str">
        <x:v>ORD-01526</x:v>
      </x:c>
      <x:c r="B1220" s="43" t="n">
        <x:v>46179</x:v>
      </x:c>
      <x:c r="C1220" s="5" t="str">
        <x:v>CUST-0433</x:v>
      </x:c>
      <x:c r="D1220" s="5" t="str">
        <x:v>FD011</x:v>
      </x:c>
      <x:c r="E1220" s="5" t="str">
        <x:v>Bottled Water</x:v>
      </x:c>
      <x:c r="F1220" s="5" t="str">
        <x:v>Beverages</x:v>
      </x:c>
      <x:c r="G1220" s="44" t="n">
        <x:v>2</x:v>
      </x:c>
      <x:c r="H1220" s="45" t="n">
        <x:v>300</x:v>
      </x:c>
      <x:c r="I1220" s="46" t="n">
        <x:v>0</x:v>
      </x:c>
      <x:c r="J1220" s="47" t="n">
        <x:f>G1220*H1220*(1-I1220)</x:f>
        <x:v>600</x:v>
      </x:c>
      <x:c r="K1220" s="47" t="n">
        <x:v>120</x:v>
      </x:c>
      <x:c r="L1220" s="47" t="n">
        <x:f>G1220*K1220</x:f>
        <x:v>240</x:v>
      </x:c>
      <x:c r="M1220" s="47" t="n">
        <x:f>J1220-L1220</x:f>
        <x:v>360</x:v>
      </x:c>
      <x:c r="N1220" s="5" t="str">
        <x:v>Takeaway</x:v>
      </x:c>
      <x:c r="O1220" s="5" t="str">
        <x:v>POS</x:v>
      </x:c>
      <x:c r="P1220" s="5" t="str">
        <x:v>Lunch</x:v>
      </x:c>
      <x:c r="Q1220" s="48" t="n">
        <x:v>13</x:v>
      </x:c>
      <x:c r="R1220" s="5" t="n">
        <x:v>5</x:v>
      </x:c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5" t="str">
        <x:v>ORD-00252</x:v>
      </x:c>
      <x:c r="B1221" s="43" t="n">
        <x:v>46180</x:v>
      </x:c>
      <x:c r="C1221" s="5" t="str">
        <x:v>CUST-0494</x:v>
      </x:c>
      <x:c r="D1221" s="5" t="str">
        <x:v>FD005</x:v>
      </x:c>
      <x:c r="E1221" s="5" t="str">
        <x:v>Yam Porridge</x:v>
      </x:c>
      <x:c r="F1221" s="5" t="str">
        <x:v>Traditional Meals</x:v>
      </x:c>
      <x:c r="G1221" s="44" t="n">
        <x:v>1</x:v>
      </x:c>
      <x:c r="H1221" s="45" t="n">
        <x:v>2200</x:v>
      </x:c>
      <x:c r="I1221" s="46" t="n">
        <x:v>0</x:v>
      </x:c>
      <x:c r="J1221" s="47" t="n">
        <x:f>G1221*H1221*(1-I1221)</x:f>
        <x:v>2200</x:v>
      </x:c>
      <x:c r="K1221" s="47" t="n">
        <x:v>1050</x:v>
      </x:c>
      <x:c r="L1221" s="47" t="n">
        <x:f>G1221*K1221</x:f>
        <x:v>1050</x:v>
      </x:c>
      <x:c r="M1221" s="47" t="n">
        <x:f>J1221-L1221</x:f>
        <x:v>1150</x:v>
      </x:c>
      <x:c r="N1221" s="5" t="str">
        <x:v>Takeaway</x:v>
      </x:c>
      <x:c r="O1221" s="5" t="str">
        <x:v>Transfer</x:v>
      </x:c>
      <x:c r="P1221" s="5" t="str">
        <x:v>Dinner</x:v>
      </x:c>
      <x:c r="Q1221" s="48" t="n">
        <x:v>19</x:v>
      </x:c>
      <x:c r="R1221" s="5" t="n">
        <x:v>4</x:v>
      </x:c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5" t="str">
        <x:v>ORD-00882</x:v>
      </x:c>
      <x:c r="B1222" s="43" t="n">
        <x:v>46180</x:v>
      </x:c>
      <x:c r="C1222" s="5" t="str">
        <x:v>CUST-0423</x:v>
      </x:c>
      <x:c r="D1222" s="5" t="str">
        <x:v>FD001</x:v>
      </x:c>
      <x:c r="E1222" s="5" t="str">
        <x:v>White Rice &amp; Stew</x:v>
      </x:c>
      <x:c r="F1222" s="5" t="str">
        <x:v>Rice Meals</x:v>
      </x:c>
      <x:c r="G1222" s="44" t="n">
        <x:v>4</x:v>
      </x:c>
      <x:c r="H1222" s="45" t="n">
        <x:v>1800</x:v>
      </x:c>
      <x:c r="I1222" s="46" t="n">
        <x:v>0</x:v>
      </x:c>
      <x:c r="J1222" s="47" t="n">
        <x:f>G1222*H1222*(1-I1222)</x:f>
        <x:v>7200</x:v>
      </x:c>
      <x:c r="K1222" s="47" t="n">
        <x:v>820</x:v>
      </x:c>
      <x:c r="L1222" s="47" t="n">
        <x:f>G1222*K1222</x:f>
        <x:v>3280</x:v>
      </x:c>
      <x:c r="M1222" s="47" t="n">
        <x:f>J1222-L1222</x:f>
        <x:v>3920</x:v>
      </x:c>
      <x:c r="N1222" s="5" t="str">
        <x:v>Delivery</x:v>
      </x:c>
      <x:c r="O1222" s="5" t="str">
        <x:v>Cash</x:v>
      </x:c>
      <x:c r="P1222" s="5" t="str">
        <x:v>Lunch</x:v>
      </x:c>
      <x:c r="Q1222" s="48" t="n">
        <x:v>14</x:v>
      </x:c>
      <x:c r="R1222" s="5" t="n">
        <x:v>5</x:v>
      </x:c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5" t="str">
        <x:v>ORD-01319</x:v>
      </x:c>
      <x:c r="B1223" s="43" t="n">
        <x:v>46180</x:v>
      </x:c>
      <x:c r="C1223" s="5" t="str">
        <x:v>CUST-0253</x:v>
      </x:c>
      <x:c r="D1223" s="5" t="str">
        <x:v>FD007</x:v>
      </x:c>
      <x:c r="E1223" s="5" t="str">
        <x:v>Amala &amp; Ewedu</x:v>
      </x:c>
      <x:c r="F1223" s="5" t="str">
        <x:v>Swallow</x:v>
      </x:c>
      <x:c r="G1223" s="44" t="n">
        <x:v>2</x:v>
      </x:c>
      <x:c r="H1223" s="45" t="n">
        <x:v>2500</x:v>
      </x:c>
      <x:c r="I1223" s="46" t="n">
        <x:v>0</x:v>
      </x:c>
      <x:c r="J1223" s="47" t="n">
        <x:f>G1223*H1223*(1-I1223)</x:f>
        <x:v>5000</x:v>
      </x:c>
      <x:c r="K1223" s="47" t="n">
        <x:v>1250</x:v>
      </x:c>
      <x:c r="L1223" s="47" t="n">
        <x:f>G1223*K1223</x:f>
        <x:v>2500</x:v>
      </x:c>
      <x:c r="M1223" s="47" t="n">
        <x:f>J1223-L1223</x:f>
        <x:v>2500</x:v>
      </x:c>
      <x:c r="N1223" s="5" t="str">
        <x:v>Takeaway</x:v>
      </x:c>
      <x:c r="O1223" s="5" t="str">
        <x:v>POS</x:v>
      </x:c>
      <x:c r="P1223" s="5" t="str">
        <x:v>Lunch</x:v>
      </x:c>
      <x:c r="Q1223" s="48" t="n">
        <x:v>12</x:v>
      </x:c>
      <x:c r="R1223" s="5" t="n">
        <x:v>3</x:v>
      </x:c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5" t="str">
        <x:v>ORD-01682</x:v>
      </x:c>
      <x:c r="B1224" s="43" t="n">
        <x:v>46180</x:v>
      </x:c>
      <x:c r="C1224" s="5" t="str">
        <x:v>CUST-0395</x:v>
      </x:c>
      <x:c r="D1224" s="5" t="str">
        <x:v>FD002</x:v>
      </x:c>
      <x:c r="E1224" s="5" t="str">
        <x:v>Jollof Rice &amp; Chicken</x:v>
      </x:c>
      <x:c r="F1224" s="5" t="str">
        <x:v>Rice Meals</x:v>
      </x:c>
      <x:c r="G1224" s="44" t="n">
        <x:v>3</x:v>
      </x:c>
      <x:c r="H1224" s="45" t="n">
        <x:v>2800</x:v>
      </x:c>
      <x:c r="I1224" s="46" t="n">
        <x:v>0</x:v>
      </x:c>
      <x:c r="J1224" s="47" t="n">
        <x:f>G1224*H1224*(1-I1224)</x:f>
        <x:v>8400</x:v>
      </x:c>
      <x:c r="K1224" s="47" t="n">
        <x:v>1450</x:v>
      </x:c>
      <x:c r="L1224" s="47" t="n">
        <x:f>G1224*K1224</x:f>
        <x:v>4350</x:v>
      </x:c>
      <x:c r="M1224" s="47" t="n">
        <x:f>J1224-L1224</x:f>
        <x:v>4050</x:v>
      </x:c>
      <x:c r="N1224" s="5" t="str">
        <x:v>Takeaway</x:v>
      </x:c>
      <x:c r="O1224" s="5" t="str">
        <x:v>Cash</x:v>
      </x:c>
      <x:c r="P1224" s="5" t="str">
        <x:v>Lunch</x:v>
      </x:c>
      <x:c r="Q1224" s="48" t="n">
        <x:v>12</x:v>
      </x:c>
      <x:c r="R1224" s="5" t="n">
        <x:v>4</x:v>
      </x:c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5" t="str">
        <x:v>ORD-00076</x:v>
      </x:c>
      <x:c r="B1225" s="43" t="n">
        <x:v>46181</x:v>
      </x:c>
      <x:c r="C1225" s="5" t="str">
        <x:v>CUST-0211</x:v>
      </x:c>
      <x:c r="D1225" s="5" t="str">
        <x:v>FD007</x:v>
      </x:c>
      <x:c r="E1225" s="5" t="str">
        <x:v>Amala &amp; Ewedu</x:v>
      </x:c>
      <x:c r="F1225" s="5" t="str">
        <x:v>Swallow</x:v>
      </x:c>
      <x:c r="G1225" s="44" t="n">
        <x:v>2</x:v>
      </x:c>
      <x:c r="H1225" s="45" t="n">
        <x:v>2500</x:v>
      </x:c>
      <x:c r="I1225" s="46" t="n">
        <x:v>0</x:v>
      </x:c>
      <x:c r="J1225" s="47" t="n">
        <x:f>G1225*H1225*(1-I1225)</x:f>
        <x:v>5000</x:v>
      </x:c>
      <x:c r="K1225" s="47" t="n">
        <x:v>1250</x:v>
      </x:c>
      <x:c r="L1225" s="47" t="n">
        <x:f>G1225*K1225</x:f>
        <x:v>2500</x:v>
      </x:c>
      <x:c r="M1225" s="47" t="n">
        <x:f>J1225-L1225</x:f>
        <x:v>2500</x:v>
      </x:c>
      <x:c r="N1225" s="5" t="str">
        <x:v>Takeaway</x:v>
      </x:c>
      <x:c r="O1225" s="5" t="str">
        <x:v>Cash</x:v>
      </x:c>
      <x:c r="P1225" s="5" t="str">
        <x:v>Lunch</x:v>
      </x:c>
      <x:c r="Q1225" s="48" t="n">
        <x:v>15</x:v>
      </x:c>
      <x:c r="R1225" s="5" t="n">
        <x:v>4</x:v>
      </x:c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5" t="str">
        <x:v>ORD-00099</x:v>
      </x:c>
      <x:c r="B1226" s="43" t="n">
        <x:v>46181</x:v>
      </x:c>
      <x:c r="C1226" s="5" t="str">
        <x:v>CUST-0531</x:v>
      </x:c>
      <x:c r="D1226" s="5" t="str">
        <x:v>FD008</x:v>
      </x:c>
      <x:c r="E1226" s="5" t="str">
        <x:v>Pounded Yam &amp; Vegetable Soup</x:v>
      </x:c>
      <x:c r="F1226" s="5" t="str">
        <x:v>Swallow</x:v>
      </x:c>
      <x:c r="G1226" s="44" t="n">
        <x:v>1</x:v>
      </x:c>
      <x:c r="H1226" s="45" t="n">
        <x:v>3200</x:v>
      </x:c>
      <x:c r="I1226" s="46" t="n">
        <x:v>0</x:v>
      </x:c>
      <x:c r="J1226" s="47" t="n">
        <x:f>G1226*H1226*(1-I1226)</x:f>
        <x:v>3200</x:v>
      </x:c>
      <x:c r="K1226" s="47" t="n">
        <x:v>1710</x:v>
      </x:c>
      <x:c r="L1226" s="47" t="n">
        <x:f>G1226*K1226</x:f>
        <x:v>1710</x:v>
      </x:c>
      <x:c r="M1226" s="47" t="n">
        <x:f>J1226-L1226</x:f>
        <x:v>1490</x:v>
      </x:c>
      <x:c r="N1226" s="5" t="str">
        <x:v>Walk-in</x:v>
      </x:c>
      <x:c r="O1226" s="5" t="str">
        <x:v>Cash</x:v>
      </x:c>
      <x:c r="P1226" s="5" t="str">
        <x:v>Lunch</x:v>
      </x:c>
      <x:c r="Q1226" s="48" t="n">
        <x:v>11</x:v>
      </x:c>
      <x:c r="R1226" s="5" t="n">
        <x:v>3</x:v>
      </x:c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5" t="str">
        <x:v>ORD-00120</x:v>
      </x:c>
      <x:c r="B1227" s="43" t="n">
        <x:v>46181</x:v>
      </x:c>
      <x:c r="C1227" s="5" t="str">
        <x:v>CUST-0119</x:v>
      </x:c>
      <x:c r="D1227" s="5" t="str">
        <x:v>FD003</x:v>
      </x:c>
      <x:c r="E1227" s="5" t="str">
        <x:v>Fried Rice &amp; Chicken</x:v>
      </x:c>
      <x:c r="F1227" s="5" t="str">
        <x:v>Rice Meals</x:v>
      </x:c>
      <x:c r="G1227" s="44" t="n">
        <x:v>2</x:v>
      </x:c>
      <x:c r="H1227" s="45" t="n">
        <x:v>3000</x:v>
      </x:c>
      <x:c r="I1227" s="46" t="n">
        <x:v>0</x:v>
      </x:c>
      <x:c r="J1227" s="47" t="n">
        <x:f>G1227*H1227*(1-I1227)</x:f>
        <x:v>6000</x:v>
      </x:c>
      <x:c r="K1227" s="47" t="n">
        <x:v>1580</x:v>
      </x:c>
      <x:c r="L1227" s="47" t="n">
        <x:f>G1227*K1227</x:f>
        <x:v>3160</x:v>
      </x:c>
      <x:c r="M1227" s="47" t="n">
        <x:f>J1227-L1227</x:f>
        <x:v>2840</x:v>
      </x:c>
      <x:c r="N1227" s="5" t="str">
        <x:v>Takeaway</x:v>
      </x:c>
      <x:c r="O1227" s="5" t="str">
        <x:v>Cash</x:v>
      </x:c>
      <x:c r="P1227" s="5" t="str">
        <x:v>Lunch</x:v>
      </x:c>
      <x:c r="Q1227" s="48" t="n">
        <x:v>12</x:v>
      </x:c>
      <x:c r="R1227" s="5" t="n">
        <x:v>5</x:v>
      </x:c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5" t="str">
        <x:v>ORD-00160</x:v>
      </x:c>
      <x:c r="B1228" s="43" t="n">
        <x:v>46181</x:v>
      </x:c>
      <x:c r="C1228" s="5" t="str">
        <x:v>CUST-0293</x:v>
      </x:c>
      <x:c r="D1228" s="5" t="str">
        <x:v>FD007</x:v>
      </x:c>
      <x:c r="E1228" s="5" t="str">
        <x:v>Amala &amp; Ewedu</x:v>
      </x:c>
      <x:c r="F1228" s="5" t="str">
        <x:v>Swallow</x:v>
      </x:c>
      <x:c r="G1228" s="44" t="n">
        <x:v>4</x:v>
      </x:c>
      <x:c r="H1228" s="45" t="n">
        <x:v>2500</x:v>
      </x:c>
      <x:c r="I1228" s="46" t="n">
        <x:v>0.05</x:v>
      </x:c>
      <x:c r="J1228" s="47" t="n">
        <x:f>G1228*H1228*(1-I1228)</x:f>
        <x:v>9500</x:v>
      </x:c>
      <x:c r="K1228" s="47" t="n">
        <x:v>1250</x:v>
      </x:c>
      <x:c r="L1228" s="47" t="n">
        <x:f>G1228*K1228</x:f>
        <x:v>5000</x:v>
      </x:c>
      <x:c r="M1228" s="47" t="n">
        <x:f>J1228-L1228</x:f>
        <x:v>4500</x:v>
      </x:c>
      <x:c r="N1228" s="5" t="str">
        <x:v>Takeaway</x:v>
      </x:c>
      <x:c r="O1228" s="5" t="str">
        <x:v>POS</x:v>
      </x:c>
      <x:c r="P1228" s="5" t="str">
        <x:v>Lunch</x:v>
      </x:c>
      <x:c r="Q1228" s="48" t="n">
        <x:v>14</x:v>
      </x:c>
      <x:c r="R1228" s="5" t="n">
        <x:v>5</x:v>
      </x:c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5" t="str">
        <x:v>ORD-00477</x:v>
      </x:c>
      <x:c r="B1229" s="43" t="n">
        <x:v>46181</x:v>
      </x:c>
      <x:c r="C1229" s="5" t="str">
        <x:v>CUST-0647</x:v>
      </x:c>
      <x:c r="D1229" s="5" t="str">
        <x:v>FD004</x:v>
      </x:c>
      <x:c r="E1229" s="5" t="str">
        <x:v>Beans &amp; Plantain</x:v>
      </x:c>
      <x:c r="F1229" s="5" t="str">
        <x:v>Traditional Meals</x:v>
      </x:c>
      <x:c r="G1229" s="44" t="n">
        <x:v>3</x:v>
      </x:c>
      <x:c r="H1229" s="45" t="n">
        <x:v>2000</x:v>
      </x:c>
      <x:c r="I1229" s="46" t="n">
        <x:v>0</x:v>
      </x:c>
      <x:c r="J1229" s="47" t="n">
        <x:f>G1229*H1229*(1-I1229)</x:f>
        <x:v>6000</x:v>
      </x:c>
      <x:c r="K1229" s="47" t="n">
        <x:v>960</x:v>
      </x:c>
      <x:c r="L1229" s="47" t="n">
        <x:f>G1229*K1229</x:f>
        <x:v>2880</x:v>
      </x:c>
      <x:c r="M1229" s="47" t="n">
        <x:f>J1229-L1229</x:f>
        <x:v>3120</x:v>
      </x:c>
      <x:c r="N1229" s="5" t="str">
        <x:v>Takeaway</x:v>
      </x:c>
      <x:c r="O1229" s="5" t="str">
        <x:v>Cash</x:v>
      </x:c>
      <x:c r="P1229" s="5" t="str">
        <x:v>Lunch</x:v>
      </x:c>
      <x:c r="Q1229" s="48" t="n">
        <x:v>13</x:v>
      </x:c>
      <x:c r="R1229" s="5" t="n">
        <x:v>3</x:v>
      </x:c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5" t="str">
        <x:v>ORD-01033</x:v>
      </x:c>
      <x:c r="B1230" s="43" t="n">
        <x:v>46181</x:v>
      </x:c>
      <x:c r="C1230" s="5" t="str">
        <x:v>CUST-0646</x:v>
      </x:c>
      <x:c r="D1230" s="5" t="str">
        <x:v>FD007</x:v>
      </x:c>
      <x:c r="E1230" s="5" t="str">
        <x:v>Amala &amp; Ewedu</x:v>
      </x:c>
      <x:c r="F1230" s="5" t="str">
        <x:v>Swallow</x:v>
      </x:c>
      <x:c r="G1230" s="44" t="n">
        <x:v>1</x:v>
      </x:c>
      <x:c r="H1230" s="45" t="n">
        <x:v>2500</x:v>
      </x:c>
      <x:c r="I1230" s="46" t="n">
        <x:v>0</x:v>
      </x:c>
      <x:c r="J1230" s="47" t="n">
        <x:f>G1230*H1230*(1-I1230)</x:f>
        <x:v>2500</x:v>
      </x:c>
      <x:c r="K1230" s="47" t="n">
        <x:v>1250</x:v>
      </x:c>
      <x:c r="L1230" s="47" t="n">
        <x:f>G1230*K1230</x:f>
        <x:v>1250</x:v>
      </x:c>
      <x:c r="M1230" s="47" t="n">
        <x:f>J1230-L1230</x:f>
        <x:v>1250</x:v>
      </x:c>
      <x:c r="N1230" s="5" t="str">
        <x:v>Takeaway</x:v>
      </x:c>
      <x:c r="O1230" s="5" t="str">
        <x:v>Transfer</x:v>
      </x:c>
      <x:c r="P1230" s="5" t="str">
        <x:v>Dinner</x:v>
      </x:c>
      <x:c r="Q1230" s="48" t="n">
        <x:v>17</x:v>
      </x:c>
      <x:c r="R1230" s="5" t="n">
        <x:v>4</x:v>
      </x:c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5" t="str">
        <x:v>ORD-01101</x:v>
      </x:c>
      <x:c r="B1231" s="43" t="n">
        <x:v>46181</x:v>
      </x:c>
      <x:c r="C1231" s="5" t="str">
        <x:v>CUST-0118</x:v>
      </x:c>
      <x:c r="D1231" s="5" t="str">
        <x:v>FD002</x:v>
      </x:c>
      <x:c r="E1231" s="5" t="str">
        <x:v>Jollof Rice &amp; Chicken</x:v>
      </x:c>
      <x:c r="F1231" s="5" t="str">
        <x:v>Rice Meals</x:v>
      </x:c>
      <x:c r="G1231" s="44" t="n">
        <x:v>1</x:v>
      </x:c>
      <x:c r="H1231" s="45" t="n">
        <x:v>2800</x:v>
      </x:c>
      <x:c r="I1231" s="46" t="n">
        <x:v>0</x:v>
      </x:c>
      <x:c r="J1231" s="47" t="n">
        <x:f>G1231*H1231*(1-I1231)</x:f>
        <x:v>2800</x:v>
      </x:c>
      <x:c r="K1231" s="47" t="n">
        <x:v>1450</x:v>
      </x:c>
      <x:c r="L1231" s="47" t="n">
        <x:f>G1231*K1231</x:f>
        <x:v>1450</x:v>
      </x:c>
      <x:c r="M1231" s="47" t="n">
        <x:f>J1231-L1231</x:f>
        <x:v>1350</x:v>
      </x:c>
      <x:c r="N1231" s="5" t="str">
        <x:v>Delivery</x:v>
      </x:c>
      <x:c r="O1231" s="5" t="str">
        <x:v>Cash</x:v>
      </x:c>
      <x:c r="P1231" s="5" t="str">
        <x:v>Dinner</x:v>
      </x:c>
      <x:c r="Q1231" s="48" t="n">
        <x:v>19</x:v>
      </x:c>
      <x:c r="R1231" s="5" t="n">
        <x:v>4</x:v>
      </x:c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5" t="str">
        <x:v>ORD-01143</x:v>
      </x:c>
      <x:c r="B1232" s="43" t="n">
        <x:v>46181</x:v>
      </x:c>
      <x:c r="C1232" s="5" t="str">
        <x:v>CUST-0047</x:v>
      </x:c>
      <x:c r="D1232" s="5" t="str">
        <x:v>FD011</x:v>
      </x:c>
      <x:c r="E1232" s="5" t="str">
        <x:v>Bottled Water</x:v>
      </x:c>
      <x:c r="F1232" s="5" t="str">
        <x:v>Beverages</x:v>
      </x:c>
      <x:c r="G1232" s="44" t="n">
        <x:v>3</x:v>
      </x:c>
      <x:c r="H1232" s="45" t="n">
        <x:v>300</x:v>
      </x:c>
      <x:c r="I1232" s="46" t="n">
        <x:v>0</x:v>
      </x:c>
      <x:c r="J1232" s="47" t="n">
        <x:f>G1232*H1232*(1-I1232)</x:f>
        <x:v>900</x:v>
      </x:c>
      <x:c r="K1232" s="47" t="n">
        <x:v>120</x:v>
      </x:c>
      <x:c r="L1232" s="47" t="n">
        <x:f>G1232*K1232</x:f>
        <x:v>360</x:v>
      </x:c>
      <x:c r="M1232" s="47" t="n">
        <x:f>J1232-L1232</x:f>
        <x:v>540</x:v>
      </x:c>
      <x:c r="N1232" s="5" t="str">
        <x:v>Takeaway</x:v>
      </x:c>
      <x:c r="O1232" s="5" t="str">
        <x:v>Transfer</x:v>
      </x:c>
      <x:c r="P1232" s="5" t="str">
        <x:v>Breakfast</x:v>
      </x:c>
      <x:c r="Q1232" s="48" t="n">
        <x:v>8</x:v>
      </x:c>
      <x:c r="R1232" s="5" t="n">
        <x:v>4</x:v>
      </x:c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5" t="str">
        <x:v>ORD-01449</x:v>
      </x:c>
      <x:c r="B1233" s="43" t="n">
        <x:v>46181</x:v>
      </x:c>
      <x:c r="C1233" s="5" t="str">
        <x:v>CUST-0159</x:v>
      </x:c>
      <x:c r="D1233" s="5" t="str">
        <x:v>FD003</x:v>
      </x:c>
      <x:c r="E1233" s="5" t="str">
        <x:v>Fried Rice &amp; Chicken</x:v>
      </x:c>
      <x:c r="F1233" s="5" t="str">
        <x:v>Rice Meals</x:v>
      </x:c>
      <x:c r="G1233" s="44" t="n">
        <x:v>3</x:v>
      </x:c>
      <x:c r="H1233" s="45" t="n">
        <x:v>3000</x:v>
      </x:c>
      <x:c r="I1233" s="46" t="n">
        <x:v>0</x:v>
      </x:c>
      <x:c r="J1233" s="47" t="n">
        <x:f>G1233*H1233*(1-I1233)</x:f>
        <x:v>9000</x:v>
      </x:c>
      <x:c r="K1233" s="47" t="n">
        <x:v>1580</x:v>
      </x:c>
      <x:c r="L1233" s="47" t="n">
        <x:f>G1233*K1233</x:f>
        <x:v>4740</x:v>
      </x:c>
      <x:c r="M1233" s="47" t="n">
        <x:f>J1233-L1233</x:f>
        <x:v>4260</x:v>
      </x:c>
      <x:c r="N1233" s="5" t="str">
        <x:v>Walk-in</x:v>
      </x:c>
      <x:c r="O1233" s="5" t="str">
        <x:v>POS</x:v>
      </x:c>
      <x:c r="P1233" s="5" t="str">
        <x:v>Dinner</x:v>
      </x:c>
      <x:c r="Q1233" s="48" t="n">
        <x:v>19</x:v>
      </x:c>
      <x:c r="R1233" s="5" t="n">
        <x:v>3</x:v>
      </x:c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5" t="str">
        <x:v>ORD-01747</x:v>
      </x:c>
      <x:c r="B1234" s="43" t="n">
        <x:v>46181</x:v>
      </x:c>
      <x:c r="C1234" s="5" t="str">
        <x:v>CUST-0086</x:v>
      </x:c>
      <x:c r="D1234" s="5" t="str">
        <x:v>FD003</x:v>
      </x:c>
      <x:c r="E1234" s="5" t="str">
        <x:v>Fried Rice &amp; Chicken</x:v>
      </x:c>
      <x:c r="F1234" s="5" t="str">
        <x:v>Rice Meals</x:v>
      </x:c>
      <x:c r="G1234" s="44" t="n">
        <x:v>2</x:v>
      </x:c>
      <x:c r="H1234" s="45" t="n">
        <x:v>3000</x:v>
      </x:c>
      <x:c r="I1234" s="46" t="n">
        <x:v>0</x:v>
      </x:c>
      <x:c r="J1234" s="47" t="n">
        <x:f>G1234*H1234*(1-I1234)</x:f>
        <x:v>6000</x:v>
      </x:c>
      <x:c r="K1234" s="47" t="n">
        <x:v>1580</x:v>
      </x:c>
      <x:c r="L1234" s="47" t="n">
        <x:f>G1234*K1234</x:f>
        <x:v>3160</x:v>
      </x:c>
      <x:c r="M1234" s="47" t="n">
        <x:f>J1234-L1234</x:f>
        <x:v>2840</x:v>
      </x:c>
      <x:c r="N1234" s="5" t="str">
        <x:v>Takeaway</x:v>
      </x:c>
      <x:c r="O1234" s="5" t="str">
        <x:v>POS</x:v>
      </x:c>
      <x:c r="P1234" s="5" t="str">
        <x:v>Lunch</x:v>
      </x:c>
      <x:c r="Q1234" s="48" t="n">
        <x:v>14</x:v>
      </x:c>
      <x:c r="R1234" s="5" t="n">
        <x:v>5</x:v>
      </x:c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5" t="str">
        <x:v>ORD-00105</x:v>
      </x:c>
      <x:c r="B1235" s="43" t="n">
        <x:v>46182</x:v>
      </x:c>
      <x:c r="C1235" s="5" t="str">
        <x:v>CUST-0620</x:v>
      </x:c>
      <x:c r="D1235" s="5" t="str">
        <x:v>FD006</x:v>
      </x:c>
      <x:c r="E1235" s="5" t="str">
        <x:v>Eba &amp; Egusi Soup</x:v>
      </x:c>
      <x:c r="F1235" s="5" t="str">
        <x:v>Swallow</x:v>
      </x:c>
      <x:c r="G1235" s="44" t="n">
        <x:v>3</x:v>
      </x:c>
      <x:c r="H1235" s="45" t="n">
        <x:v>2600</x:v>
      </x:c>
      <x:c r="I1235" s="46" t="n">
        <x:v>0</x:v>
      </x:c>
      <x:c r="J1235" s="47" t="n">
        <x:f>G1235*H1235*(1-I1235)</x:f>
        <x:v>7800</x:v>
      </x:c>
      <x:c r="K1235" s="47" t="n">
        <x:v>1320</x:v>
      </x:c>
      <x:c r="L1235" s="47" t="n">
        <x:f>G1235*K1235</x:f>
        <x:v>3960</x:v>
      </x:c>
      <x:c r="M1235" s="47" t="n">
        <x:f>J1235-L1235</x:f>
        <x:v>3840</x:v>
      </x:c>
      <x:c r="N1235" s="5" t="str">
        <x:v>Takeaway</x:v>
      </x:c>
      <x:c r="O1235" s="5" t="str">
        <x:v>POS</x:v>
      </x:c>
      <x:c r="P1235" s="5" t="str">
        <x:v>Lunch</x:v>
      </x:c>
      <x:c r="Q1235" s="48" t="n">
        <x:v>12</x:v>
      </x:c>
      <x:c r="R1235" s="5" t="n">
        <x:v>5</x:v>
      </x:c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5" t="str">
        <x:v>ORD-00203</x:v>
      </x:c>
      <x:c r="B1236" s="43" t="n">
        <x:v>46182</x:v>
      </x:c>
      <x:c r="C1236" s="5" t="str">
        <x:v>CUST-0381</x:v>
      </x:c>
      <x:c r="D1236" s="5" t="str">
        <x:v>FD004</x:v>
      </x:c>
      <x:c r="E1236" s="5" t="str">
        <x:v>Beans &amp; Plantain</x:v>
      </x:c>
      <x:c r="F1236" s="5" t="str">
        <x:v>Traditional Meals</x:v>
      </x:c>
      <x:c r="G1236" s="44" t="n">
        <x:v>2</x:v>
      </x:c>
      <x:c r="H1236" s="45" t="n">
        <x:v>2000</x:v>
      </x:c>
      <x:c r="I1236" s="46" t="n">
        <x:v>0</x:v>
      </x:c>
      <x:c r="J1236" s="47" t="n">
        <x:f>G1236*H1236*(1-I1236)</x:f>
        <x:v>4000</x:v>
      </x:c>
      <x:c r="K1236" s="47" t="n">
        <x:v>960</x:v>
      </x:c>
      <x:c r="L1236" s="47" t="n">
        <x:f>G1236*K1236</x:f>
        <x:v>1920</x:v>
      </x:c>
      <x:c r="M1236" s="47" t="n">
        <x:f>J1236-L1236</x:f>
        <x:v>2080</x:v>
      </x:c>
      <x:c r="N1236" s="5" t="str">
        <x:v>Walk-in</x:v>
      </x:c>
      <x:c r="O1236" s="5" t="str">
        <x:v>Cash</x:v>
      </x:c>
      <x:c r="P1236" s="5" t="str">
        <x:v>Lunch</x:v>
      </x:c>
      <x:c r="Q1236" s="48" t="n">
        <x:v>11</x:v>
      </x:c>
      <x:c r="R1236" s="5" t="n">
        <x:v>4</x:v>
      </x:c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5" t="str">
        <x:v>ORD-00553</x:v>
      </x:c>
      <x:c r="B1237" s="43" t="n">
        <x:v>46182</x:v>
      </x:c>
      <x:c r="C1237" s="5" t="str">
        <x:v>CUST-0375</x:v>
      </x:c>
      <x:c r="D1237" s="5" t="str">
        <x:v>FD004</x:v>
      </x:c>
      <x:c r="E1237" s="5" t="str">
        <x:v>Beans &amp; Plantain</x:v>
      </x:c>
      <x:c r="F1237" s="5" t="str">
        <x:v>Traditional Meals</x:v>
      </x:c>
      <x:c r="G1237" s="44" t="n">
        <x:v>2</x:v>
      </x:c>
      <x:c r="H1237" s="45" t="n">
        <x:v>2000</x:v>
      </x:c>
      <x:c r="I1237" s="46" t="n">
        <x:v>0</x:v>
      </x:c>
      <x:c r="J1237" s="47" t="n">
        <x:f>G1237*H1237*(1-I1237)</x:f>
        <x:v>4000</x:v>
      </x:c>
      <x:c r="K1237" s="47" t="n">
        <x:v>960</x:v>
      </x:c>
      <x:c r="L1237" s="47" t="n">
        <x:f>G1237*K1237</x:f>
        <x:v>1920</x:v>
      </x:c>
      <x:c r="M1237" s="47" t="n">
        <x:f>J1237-L1237</x:f>
        <x:v>2080</x:v>
      </x:c>
      <x:c r="N1237" s="5" t="str">
        <x:v>Walk-in</x:v>
      </x:c>
      <x:c r="O1237" s="5" t="str">
        <x:v>Transfer</x:v>
      </x:c>
      <x:c r="P1237" s="5" t="str">
        <x:v>Lunch</x:v>
      </x:c>
      <x:c r="Q1237" s="48" t="n">
        <x:v>12</x:v>
      </x:c>
      <x:c r="R1237" s="5" t="n">
        <x:v>4</x:v>
      </x:c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5" t="str">
        <x:v>ORD-00868</x:v>
      </x:c>
      <x:c r="B1238" s="43" t="n">
        <x:v>46182</x:v>
      </x:c>
      <x:c r="C1238" s="5" t="str">
        <x:v>CUST-0468</x:v>
      </x:c>
      <x:c r="D1238" s="5" t="str">
        <x:v>FD003</x:v>
      </x:c>
      <x:c r="E1238" s="5" t="str">
        <x:v>Fried Rice &amp; Chicken</x:v>
      </x:c>
      <x:c r="F1238" s="5" t="str">
        <x:v>Rice Meals</x:v>
      </x:c>
      <x:c r="G1238" s="44" t="n">
        <x:v>4</x:v>
      </x:c>
      <x:c r="H1238" s="45" t="n">
        <x:v>3000</x:v>
      </x:c>
      <x:c r="I1238" s="46" t="n">
        <x:v>0</x:v>
      </x:c>
      <x:c r="J1238" s="47" t="n">
        <x:f>G1238*H1238*(1-I1238)</x:f>
        <x:v>12000</x:v>
      </x:c>
      <x:c r="K1238" s="47" t="n">
        <x:v>1580</x:v>
      </x:c>
      <x:c r="L1238" s="47" t="n">
        <x:f>G1238*K1238</x:f>
        <x:v>6320</x:v>
      </x:c>
      <x:c r="M1238" s="47" t="n">
        <x:f>J1238-L1238</x:f>
        <x:v>5680</x:v>
      </x:c>
      <x:c r="N1238" s="5" t="str">
        <x:v>Walk-in</x:v>
      </x:c>
      <x:c r="O1238" s="5" t="str">
        <x:v>Transfer</x:v>
      </x:c>
      <x:c r="P1238" s="5" t="str">
        <x:v>Breakfast</x:v>
      </x:c>
      <x:c r="Q1238" s="48" t="n">
        <x:v>10</x:v>
      </x:c>
      <x:c r="R1238" s="5" t="n">
        <x:v>5</x:v>
      </x:c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5" t="str">
        <x:v>ORD-00937</x:v>
      </x:c>
      <x:c r="B1239" s="43" t="n">
        <x:v>46182</x:v>
      </x:c>
      <x:c r="C1239" s="5" t="str">
        <x:v>CUST-0047</x:v>
      </x:c>
      <x:c r="D1239" s="5" t="str">
        <x:v>FD004</x:v>
      </x:c>
      <x:c r="E1239" s="5" t="str">
        <x:v>Beans &amp; Plantain</x:v>
      </x:c>
      <x:c r="F1239" s="5" t="str">
        <x:v>Traditional Meals</x:v>
      </x:c>
      <x:c r="G1239" s="44" t="n">
        <x:v>1</x:v>
      </x:c>
      <x:c r="H1239" s="45" t="n">
        <x:v>2000</x:v>
      </x:c>
      <x:c r="I1239" s="46" t="n">
        <x:v>0</x:v>
      </x:c>
      <x:c r="J1239" s="47" t="n">
        <x:f>G1239*H1239*(1-I1239)</x:f>
        <x:v>2000</x:v>
      </x:c>
      <x:c r="K1239" s="47" t="n">
        <x:v>960</x:v>
      </x:c>
      <x:c r="L1239" s="47" t="n">
        <x:f>G1239*K1239</x:f>
        <x:v>960</x:v>
      </x:c>
      <x:c r="M1239" s="47" t="n">
        <x:f>J1239-L1239</x:f>
        <x:v>1040</x:v>
      </x:c>
      <x:c r="N1239" s="5" t="str">
        <x:v>Walk-in</x:v>
      </x:c>
      <x:c r="O1239" s="5" t="str">
        <x:v>POS</x:v>
      </x:c>
      <x:c r="P1239" s="5" t="str">
        <x:v>Lunch</x:v>
      </x:c>
      <x:c r="Q1239" s="48" t="n">
        <x:v>12</x:v>
      </x:c>
      <x:c r="R1239" s="5" t="n">
        <x:v>3</x:v>
      </x:c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5" t="str">
        <x:v>ORD-00959</x:v>
      </x:c>
      <x:c r="B1240" s="43" t="n">
        <x:v>46182</x:v>
      </x:c>
      <x:c r="C1240" s="5" t="str">
        <x:v>CUST-0547</x:v>
      </x:c>
      <x:c r="D1240" s="5" t="str">
        <x:v>FD004</x:v>
      </x:c>
      <x:c r="E1240" s="5" t="str">
        <x:v>Beans &amp; Plantain</x:v>
      </x:c>
      <x:c r="F1240" s="5" t="str">
        <x:v>Traditional Meals</x:v>
      </x:c>
      <x:c r="G1240" s="44" t="n">
        <x:v>1</x:v>
      </x:c>
      <x:c r="H1240" s="45" t="n">
        <x:v>2000</x:v>
      </x:c>
      <x:c r="I1240" s="46" t="n">
        <x:v>0.05</x:v>
      </x:c>
      <x:c r="J1240" s="47" t="n">
        <x:f>G1240*H1240*(1-I1240)</x:f>
        <x:v>1900</x:v>
      </x:c>
      <x:c r="K1240" s="47" t="n">
        <x:v>960</x:v>
      </x:c>
      <x:c r="L1240" s="47" t="n">
        <x:f>G1240*K1240</x:f>
        <x:v>960</x:v>
      </x:c>
      <x:c r="M1240" s="47" t="n">
        <x:f>J1240-L1240</x:f>
        <x:v>940</x:v>
      </x:c>
      <x:c r="N1240" s="5" t="str">
        <x:v>Walk-in</x:v>
      </x:c>
      <x:c r="O1240" s="5" t="str">
        <x:v>POS</x:v>
      </x:c>
      <x:c r="P1240" s="5" t="str">
        <x:v>Lunch</x:v>
      </x:c>
      <x:c r="Q1240" s="48" t="n">
        <x:v>13</x:v>
      </x:c>
      <x:c r="R1240" s="5" t="n">
        <x:v>4</x:v>
      </x:c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5" t="str">
        <x:v>ORD-00967</x:v>
      </x:c>
      <x:c r="B1241" s="43" t="n">
        <x:v>46182</x:v>
      </x:c>
      <x:c r="C1241" s="5" t="str">
        <x:v>CUST-0302</x:v>
      </x:c>
      <x:c r="D1241" s="5" t="str">
        <x:v>FD009</x:v>
      </x:c>
      <x:c r="E1241" s="5" t="str">
        <x:v>Moi Moi</x:v>
      </x:c>
      <x:c r="F1241" s="5" t="str">
        <x:v>Sides</x:v>
      </x:c>
      <x:c r="G1241" s="44" t="n">
        <x:v>1</x:v>
      </x:c>
      <x:c r="H1241" s="45" t="n">
        <x:v>900</x:v>
      </x:c>
      <x:c r="I1241" s="46" t="n">
        <x:v>0</x:v>
      </x:c>
      <x:c r="J1241" s="47" t="n">
        <x:f>G1241*H1241*(1-I1241)</x:f>
        <x:v>900</x:v>
      </x:c>
      <x:c r="K1241" s="47" t="n">
        <x:v>380</x:v>
      </x:c>
      <x:c r="L1241" s="47" t="n">
        <x:f>G1241*K1241</x:f>
        <x:v>380</x:v>
      </x:c>
      <x:c r="M1241" s="47" t="n">
        <x:f>J1241-L1241</x:f>
        <x:v>520</x:v>
      </x:c>
      <x:c r="N1241" s="5" t="str">
        <x:v>Walk-in</x:v>
      </x:c>
      <x:c r="O1241" s="5" t="str">
        <x:v>Cash</x:v>
      </x:c>
      <x:c r="P1241" s="5" t="str">
        <x:v>Lunch</x:v>
      </x:c>
      <x:c r="Q1241" s="48" t="n">
        <x:v>13</x:v>
      </x:c>
      <x:c r="R1241" s="5" t="n">
        <x:v>5</x:v>
      </x:c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5" t="str">
        <x:v>ORD-01125</x:v>
      </x:c>
      <x:c r="B1242" s="43" t="n">
        <x:v>46182</x:v>
      </x:c>
      <x:c r="C1242" s="5" t="str">
        <x:v>CUST-0367</x:v>
      </x:c>
      <x:c r="D1242" s="5" t="str">
        <x:v>FD002</x:v>
      </x:c>
      <x:c r="E1242" s="5" t="str">
        <x:v>Jollof Rice &amp; Chicken</x:v>
      </x:c>
      <x:c r="F1242" s="5" t="str">
        <x:v>Rice Meals</x:v>
      </x:c>
      <x:c r="G1242" s="44" t="n">
        <x:v>4</x:v>
      </x:c>
      <x:c r="H1242" s="45" t="n">
        <x:v>2800</x:v>
      </x:c>
      <x:c r="I1242" s="46" t="n">
        <x:v>0</x:v>
      </x:c>
      <x:c r="J1242" s="47" t="n">
        <x:f>G1242*H1242*(1-I1242)</x:f>
        <x:v>11200</x:v>
      </x:c>
      <x:c r="K1242" s="47" t="n">
        <x:v>1450</x:v>
      </x:c>
      <x:c r="L1242" s="47" t="n">
        <x:f>G1242*K1242</x:f>
        <x:v>5800</x:v>
      </x:c>
      <x:c r="M1242" s="47" t="n">
        <x:f>J1242-L1242</x:f>
        <x:v>5400</x:v>
      </x:c>
      <x:c r="N1242" s="5" t="str">
        <x:v>Walk-in</x:v>
      </x:c>
      <x:c r="O1242" s="5" t="str">
        <x:v>POS</x:v>
      </x:c>
      <x:c r="P1242" s="5" t="str">
        <x:v>Lunch</x:v>
      </x:c>
      <x:c r="Q1242" s="48" t="n">
        <x:v>14</x:v>
      </x:c>
      <x:c r="R1242" s="5" t="n">
        <x:v>4</x:v>
      </x:c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5" t="str">
        <x:v>ORD-01328</x:v>
      </x:c>
      <x:c r="B1243" s="43" t="n">
        <x:v>46182</x:v>
      </x:c>
      <x:c r="C1243" s="5" t="str">
        <x:v>CUST-0243</x:v>
      </x:c>
      <x:c r="D1243" s="5" t="str">
        <x:v>FD011</x:v>
      </x:c>
      <x:c r="E1243" s="5" t="str">
        <x:v>Bottled Water</x:v>
      </x:c>
      <x:c r="F1243" s="5" t="str">
        <x:v>Beverages</x:v>
      </x:c>
      <x:c r="G1243" s="44" t="n">
        <x:v>4</x:v>
      </x:c>
      <x:c r="H1243" s="45" t="n">
        <x:v>300</x:v>
      </x:c>
      <x:c r="I1243" s="46" t="n">
        <x:v>0</x:v>
      </x:c>
      <x:c r="J1243" s="47" t="n">
        <x:f>G1243*H1243*(1-I1243)</x:f>
        <x:v>1200</x:v>
      </x:c>
      <x:c r="K1243" s="47" t="n">
        <x:v>120</x:v>
      </x:c>
      <x:c r="L1243" s="47" t="n">
        <x:f>G1243*K1243</x:f>
        <x:v>480</x:v>
      </x:c>
      <x:c r="M1243" s="47" t="n">
        <x:f>J1243-L1243</x:f>
        <x:v>720</x:v>
      </x:c>
      <x:c r="N1243" s="5" t="str">
        <x:v>Takeaway</x:v>
      </x:c>
      <x:c r="O1243" s="5" t="str">
        <x:v>POS</x:v>
      </x:c>
      <x:c r="P1243" s="5" t="str">
        <x:v>Dinner</x:v>
      </x:c>
      <x:c r="Q1243" s="48" t="n">
        <x:v>20</x:v>
      </x:c>
      <x:c r="R1243" s="5" t="n">
        <x:v>4</x:v>
      </x:c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5" t="str">
        <x:v>ORD-00682</x:v>
      </x:c>
      <x:c r="B1244" s="43" t="n">
        <x:v>46183</x:v>
      </x:c>
      <x:c r="C1244" s="5" t="str">
        <x:v>CUST-0559</x:v>
      </x:c>
      <x:c r="D1244" s="5" t="str">
        <x:v>FD006</x:v>
      </x:c>
      <x:c r="E1244" s="5" t="str">
        <x:v>Eba &amp; Egusi Soup</x:v>
      </x:c>
      <x:c r="F1244" s="5" t="str">
        <x:v>Swallow</x:v>
      </x:c>
      <x:c r="G1244" s="44" t="n">
        <x:v>4</x:v>
      </x:c>
      <x:c r="H1244" s="45" t="n">
        <x:v>2600</x:v>
      </x:c>
      <x:c r="I1244" s="46" t="n">
        <x:v>0</x:v>
      </x:c>
      <x:c r="J1244" s="47" t="n">
        <x:f>G1244*H1244*(1-I1244)</x:f>
        <x:v>10400</x:v>
      </x:c>
      <x:c r="K1244" s="47" t="n">
        <x:v>1320</x:v>
      </x:c>
      <x:c r="L1244" s="47" t="n">
        <x:f>G1244*K1244</x:f>
        <x:v>5280</x:v>
      </x:c>
      <x:c r="M1244" s="47" t="n">
        <x:f>J1244-L1244</x:f>
        <x:v>5120</x:v>
      </x:c>
      <x:c r="N1244" s="5" t="str">
        <x:v>Walk-in</x:v>
      </x:c>
      <x:c r="O1244" s="5" t="str">
        <x:v>POS</x:v>
      </x:c>
      <x:c r="P1244" s="5" t="str">
        <x:v>Lunch</x:v>
      </x:c>
      <x:c r="Q1244" s="48" t="n">
        <x:v>14</x:v>
      </x:c>
      <x:c r="R1244" s="5" t="n">
        <x:v>5</x:v>
      </x:c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5" t="str">
        <x:v>ORD-00695</x:v>
      </x:c>
      <x:c r="B1245" s="43" t="n">
        <x:v>46183</x:v>
      </x:c>
      <x:c r="C1245" s="5" t="str">
        <x:v>CUST-0503</x:v>
      </x:c>
      <x:c r="D1245" s="5" t="str">
        <x:v>FD004</x:v>
      </x:c>
      <x:c r="E1245" s="5" t="str">
        <x:v>Beans &amp; Plantain</x:v>
      </x:c>
      <x:c r="F1245" s="5" t="str">
        <x:v>Traditional Meals</x:v>
      </x:c>
      <x:c r="G1245" s="44" t="n">
        <x:v>2</x:v>
      </x:c>
      <x:c r="H1245" s="45" t="n">
        <x:v>2000</x:v>
      </x:c>
      <x:c r="I1245" s="46" t="n">
        <x:v>0</x:v>
      </x:c>
      <x:c r="J1245" s="47" t="n">
        <x:f>G1245*H1245*(1-I1245)</x:f>
        <x:v>4000</x:v>
      </x:c>
      <x:c r="K1245" s="47" t="n">
        <x:v>960</x:v>
      </x:c>
      <x:c r="L1245" s="47" t="n">
        <x:f>G1245*K1245</x:f>
        <x:v>1920</x:v>
      </x:c>
      <x:c r="M1245" s="47" t="n">
        <x:f>J1245-L1245</x:f>
        <x:v>2080</x:v>
      </x:c>
      <x:c r="N1245" s="5" t="str">
        <x:v>Walk-in</x:v>
      </x:c>
      <x:c r="O1245" s="5" t="str">
        <x:v>Transfer</x:v>
      </x:c>
      <x:c r="P1245" s="5" t="str">
        <x:v>Lunch</x:v>
      </x:c>
      <x:c r="Q1245" s="48" t="n">
        <x:v>13</x:v>
      </x:c>
      <x:c r="R1245" s="5" t="n">
        <x:v>4</x:v>
      </x:c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5" t="str">
        <x:v>ORD-00962</x:v>
      </x:c>
      <x:c r="B1246" s="43" t="n">
        <x:v>46183</x:v>
      </x:c>
      <x:c r="C1246" s="5" t="str">
        <x:v>CUST-0608</x:v>
      </x:c>
      <x:c r="D1246" s="5" t="str">
        <x:v>FD003</x:v>
      </x:c>
      <x:c r="E1246" s="5" t="str">
        <x:v>Fried Rice &amp; Chicken</x:v>
      </x:c>
      <x:c r="F1246" s="5" t="str">
        <x:v>Rice Meals</x:v>
      </x:c>
      <x:c r="G1246" s="44" t="n">
        <x:v>4</x:v>
      </x:c>
      <x:c r="H1246" s="45" t="n">
        <x:v>3000</x:v>
      </x:c>
      <x:c r="I1246" s="46" t="n">
        <x:v>0</x:v>
      </x:c>
      <x:c r="J1246" s="47" t="n">
        <x:f>G1246*H1246*(1-I1246)</x:f>
        <x:v>12000</x:v>
      </x:c>
      <x:c r="K1246" s="47" t="n">
        <x:v>1580</x:v>
      </x:c>
      <x:c r="L1246" s="47" t="n">
        <x:f>G1246*K1246</x:f>
        <x:v>6320</x:v>
      </x:c>
      <x:c r="M1246" s="47" t="n">
        <x:f>J1246-L1246</x:f>
        <x:v>5680</x:v>
      </x:c>
      <x:c r="N1246" s="5" t="str">
        <x:v>Walk-in</x:v>
      </x:c>
      <x:c r="O1246" s="5" t="str">
        <x:v>POS</x:v>
      </x:c>
      <x:c r="P1246" s="5" t="str">
        <x:v>Lunch</x:v>
      </x:c>
      <x:c r="Q1246" s="48" t="n">
        <x:v>13</x:v>
      </x:c>
      <x:c r="R1246" s="5" t="n">
        <x:v>5</x:v>
      </x:c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5" t="str">
        <x:v>ORD-01150</x:v>
      </x:c>
      <x:c r="B1247" s="43" t="n">
        <x:v>46183</x:v>
      </x:c>
      <x:c r="C1247" s="5" t="str">
        <x:v>CUST-0324</x:v>
      </x:c>
      <x:c r="D1247" s="5" t="str">
        <x:v>FD007</x:v>
      </x:c>
      <x:c r="E1247" s="5" t="str">
        <x:v>Amala &amp; Ewedu</x:v>
      </x:c>
      <x:c r="F1247" s="5" t="str">
        <x:v>Swallow</x:v>
      </x:c>
      <x:c r="G1247" s="44" t="n">
        <x:v>2</x:v>
      </x:c>
      <x:c r="H1247" s="45" t="n">
        <x:v>2500</x:v>
      </x:c>
      <x:c r="I1247" s="46" t="n">
        <x:v>0</x:v>
      </x:c>
      <x:c r="J1247" s="47" t="n">
        <x:f>G1247*H1247*(1-I1247)</x:f>
        <x:v>5000</x:v>
      </x:c>
      <x:c r="K1247" s="47" t="n">
        <x:v>1250</x:v>
      </x:c>
      <x:c r="L1247" s="47" t="n">
        <x:f>G1247*K1247</x:f>
        <x:v>2500</x:v>
      </x:c>
      <x:c r="M1247" s="47" t="n">
        <x:f>J1247-L1247</x:f>
        <x:v>2500</x:v>
      </x:c>
      <x:c r="N1247" s="5" t="str">
        <x:v>Walk-in</x:v>
      </x:c>
      <x:c r="O1247" s="5" t="str">
        <x:v>Transfer</x:v>
      </x:c>
      <x:c r="P1247" s="5" t="str">
        <x:v>Lunch</x:v>
      </x:c>
      <x:c r="Q1247" s="48" t="n">
        <x:v>15</x:v>
      </x:c>
      <x:c r="R1247" s="5" t="n">
        <x:v>5</x:v>
      </x:c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5" t="str">
        <x:v>ORD-01186</x:v>
      </x:c>
      <x:c r="B1248" s="43" t="n">
        <x:v>46183</x:v>
      </x:c>
      <x:c r="C1248" s="5" t="str">
        <x:v>CUST-0016</x:v>
      </x:c>
      <x:c r="D1248" s="5" t="str">
        <x:v>FD004</x:v>
      </x:c>
      <x:c r="E1248" s="5" t="str">
        <x:v>Beans &amp; Plantain</x:v>
      </x:c>
      <x:c r="F1248" s="5" t="str">
        <x:v>Traditional Meals</x:v>
      </x:c>
      <x:c r="G1248" s="44" t="n">
        <x:v>3</x:v>
      </x:c>
      <x:c r="H1248" s="45" t="n">
        <x:v>2000</x:v>
      </x:c>
      <x:c r="I1248" s="46" t="n">
        <x:v>0</x:v>
      </x:c>
      <x:c r="J1248" s="47" t="n">
        <x:f>G1248*H1248*(1-I1248)</x:f>
        <x:v>6000</x:v>
      </x:c>
      <x:c r="K1248" s="47" t="n">
        <x:v>960</x:v>
      </x:c>
      <x:c r="L1248" s="47" t="n">
        <x:f>G1248*K1248</x:f>
        <x:v>2880</x:v>
      </x:c>
      <x:c r="M1248" s="47" t="n">
        <x:f>J1248-L1248</x:f>
        <x:v>3120</x:v>
      </x:c>
      <x:c r="N1248" s="5" t="str">
        <x:v>Takeaway</x:v>
      </x:c>
      <x:c r="O1248" s="5" t="str">
        <x:v>POS</x:v>
      </x:c>
      <x:c r="P1248" s="5" t="str">
        <x:v>Lunch</x:v>
      </x:c>
      <x:c r="Q1248" s="48" t="n">
        <x:v>12</x:v>
      </x:c>
      <x:c r="R1248" s="5" t="n">
        <x:v>5</x:v>
      </x:c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5" t="str">
        <x:v>ORD-01378</x:v>
      </x:c>
      <x:c r="B1249" s="43" t="n">
        <x:v>46183</x:v>
      </x:c>
      <x:c r="C1249" s="5" t="str">
        <x:v>CUST-0128</x:v>
      </x:c>
      <x:c r="D1249" s="5" t="str">
        <x:v>FD005</x:v>
      </x:c>
      <x:c r="E1249" s="5" t="str">
        <x:v>Yam Porridge</x:v>
      </x:c>
      <x:c r="F1249" s="5" t="str">
        <x:v>Traditional Meals</x:v>
      </x:c>
      <x:c r="G1249" s="44" t="n">
        <x:v>1</x:v>
      </x:c>
      <x:c r="H1249" s="45" t="n">
        <x:v>2200</x:v>
      </x:c>
      <x:c r="I1249" s="46" t="n">
        <x:v>0</x:v>
      </x:c>
      <x:c r="J1249" s="47" t="n">
        <x:f>G1249*H1249*(1-I1249)</x:f>
        <x:v>2200</x:v>
      </x:c>
      <x:c r="K1249" s="47" t="n">
        <x:v>1050</x:v>
      </x:c>
      <x:c r="L1249" s="47" t="n">
        <x:f>G1249*K1249</x:f>
        <x:v>1050</x:v>
      </x:c>
      <x:c r="M1249" s="47" t="n">
        <x:f>J1249-L1249</x:f>
        <x:v>1150</x:v>
      </x:c>
      <x:c r="N1249" s="5" t="str">
        <x:v>Walk-in</x:v>
      </x:c>
      <x:c r="O1249" s="5" t="str">
        <x:v>POS</x:v>
      </x:c>
      <x:c r="P1249" s="5" t="str">
        <x:v>Lunch</x:v>
      </x:c>
      <x:c r="Q1249" s="48" t="n">
        <x:v>14</x:v>
      </x:c>
      <x:c r="R1249" s="5" t="n">
        <x:v>4</x:v>
      </x:c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5" t="str">
        <x:v>ORD-01573</x:v>
      </x:c>
      <x:c r="B1250" s="43" t="n">
        <x:v>46183</x:v>
      </x:c>
      <x:c r="C1250" s="5" t="str">
        <x:v>CUST-0269</x:v>
      </x:c>
      <x:c r="D1250" s="5" t="str">
        <x:v>FD011</x:v>
      </x:c>
      <x:c r="E1250" s="5" t="str">
        <x:v>Bottled Water</x:v>
      </x:c>
      <x:c r="F1250" s="5" t="str">
        <x:v>Beverages</x:v>
      </x:c>
      <x:c r="G1250" s="44" t="n">
        <x:v>3</x:v>
      </x:c>
      <x:c r="H1250" s="45" t="n">
        <x:v>300</x:v>
      </x:c>
      <x:c r="I1250" s="46" t="n">
        <x:v>0</x:v>
      </x:c>
      <x:c r="J1250" s="47" t="n">
        <x:f>G1250*H1250*(1-I1250)</x:f>
        <x:v>900</x:v>
      </x:c>
      <x:c r="K1250" s="47" t="n">
        <x:v>120</x:v>
      </x:c>
      <x:c r="L1250" s="47" t="n">
        <x:f>G1250*K1250</x:f>
        <x:v>360</x:v>
      </x:c>
      <x:c r="M1250" s="47" t="n">
        <x:f>J1250-L1250</x:f>
        <x:v>540</x:v>
      </x:c>
      <x:c r="N1250" s="5" t="str">
        <x:v>Delivery</x:v>
      </x:c>
      <x:c r="O1250" s="5" t="str">
        <x:v>POS</x:v>
      </x:c>
      <x:c r="P1250" s="5" t="str">
        <x:v>Lunch</x:v>
      </x:c>
      <x:c r="Q1250" s="48" t="n">
        <x:v>11</x:v>
      </x:c>
      <x:c r="R1250" s="5" t="n">
        <x:v>5</x:v>
      </x:c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5" t="str">
        <x:v>ORD-01622</x:v>
      </x:c>
      <x:c r="B1251" s="43" t="n">
        <x:v>46183</x:v>
      </x:c>
      <x:c r="C1251" s="5" t="str">
        <x:v>CUST-0298</x:v>
      </x:c>
      <x:c r="D1251" s="5" t="str">
        <x:v>FD006</x:v>
      </x:c>
      <x:c r="E1251" s="5" t="str">
        <x:v>Eba &amp; Egusi Soup</x:v>
      </x:c>
      <x:c r="F1251" s="5" t="str">
        <x:v>Swallow</x:v>
      </x:c>
      <x:c r="G1251" s="44" t="n">
        <x:v>2</x:v>
      </x:c>
      <x:c r="H1251" s="45" t="n">
        <x:v>2600</x:v>
      </x:c>
      <x:c r="I1251" s="46" t="n">
        <x:v>0</x:v>
      </x:c>
      <x:c r="J1251" s="47" t="n">
        <x:f>G1251*H1251*(1-I1251)</x:f>
        <x:v>5200</x:v>
      </x:c>
      <x:c r="K1251" s="47" t="n">
        <x:v>1320</x:v>
      </x:c>
      <x:c r="L1251" s="47" t="n">
        <x:f>G1251*K1251</x:f>
        <x:v>2640</x:v>
      </x:c>
      <x:c r="M1251" s="47" t="n">
        <x:f>J1251-L1251</x:f>
        <x:v>2560</x:v>
      </x:c>
      <x:c r="N1251" s="5" t="str">
        <x:v>Takeaway</x:v>
      </x:c>
      <x:c r="O1251" s="5" t="str">
        <x:v>POS</x:v>
      </x:c>
      <x:c r="P1251" s="5" t="str">
        <x:v>Lunch</x:v>
      </x:c>
      <x:c r="Q1251" s="48" t="n">
        <x:v>11</x:v>
      </x:c>
      <x:c r="R1251" s="5" t="n">
        <x:v>4</x:v>
      </x:c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5" t="str">
        <x:v>ORD-00148</x:v>
      </x:c>
      <x:c r="B1252" s="43" t="n">
        <x:v>46184</x:v>
      </x:c>
      <x:c r="C1252" s="5" t="str">
        <x:v>CUST-0070</x:v>
      </x:c>
      <x:c r="D1252" s="5" t="str">
        <x:v>FD012</x:v>
      </x:c>
      <x:c r="E1252" s="5" t="str">
        <x:v>Fried Plantain</x:v>
      </x:c>
      <x:c r="F1252" s="5" t="str">
        <x:v>Sides</x:v>
      </x:c>
      <x:c r="G1252" s="44" t="n">
        <x:v>3</x:v>
      </x:c>
      <x:c r="H1252" s="45" t="n">
        <x:v>700</x:v>
      </x:c>
      <x:c r="I1252" s="46" t="n">
        <x:v>0</x:v>
      </x:c>
      <x:c r="J1252" s="47" t="n">
        <x:f>G1252*H1252*(1-I1252)</x:f>
        <x:v>2100</x:v>
      </x:c>
      <x:c r="K1252" s="47" t="n">
        <x:v>300</x:v>
      </x:c>
      <x:c r="L1252" s="47" t="n">
        <x:f>G1252*K1252</x:f>
        <x:v>900</x:v>
      </x:c>
      <x:c r="M1252" s="47" t="n">
        <x:f>J1252-L1252</x:f>
        <x:v>1200</x:v>
      </x:c>
      <x:c r="N1252" s="5" t="str">
        <x:v>Takeaway</x:v>
      </x:c>
      <x:c r="O1252" s="5" t="str">
        <x:v>POS</x:v>
      </x:c>
      <x:c r="P1252" s="5" t="str">
        <x:v>Lunch</x:v>
      </x:c>
      <x:c r="Q1252" s="48" t="n">
        <x:v>12</x:v>
      </x:c>
      <x:c r="R1252" s="5" t="n">
        <x:v>4</x:v>
      </x:c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5" t="str">
        <x:v>ORD-00198</x:v>
      </x:c>
      <x:c r="B1253" s="43" t="n">
        <x:v>46184</x:v>
      </x:c>
      <x:c r="C1253" s="5" t="str">
        <x:v>CUST-0576</x:v>
      </x:c>
      <x:c r="D1253" s="5" t="str">
        <x:v>FD006</x:v>
      </x:c>
      <x:c r="E1253" s="5" t="str">
        <x:v>Eba &amp; Egusi Soup</x:v>
      </x:c>
      <x:c r="F1253" s="5" t="str">
        <x:v>Swallow</x:v>
      </x:c>
      <x:c r="G1253" s="44" t="n">
        <x:v>4</x:v>
      </x:c>
      <x:c r="H1253" s="45" t="n">
        <x:v>2600</x:v>
      </x:c>
      <x:c r="I1253" s="46" t="n">
        <x:v>0</x:v>
      </x:c>
      <x:c r="J1253" s="47" t="n">
        <x:f>G1253*H1253*(1-I1253)</x:f>
        <x:v>10400</x:v>
      </x:c>
      <x:c r="K1253" s="47" t="n">
        <x:v>1320</x:v>
      </x:c>
      <x:c r="L1253" s="47" t="n">
        <x:f>G1253*K1253</x:f>
        <x:v>5280</x:v>
      </x:c>
      <x:c r="M1253" s="47" t="n">
        <x:f>J1253-L1253</x:f>
        <x:v>5120</x:v>
      </x:c>
      <x:c r="N1253" s="5" t="str">
        <x:v>Delivery</x:v>
      </x:c>
      <x:c r="O1253" s="5" t="str">
        <x:v>Transfer</x:v>
      </x:c>
      <x:c r="P1253" s="5" t="str">
        <x:v>Lunch</x:v>
      </x:c>
      <x:c r="Q1253" s="48" t="n">
        <x:v>14</x:v>
      </x:c>
      <x:c r="R1253" s="5" t="n">
        <x:v>4</x:v>
      </x:c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5" t="str">
        <x:v>ORD-00585</x:v>
      </x:c>
      <x:c r="B1254" s="43" t="n">
        <x:v>46184</x:v>
      </x:c>
      <x:c r="C1254" s="5" t="str">
        <x:v>CUST-0272</x:v>
      </x:c>
      <x:c r="D1254" s="5" t="str">
        <x:v>FD001</x:v>
      </x:c>
      <x:c r="E1254" s="5" t="str">
        <x:v>White Rice &amp; Stew</x:v>
      </x:c>
      <x:c r="F1254" s="5" t="str">
        <x:v>Rice Meals</x:v>
      </x:c>
      <x:c r="G1254" s="44" t="n">
        <x:v>3</x:v>
      </x:c>
      <x:c r="H1254" s="45" t="n">
        <x:v>1800</x:v>
      </x:c>
      <x:c r="I1254" s="46" t="n">
        <x:v>0</x:v>
      </x:c>
      <x:c r="J1254" s="47" t="n">
        <x:f>G1254*H1254*(1-I1254)</x:f>
        <x:v>5400</x:v>
      </x:c>
      <x:c r="K1254" s="47" t="n">
        <x:v>820</x:v>
      </x:c>
      <x:c r="L1254" s="47" t="n">
        <x:f>G1254*K1254</x:f>
        <x:v>2460</x:v>
      </x:c>
      <x:c r="M1254" s="47" t="n">
        <x:f>J1254-L1254</x:f>
        <x:v>2940</x:v>
      </x:c>
      <x:c r="N1254" s="5" t="str">
        <x:v>Walk-in</x:v>
      </x:c>
      <x:c r="O1254" s="5" t="str">
        <x:v>POS</x:v>
      </x:c>
      <x:c r="P1254" s="5" t="str">
        <x:v>Lunch</x:v>
      </x:c>
      <x:c r="Q1254" s="48" t="n">
        <x:v>12</x:v>
      </x:c>
      <x:c r="R1254" s="5" t="n">
        <x:v>3</x:v>
      </x:c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5" t="str">
        <x:v>ORD-00690</x:v>
      </x:c>
      <x:c r="B1255" s="43" t="n">
        <x:v>46184</x:v>
      </x:c>
      <x:c r="C1255" s="5" t="str">
        <x:v>CUST-0087</x:v>
      </x:c>
      <x:c r="D1255" s="5" t="str">
        <x:v>FD006</x:v>
      </x:c>
      <x:c r="E1255" s="5" t="str">
        <x:v>Eba &amp; Egusi Soup</x:v>
      </x:c>
      <x:c r="F1255" s="5" t="str">
        <x:v>Swallow</x:v>
      </x:c>
      <x:c r="G1255" s="44" t="n">
        <x:v>3</x:v>
      </x:c>
      <x:c r="H1255" s="45" t="n">
        <x:v>2600</x:v>
      </x:c>
      <x:c r="I1255" s="46" t="n">
        <x:v>0</x:v>
      </x:c>
      <x:c r="J1255" s="47" t="n">
        <x:f>G1255*H1255*(1-I1255)</x:f>
        <x:v>7800</x:v>
      </x:c>
      <x:c r="K1255" s="47" t="n">
        <x:v>1320</x:v>
      </x:c>
      <x:c r="L1255" s="47" t="n">
        <x:f>G1255*K1255</x:f>
        <x:v>3960</x:v>
      </x:c>
      <x:c r="M1255" s="47" t="n">
        <x:f>J1255-L1255</x:f>
        <x:v>3840</x:v>
      </x:c>
      <x:c r="N1255" s="5" t="str">
        <x:v>Walk-in</x:v>
      </x:c>
      <x:c r="O1255" s="5" t="str">
        <x:v>Transfer</x:v>
      </x:c>
      <x:c r="P1255" s="5" t="str">
        <x:v>Breakfast</x:v>
      </x:c>
      <x:c r="Q1255" s="48" t="n">
        <x:v>8</x:v>
      </x:c>
      <x:c r="R1255" s="5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5" t="str">
        <x:v>ORD-00848</x:v>
      </x:c>
      <x:c r="B1256" s="43" t="n">
        <x:v>46184</x:v>
      </x:c>
      <x:c r="C1256" s="5" t="str">
        <x:v>CUST-0030</x:v>
      </x:c>
      <x:c r="D1256" s="5" t="str">
        <x:v>FD002</x:v>
      </x:c>
      <x:c r="E1256" s="5" t="str">
        <x:v>Jollof Rice &amp; Chicken</x:v>
      </x:c>
      <x:c r="F1256" s="5" t="str">
        <x:v>Rice Meals</x:v>
      </x:c>
      <x:c r="G1256" s="44" t="n">
        <x:v>3</x:v>
      </x:c>
      <x:c r="H1256" s="45" t="n">
        <x:v>2800</x:v>
      </x:c>
      <x:c r="I1256" s="46" t="n">
        <x:v>0</x:v>
      </x:c>
      <x:c r="J1256" s="47" t="n">
        <x:f>G1256*H1256*(1-I1256)</x:f>
        <x:v>8400</x:v>
      </x:c>
      <x:c r="K1256" s="47" t="n">
        <x:v>1450</x:v>
      </x:c>
      <x:c r="L1256" s="47" t="n">
        <x:f>G1256*K1256</x:f>
        <x:v>4350</x:v>
      </x:c>
      <x:c r="M1256" s="47" t="n">
        <x:f>J1256-L1256</x:f>
        <x:v>4050</x:v>
      </x:c>
      <x:c r="N1256" s="5" t="str">
        <x:v>Walk-in</x:v>
      </x:c>
      <x:c r="O1256" s="5" t="str">
        <x:v>Cash</x:v>
      </x:c>
      <x:c r="P1256" s="5" t="str">
        <x:v>Lunch</x:v>
      </x:c>
      <x:c r="Q1256" s="48" t="n">
        <x:v>14</x:v>
      </x:c>
      <x:c r="R1256" s="5" t="n">
        <x:v>4</x:v>
      </x:c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5" t="str">
        <x:v>ORD-01016</x:v>
      </x:c>
      <x:c r="B1257" s="43" t="n">
        <x:v>46184</x:v>
      </x:c>
      <x:c r="C1257" s="5" t="str">
        <x:v>CUST-0441</x:v>
      </x:c>
      <x:c r="D1257" s="5" t="str">
        <x:v>FD003</x:v>
      </x:c>
      <x:c r="E1257" s="5" t="str">
        <x:v>Fried Rice &amp; Chicken</x:v>
      </x:c>
      <x:c r="F1257" s="5" t="str">
        <x:v>Rice Meals</x:v>
      </x:c>
      <x:c r="G1257" s="44" t="n">
        <x:v>2</x:v>
      </x:c>
      <x:c r="H1257" s="45" t="n">
        <x:v>3000</x:v>
      </x:c>
      <x:c r="I1257" s="46" t="n">
        <x:v>0</x:v>
      </x:c>
      <x:c r="J1257" s="47" t="n">
        <x:f>G1257*H1257*(1-I1257)</x:f>
        <x:v>6000</x:v>
      </x:c>
      <x:c r="K1257" s="47" t="n">
        <x:v>1580</x:v>
      </x:c>
      <x:c r="L1257" s="47" t="n">
        <x:f>G1257*K1257</x:f>
        <x:v>3160</x:v>
      </x:c>
      <x:c r="M1257" s="47" t="n">
        <x:f>J1257-L1257</x:f>
        <x:v>2840</x:v>
      </x:c>
      <x:c r="N1257" s="5" t="str">
        <x:v>Walk-in</x:v>
      </x:c>
      <x:c r="O1257" s="5" t="str">
        <x:v>POS</x:v>
      </x:c>
      <x:c r="P1257" s="5" t="str">
        <x:v>Lunch</x:v>
      </x:c>
      <x:c r="Q1257" s="48" t="n">
        <x:v>13</x:v>
      </x:c>
      <x:c r="R1257" s="5" t="n">
        <x:v>4</x:v>
      </x:c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5" t="str">
        <x:v>ORD-01165</x:v>
      </x:c>
      <x:c r="B1258" s="43" t="n">
        <x:v>46184</x:v>
      </x:c>
      <x:c r="C1258" s="5" t="str">
        <x:v>CUST-0211</x:v>
      </x:c>
      <x:c r="D1258" s="5" t="str">
        <x:v>FD005</x:v>
      </x:c>
      <x:c r="E1258" s="5" t="str">
        <x:v>Yam Porridge</x:v>
      </x:c>
      <x:c r="F1258" s="5" t="str">
        <x:v>Traditional Meals</x:v>
      </x:c>
      <x:c r="G1258" s="44" t="n">
        <x:v>1</x:v>
      </x:c>
      <x:c r="H1258" s="45" t="n">
        <x:v>2200</x:v>
      </x:c>
      <x:c r="I1258" s="46" t="n">
        <x:v>0</x:v>
      </x:c>
      <x:c r="J1258" s="47" t="n">
        <x:f>G1258*H1258*(1-I1258)</x:f>
        <x:v>2200</x:v>
      </x:c>
      <x:c r="K1258" s="47" t="n">
        <x:v>1050</x:v>
      </x:c>
      <x:c r="L1258" s="47" t="n">
        <x:f>G1258*K1258</x:f>
        <x:v>1050</x:v>
      </x:c>
      <x:c r="M1258" s="47" t="n">
        <x:f>J1258-L1258</x:f>
        <x:v>1150</x:v>
      </x:c>
      <x:c r="N1258" s="5" t="str">
        <x:v>Walk-in</x:v>
      </x:c>
      <x:c r="O1258" s="5" t="str">
        <x:v>Cash</x:v>
      </x:c>
      <x:c r="P1258" s="5" t="str">
        <x:v>Lunch</x:v>
      </x:c>
      <x:c r="Q1258" s="48" t="n">
        <x:v>12</x:v>
      </x:c>
      <x:c r="R1258" s="5" t="n">
        <x:v>5</x:v>
      </x:c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5" t="str">
        <x:v>ORD-01296</x:v>
      </x:c>
      <x:c r="B1259" s="43" t="n">
        <x:v>46184</x:v>
      </x:c>
      <x:c r="C1259" s="5" t="str">
        <x:v>CUST-0602</x:v>
      </x:c>
      <x:c r="D1259" s="5" t="str">
        <x:v>FD001</x:v>
      </x:c>
      <x:c r="E1259" s="5" t="str">
        <x:v>White Rice &amp; Stew</x:v>
      </x:c>
      <x:c r="F1259" s="5" t="str">
        <x:v>Rice Meals</x:v>
      </x:c>
      <x:c r="G1259" s="44" t="n">
        <x:v>2</x:v>
      </x:c>
      <x:c r="H1259" s="45" t="n">
        <x:v>1800</x:v>
      </x:c>
      <x:c r="I1259" s="46" t="n">
        <x:v>0</x:v>
      </x:c>
      <x:c r="J1259" s="47" t="n">
        <x:f>G1259*H1259*(1-I1259)</x:f>
        <x:v>3600</x:v>
      </x:c>
      <x:c r="K1259" s="47" t="n">
        <x:v>820</x:v>
      </x:c>
      <x:c r="L1259" s="47" t="n">
        <x:f>G1259*K1259</x:f>
        <x:v>1640</x:v>
      </x:c>
      <x:c r="M1259" s="47" t="n">
        <x:f>J1259-L1259</x:f>
        <x:v>1960</x:v>
      </x:c>
      <x:c r="N1259" s="5" t="str">
        <x:v>Walk-in</x:v>
      </x:c>
      <x:c r="O1259" s="5" t="str">
        <x:v>Transfer</x:v>
      </x:c>
      <x:c r="P1259" s="5" t="str">
        <x:v>Breakfast</x:v>
      </x:c>
      <x:c r="Q1259" s="48" t="n">
        <x:v>8</x:v>
      </x:c>
      <x:c r="R1259" s="5" t="n">
        <x:v>4</x:v>
      </x:c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5" t="str">
        <x:v>ORD-01310</x:v>
      </x:c>
      <x:c r="B1260" s="43" t="n">
        <x:v>46184</x:v>
      </x:c>
      <x:c r="C1260" s="5" t="str">
        <x:v>CUST-0151</x:v>
      </x:c>
      <x:c r="D1260" s="5" t="str">
        <x:v>FD003</x:v>
      </x:c>
      <x:c r="E1260" s="5" t="str">
        <x:v>Fried Rice &amp; Chicken</x:v>
      </x:c>
      <x:c r="F1260" s="5" t="str">
        <x:v>Rice Meals</x:v>
      </x:c>
      <x:c r="G1260" s="44" t="n">
        <x:v>2</x:v>
      </x:c>
      <x:c r="H1260" s="45" t="n">
        <x:v>3000</x:v>
      </x:c>
      <x:c r="I1260" s="46" t="n">
        <x:v>0</x:v>
      </x:c>
      <x:c r="J1260" s="47" t="n">
        <x:f>G1260*H1260*(1-I1260)</x:f>
        <x:v>6000</x:v>
      </x:c>
      <x:c r="K1260" s="47" t="n">
        <x:v>1580</x:v>
      </x:c>
      <x:c r="L1260" s="47" t="n">
        <x:f>G1260*K1260</x:f>
        <x:v>3160</x:v>
      </x:c>
      <x:c r="M1260" s="47" t="n">
        <x:f>J1260-L1260</x:f>
        <x:v>2840</x:v>
      </x:c>
      <x:c r="N1260" s="5" t="str">
        <x:v>Takeaway</x:v>
      </x:c>
      <x:c r="O1260" s="5" t="str">
        <x:v>POS</x:v>
      </x:c>
      <x:c r="P1260" s="5" t="str">
        <x:v>Lunch</x:v>
      </x:c>
      <x:c r="Q1260" s="48" t="n">
        <x:v>13</x:v>
      </x:c>
      <x:c r="R1260" s="5" t="n">
        <x:v>5</x:v>
      </x:c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5" t="str">
        <x:v>ORD-01611</x:v>
      </x:c>
      <x:c r="B1261" s="43" t="n">
        <x:v>46184</x:v>
      </x:c>
      <x:c r="C1261" s="5" t="str">
        <x:v>CUST-0423</x:v>
      </x:c>
      <x:c r="D1261" s="5" t="str">
        <x:v>FD001</x:v>
      </x:c>
      <x:c r="E1261" s="5" t="str">
        <x:v>White Rice &amp; Stew</x:v>
      </x:c>
      <x:c r="F1261" s="5" t="str">
        <x:v>Rice Meals</x:v>
      </x:c>
      <x:c r="G1261" s="44" t="n">
        <x:v>1</x:v>
      </x:c>
      <x:c r="H1261" s="45" t="n">
        <x:v>1800</x:v>
      </x:c>
      <x:c r="I1261" s="46" t="n">
        <x:v>0</x:v>
      </x:c>
      <x:c r="J1261" s="47" t="n">
        <x:f>G1261*H1261*(1-I1261)</x:f>
        <x:v>1800</x:v>
      </x:c>
      <x:c r="K1261" s="47" t="n">
        <x:v>820</x:v>
      </x:c>
      <x:c r="L1261" s="47" t="n">
        <x:f>G1261*K1261</x:f>
        <x:v>820</x:v>
      </x:c>
      <x:c r="M1261" s="47" t="n">
        <x:f>J1261-L1261</x:f>
        <x:v>980</x:v>
      </x:c>
      <x:c r="N1261" s="5" t="str">
        <x:v>Takeaway</x:v>
      </x:c>
      <x:c r="O1261" s="5" t="str">
        <x:v>POS</x:v>
      </x:c>
      <x:c r="P1261" s="5" t="str">
        <x:v>Lunch</x:v>
      </x:c>
      <x:c r="Q1261" s="48" t="n">
        <x:v>13</x:v>
      </x:c>
      <x:c r="R1261" s="5" t="n">
        <x:v>4</x:v>
      </x:c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5" t="str">
        <x:v>ORD-00233</x:v>
      </x:c>
      <x:c r="B1262" s="43" t="n">
        <x:v>46185</x:v>
      </x:c>
      <x:c r="C1262" s="5" t="str">
        <x:v>CUST-0031</x:v>
      </x:c>
      <x:c r="D1262" s="5" t="str">
        <x:v>FD002</x:v>
      </x:c>
      <x:c r="E1262" s="5" t="str">
        <x:v>Jollof Rice &amp; Chicken</x:v>
      </x:c>
      <x:c r="F1262" s="5" t="str">
        <x:v>Rice Meals</x:v>
      </x:c>
      <x:c r="G1262" s="44" t="n">
        <x:v>1</x:v>
      </x:c>
      <x:c r="H1262" s="45" t="n">
        <x:v>2800</x:v>
      </x:c>
      <x:c r="I1262" s="46" t="n">
        <x:v>0</x:v>
      </x:c>
      <x:c r="J1262" s="47" t="n">
        <x:f>G1262*H1262*(1-I1262)</x:f>
        <x:v>2800</x:v>
      </x:c>
      <x:c r="K1262" s="47" t="n">
        <x:v>1450</x:v>
      </x:c>
      <x:c r="L1262" s="47" t="n">
        <x:f>G1262*K1262</x:f>
        <x:v>1450</x:v>
      </x:c>
      <x:c r="M1262" s="47" t="n">
        <x:f>J1262-L1262</x:f>
        <x:v>1350</x:v>
      </x:c>
      <x:c r="N1262" s="5" t="str">
        <x:v>Takeaway</x:v>
      </x:c>
      <x:c r="O1262" s="5" t="str">
        <x:v>Cash</x:v>
      </x:c>
      <x:c r="P1262" s="5" t="str">
        <x:v>Lunch</x:v>
      </x:c>
      <x:c r="Q1262" s="48" t="n">
        <x:v>12</x:v>
      </x:c>
      <x:c r="R1262" s="5" t="n">
        <x:v>4</x:v>
      </x:c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5" t="str">
        <x:v>ORD-00384</x:v>
      </x:c>
      <x:c r="B1263" s="43" t="n">
        <x:v>46185</x:v>
      </x:c>
      <x:c r="C1263" s="5" t="str">
        <x:v>CUST-0623</x:v>
      </x:c>
      <x:c r="D1263" s="5" t="str">
        <x:v>FD002</x:v>
      </x:c>
      <x:c r="E1263" s="5" t="str">
        <x:v>Jollof Rice &amp; Chicken</x:v>
      </x:c>
      <x:c r="F1263" s="5" t="str">
        <x:v>Rice Meals</x:v>
      </x:c>
      <x:c r="G1263" s="44" t="n">
        <x:v>4</x:v>
      </x:c>
      <x:c r="H1263" s="45" t="n">
        <x:v>2800</x:v>
      </x:c>
      <x:c r="I1263" s="46" t="n">
        <x:v>0</x:v>
      </x:c>
      <x:c r="J1263" s="47" t="n">
        <x:f>G1263*H1263*(1-I1263)</x:f>
        <x:v>11200</x:v>
      </x:c>
      <x:c r="K1263" s="47" t="n">
        <x:v>1450</x:v>
      </x:c>
      <x:c r="L1263" s="47" t="n">
        <x:f>G1263*K1263</x:f>
        <x:v>5800</x:v>
      </x:c>
      <x:c r="M1263" s="47" t="n">
        <x:f>J1263-L1263</x:f>
        <x:v>5400</x:v>
      </x:c>
      <x:c r="N1263" s="5" t="str">
        <x:v>Takeaway</x:v>
      </x:c>
      <x:c r="O1263" s="5" t="str">
        <x:v>POS</x:v>
      </x:c>
      <x:c r="P1263" s="5" t="str">
        <x:v>Dinner</x:v>
      </x:c>
      <x:c r="Q1263" s="48" t="n">
        <x:v>16</x:v>
      </x:c>
      <x:c r="R1263" s="5" t="n">
        <x:v>5</x:v>
      </x:c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5" t="str">
        <x:v>ORD-01062</x:v>
      </x:c>
      <x:c r="B1264" s="43" t="n">
        <x:v>46185</x:v>
      </x:c>
      <x:c r="C1264" s="5" t="str">
        <x:v>CUST-0579</x:v>
      </x:c>
      <x:c r="D1264" s="5" t="str">
        <x:v>FD008</x:v>
      </x:c>
      <x:c r="E1264" s="5" t="str">
        <x:v>Pounded Yam &amp; Vegetable Soup</x:v>
      </x:c>
      <x:c r="F1264" s="5" t="str">
        <x:v>Swallow</x:v>
      </x:c>
      <x:c r="G1264" s="44" t="n">
        <x:v>4</x:v>
      </x:c>
      <x:c r="H1264" s="45" t="n">
        <x:v>3200</x:v>
      </x:c>
      <x:c r="I1264" s="46" t="n">
        <x:v>0</x:v>
      </x:c>
      <x:c r="J1264" s="47" t="n">
        <x:f>G1264*H1264*(1-I1264)</x:f>
        <x:v>12800</x:v>
      </x:c>
      <x:c r="K1264" s="47" t="n">
        <x:v>1710</x:v>
      </x:c>
      <x:c r="L1264" s="47" t="n">
        <x:f>G1264*K1264</x:f>
        <x:v>6840</x:v>
      </x:c>
      <x:c r="M1264" s="47" t="n">
        <x:f>J1264-L1264</x:f>
        <x:v>5960</x:v>
      </x:c>
      <x:c r="N1264" s="5" t="str">
        <x:v>Walk-in</x:v>
      </x:c>
      <x:c r="O1264" s="5" t="str">
        <x:v>Cash</x:v>
      </x:c>
      <x:c r="P1264" s="5" t="str">
        <x:v>Dinner</x:v>
      </x:c>
      <x:c r="Q1264" s="48" t="n">
        <x:v>16</x:v>
      </x:c>
      <x:c r="R1264" s="5" t="n">
        <x:v>5</x:v>
      </x:c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5" t="str">
        <x:v>ORD-01088</x:v>
      </x:c>
      <x:c r="B1265" s="43" t="n">
        <x:v>46185</x:v>
      </x:c>
      <x:c r="C1265" s="5" t="str">
        <x:v>CUST-0461</x:v>
      </x:c>
      <x:c r="D1265" s="5" t="str">
        <x:v>FD005</x:v>
      </x:c>
      <x:c r="E1265" s="5" t="str">
        <x:v>Yam Porridge</x:v>
      </x:c>
      <x:c r="F1265" s="5" t="str">
        <x:v>Traditional Meals</x:v>
      </x:c>
      <x:c r="G1265" s="44" t="n">
        <x:v>3</x:v>
      </x:c>
      <x:c r="H1265" s="45" t="n">
        <x:v>2200</x:v>
      </x:c>
      <x:c r="I1265" s="46" t="n">
        <x:v>0.1</x:v>
      </x:c>
      <x:c r="J1265" s="47" t="n">
        <x:f>G1265*H1265*(1-I1265)</x:f>
        <x:v>5940</x:v>
      </x:c>
      <x:c r="K1265" s="47" t="n">
        <x:v>1050</x:v>
      </x:c>
      <x:c r="L1265" s="47" t="n">
        <x:f>G1265*K1265</x:f>
        <x:v>3150</x:v>
      </x:c>
      <x:c r="M1265" s="47" t="n">
        <x:f>J1265-L1265</x:f>
        <x:v>2790</x:v>
      </x:c>
      <x:c r="N1265" s="5" t="str">
        <x:v>Takeaway</x:v>
      </x:c>
      <x:c r="O1265" s="5" t="str">
        <x:v>Transfer</x:v>
      </x:c>
      <x:c r="P1265" s="5" t="str">
        <x:v>Dinner</x:v>
      </x:c>
      <x:c r="Q1265" s="48" t="n">
        <x:v>18</x:v>
      </x:c>
      <x:c r="R1265" s="5" t="n">
        <x:v>5</x:v>
      </x:c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5" t="str">
        <x:v>ORD-01182</x:v>
      </x:c>
      <x:c r="B1266" s="43" t="n">
        <x:v>46185</x:v>
      </x:c>
      <x:c r="C1266" s="5" t="str">
        <x:v>CUST-0512</x:v>
      </x:c>
      <x:c r="D1266" s="5" t="str">
        <x:v>FD002</x:v>
      </x:c>
      <x:c r="E1266" s="5" t="str">
        <x:v>Jollof Rice &amp; Chicken</x:v>
      </x:c>
      <x:c r="F1266" s="5" t="str">
        <x:v>Rice Meals</x:v>
      </x:c>
      <x:c r="G1266" s="44" t="n">
        <x:v>1</x:v>
      </x:c>
      <x:c r="H1266" s="45" t="n">
        <x:v>2800</x:v>
      </x:c>
      <x:c r="I1266" s="46" t="n">
        <x:v>0</x:v>
      </x:c>
      <x:c r="J1266" s="47" t="n">
        <x:f>G1266*H1266*(1-I1266)</x:f>
        <x:v>2800</x:v>
      </x:c>
      <x:c r="K1266" s="47" t="n">
        <x:v>1450</x:v>
      </x:c>
      <x:c r="L1266" s="47" t="n">
        <x:f>G1266*K1266</x:f>
        <x:v>1450</x:v>
      </x:c>
      <x:c r="M1266" s="47" t="n">
        <x:f>J1266-L1266</x:f>
        <x:v>1350</x:v>
      </x:c>
      <x:c r="N1266" s="5" t="str">
        <x:v>Takeaway</x:v>
      </x:c>
      <x:c r="O1266" s="5" t="str">
        <x:v>Cash</x:v>
      </x:c>
      <x:c r="P1266" s="5" t="str">
        <x:v>Breakfast</x:v>
      </x:c>
      <x:c r="Q1266" s="48" t="n">
        <x:v>9</x:v>
      </x:c>
      <x:c r="R1266" s="5" t="n">
        <x:v>4</x:v>
      </x:c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5" t="str">
        <x:v>ORD-01278</x:v>
      </x:c>
      <x:c r="B1267" s="43" t="n">
        <x:v>46185</x:v>
      </x:c>
      <x:c r="C1267" s="5" t="str">
        <x:v>CUST-0604</x:v>
      </x:c>
      <x:c r="D1267" s="5" t="str">
        <x:v>FD003</x:v>
      </x:c>
      <x:c r="E1267" s="5" t="str">
        <x:v>Fried Rice &amp; Chicken</x:v>
      </x:c>
      <x:c r="F1267" s="5" t="str">
        <x:v>Rice Meals</x:v>
      </x:c>
      <x:c r="G1267" s="44" t="n">
        <x:v>2</x:v>
      </x:c>
      <x:c r="H1267" s="45" t="n">
        <x:v>3000</x:v>
      </x:c>
      <x:c r="I1267" s="46" t="n">
        <x:v>0</x:v>
      </x:c>
      <x:c r="J1267" s="47" t="n">
        <x:f>G1267*H1267*(1-I1267)</x:f>
        <x:v>6000</x:v>
      </x:c>
      <x:c r="K1267" s="47" t="n">
        <x:v>1580</x:v>
      </x:c>
      <x:c r="L1267" s="47" t="n">
        <x:f>G1267*K1267</x:f>
        <x:v>3160</x:v>
      </x:c>
      <x:c r="M1267" s="47" t="n">
        <x:f>J1267-L1267</x:f>
        <x:v>2840</x:v>
      </x:c>
      <x:c r="N1267" s="5" t="str">
        <x:v>Walk-in</x:v>
      </x:c>
      <x:c r="O1267" s="5" t="str">
        <x:v>Transfer</x:v>
      </x:c>
      <x:c r="P1267" s="5" t="str">
        <x:v>Dinner</x:v>
      </x:c>
      <x:c r="Q1267" s="48" t="n">
        <x:v>20</x:v>
      </x:c>
      <x:c r="R1267" s="5" t="n">
        <x:v>4</x:v>
      </x:c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5" t="str">
        <x:v>ORD-01382</x:v>
      </x:c>
      <x:c r="B1268" s="43" t="n">
        <x:v>46185</x:v>
      </x:c>
      <x:c r="C1268" s="5" t="str">
        <x:v>CUST-0379</x:v>
      </x:c>
      <x:c r="D1268" s="5" t="str">
        <x:v>FD007</x:v>
      </x:c>
      <x:c r="E1268" s="5" t="str">
        <x:v>Amala &amp; Ewedu</x:v>
      </x:c>
      <x:c r="F1268" s="5" t="str">
        <x:v>Swallow</x:v>
      </x:c>
      <x:c r="G1268" s="44" t="n">
        <x:v>3</x:v>
      </x:c>
      <x:c r="H1268" s="45" t="n">
        <x:v>2500</x:v>
      </x:c>
      <x:c r="I1268" s="46" t="n">
        <x:v>0</x:v>
      </x:c>
      <x:c r="J1268" s="47" t="n">
        <x:f>G1268*H1268*(1-I1268)</x:f>
        <x:v>7500</x:v>
      </x:c>
      <x:c r="K1268" s="47" t="n">
        <x:v>1250</x:v>
      </x:c>
      <x:c r="L1268" s="47" t="n">
        <x:f>G1268*K1268</x:f>
        <x:v>3750</x:v>
      </x:c>
      <x:c r="M1268" s="47" t="n">
        <x:f>J1268-L1268</x:f>
        <x:v>3750</x:v>
      </x:c>
      <x:c r="N1268" s="5" t="str">
        <x:v>Walk-in</x:v>
      </x:c>
      <x:c r="O1268" s="5" t="str">
        <x:v>POS</x:v>
      </x:c>
      <x:c r="P1268" s="5" t="str">
        <x:v>Lunch</x:v>
      </x:c>
      <x:c r="Q1268" s="48" t="n">
        <x:v>14</x:v>
      </x:c>
      <x:c r="R1268" s="5" t="n">
        <x:v>4</x:v>
      </x:c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5" t="str">
        <x:v>ORD-00503</x:v>
      </x:c>
      <x:c r="B1269" s="43" t="n">
        <x:v>46186</x:v>
      </x:c>
      <x:c r="C1269" s="5" t="str">
        <x:v>CUST-0482</x:v>
      </x:c>
      <x:c r="D1269" s="5" t="str">
        <x:v>FD003</x:v>
      </x:c>
      <x:c r="E1269" s="5" t="str">
        <x:v>Fried Rice &amp; Chicken</x:v>
      </x:c>
      <x:c r="F1269" s="5" t="str">
        <x:v>Rice Meals</x:v>
      </x:c>
      <x:c r="G1269" s="44" t="n">
        <x:v>2</x:v>
      </x:c>
      <x:c r="H1269" s="45" t="n">
        <x:v>3000</x:v>
      </x:c>
      <x:c r="I1269" s="46" t="n">
        <x:v>0</x:v>
      </x:c>
      <x:c r="J1269" s="47" t="n">
        <x:f>G1269*H1269*(1-I1269)</x:f>
        <x:v>6000</x:v>
      </x:c>
      <x:c r="K1269" s="47" t="n">
        <x:v>1580</x:v>
      </x:c>
      <x:c r="L1269" s="47" t="n">
        <x:f>G1269*K1269</x:f>
        <x:v>3160</x:v>
      </x:c>
      <x:c r="M1269" s="47" t="n">
        <x:f>J1269-L1269</x:f>
        <x:v>2840</x:v>
      </x:c>
      <x:c r="N1269" s="5" t="str">
        <x:v>Walk-in</x:v>
      </x:c>
      <x:c r="O1269" s="5" t="str">
        <x:v>Transfer</x:v>
      </x:c>
      <x:c r="P1269" s="5" t="str">
        <x:v>Lunch</x:v>
      </x:c>
      <x:c r="Q1269" s="48" t="n">
        <x:v>15</x:v>
      </x:c>
      <x:c r="R1269" s="5" t="n">
        <x:v>4</x:v>
      </x:c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5" t="str">
        <x:v>ORD-00700</x:v>
      </x:c>
      <x:c r="B1270" s="43" t="n">
        <x:v>46186</x:v>
      </x:c>
      <x:c r="C1270" s="5" t="str">
        <x:v>CUST-0299</x:v>
      </x:c>
      <x:c r="D1270" s="5" t="str">
        <x:v>FD011</x:v>
      </x:c>
      <x:c r="E1270" s="5" t="str">
        <x:v>Bottled Water</x:v>
      </x:c>
      <x:c r="F1270" s="5" t="str">
        <x:v>Beverages</x:v>
      </x:c>
      <x:c r="G1270" s="44" t="n">
        <x:v>4</x:v>
      </x:c>
      <x:c r="H1270" s="45" t="n">
        <x:v>300</x:v>
      </x:c>
      <x:c r="I1270" s="46" t="n">
        <x:v>0</x:v>
      </x:c>
      <x:c r="J1270" s="47" t="n">
        <x:f>G1270*H1270*(1-I1270)</x:f>
        <x:v>1200</x:v>
      </x:c>
      <x:c r="K1270" s="47" t="n">
        <x:v>120</x:v>
      </x:c>
      <x:c r="L1270" s="47" t="n">
        <x:f>G1270*K1270</x:f>
        <x:v>480</x:v>
      </x:c>
      <x:c r="M1270" s="47" t="n">
        <x:f>J1270-L1270</x:f>
        <x:v>720</x:v>
      </x:c>
      <x:c r="N1270" s="5" t="str">
        <x:v>Takeaway</x:v>
      </x:c>
      <x:c r="O1270" s="5" t="str">
        <x:v>Transfer</x:v>
      </x:c>
      <x:c r="P1270" s="5" t="str">
        <x:v>Dinner</x:v>
      </x:c>
      <x:c r="Q1270" s="48" t="n">
        <x:v>18</x:v>
      </x:c>
      <x:c r="R1270" s="5" t="n">
        <x:v>3</x:v>
      </x:c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5" t="str">
        <x:v>ORD-00808</x:v>
      </x:c>
      <x:c r="B1271" s="43" t="n">
        <x:v>46186</x:v>
      </x:c>
      <x:c r="C1271" s="5" t="str">
        <x:v>CUST-0563</x:v>
      </x:c>
      <x:c r="D1271" s="5" t="str">
        <x:v>FD002</x:v>
      </x:c>
      <x:c r="E1271" s="5" t="str">
        <x:v>Jollof Rice &amp; Chicken</x:v>
      </x:c>
      <x:c r="F1271" s="5" t="str">
        <x:v>Rice Meals</x:v>
      </x:c>
      <x:c r="G1271" s="44" t="n">
        <x:v>2</x:v>
      </x:c>
      <x:c r="H1271" s="45" t="n">
        <x:v>2800</x:v>
      </x:c>
      <x:c r="I1271" s="46" t="n">
        <x:v>0</x:v>
      </x:c>
      <x:c r="J1271" s="47" t="n">
        <x:f>G1271*H1271*(1-I1271)</x:f>
        <x:v>5600</x:v>
      </x:c>
      <x:c r="K1271" s="47" t="n">
        <x:v>1450</x:v>
      </x:c>
      <x:c r="L1271" s="47" t="n">
        <x:f>G1271*K1271</x:f>
        <x:v>2900</x:v>
      </x:c>
      <x:c r="M1271" s="47" t="n">
        <x:f>J1271-L1271</x:f>
        <x:v>2700</x:v>
      </x:c>
      <x:c r="N1271" s="5" t="str">
        <x:v>Takeaway</x:v>
      </x:c>
      <x:c r="O1271" s="5" t="str">
        <x:v>Cash</x:v>
      </x:c>
      <x:c r="P1271" s="5" t="str">
        <x:v>Lunch</x:v>
      </x:c>
      <x:c r="Q1271" s="48" t="n">
        <x:v>13</x:v>
      </x:c>
      <x:c r="R1271" s="5" t="n">
        <x:v>4</x:v>
      </x:c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5" t="str">
        <x:v>ORD-00817</x:v>
      </x:c>
      <x:c r="B1272" s="43" t="n">
        <x:v>46186</x:v>
      </x:c>
      <x:c r="C1272" s="5" t="str">
        <x:v>CUST-0100</x:v>
      </x:c>
      <x:c r="D1272" s="5" t="str">
        <x:v>FD010</x:v>
      </x:c>
      <x:c r="E1272" s="5" t="str">
        <x:v>Soft Drink</x:v>
      </x:c>
      <x:c r="F1272" s="5" t="str">
        <x:v>Beverages</x:v>
      </x:c>
      <x:c r="G1272" s="44" t="n">
        <x:v>2</x:v>
      </x:c>
      <x:c r="H1272" s="45" t="n">
        <x:v>600</x:v>
      </x:c>
      <x:c r="I1272" s="46" t="n">
        <x:v>0</x:v>
      </x:c>
      <x:c r="J1272" s="47" t="n">
        <x:f>G1272*H1272*(1-I1272)</x:f>
        <x:v>1200</x:v>
      </x:c>
      <x:c r="K1272" s="47" t="n">
        <x:v>280</x:v>
      </x:c>
      <x:c r="L1272" s="47" t="n">
        <x:f>G1272*K1272</x:f>
        <x:v>560</x:v>
      </x:c>
      <x:c r="M1272" s="47" t="n">
        <x:f>J1272-L1272</x:f>
        <x:v>640</x:v>
      </x:c>
      <x:c r="N1272" s="5" t="str">
        <x:v>Walk-in</x:v>
      </x:c>
      <x:c r="O1272" s="5" t="str">
        <x:v>POS</x:v>
      </x:c>
      <x:c r="P1272" s="5" t="str">
        <x:v>Lunch</x:v>
      </x:c>
      <x:c r="Q1272" s="48" t="n">
        <x:v>12</x:v>
      </x:c>
      <x:c r="R1272" s="5" t="n">
        <x:v>4</x:v>
      </x:c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5" t="str">
        <x:v>ORD-00859</x:v>
      </x:c>
      <x:c r="B1273" s="43" t="n">
        <x:v>46186</x:v>
      </x:c>
      <x:c r="C1273" s="5" t="str">
        <x:v>CUST-0383</x:v>
      </x:c>
      <x:c r="D1273" s="5" t="str">
        <x:v>FD005</x:v>
      </x:c>
      <x:c r="E1273" s="5" t="str">
        <x:v>Yam Porridge</x:v>
      </x:c>
      <x:c r="F1273" s="5" t="str">
        <x:v>Traditional Meals</x:v>
      </x:c>
      <x:c r="G1273" s="44" t="n">
        <x:v>4</x:v>
      </x:c>
      <x:c r="H1273" s="45" t="n">
        <x:v>2200</x:v>
      </x:c>
      <x:c r="I1273" s="46" t="n">
        <x:v>0</x:v>
      </x:c>
      <x:c r="J1273" s="47" t="n">
        <x:f>G1273*H1273*(1-I1273)</x:f>
        <x:v>8800</x:v>
      </x:c>
      <x:c r="K1273" s="47" t="n">
        <x:v>1050</x:v>
      </x:c>
      <x:c r="L1273" s="47" t="n">
        <x:f>G1273*K1273</x:f>
        <x:v>4200</x:v>
      </x:c>
      <x:c r="M1273" s="47" t="n">
        <x:f>J1273-L1273</x:f>
        <x:v>4600</x:v>
      </x:c>
      <x:c r="N1273" s="5" t="str">
        <x:v>Delivery</x:v>
      </x:c>
      <x:c r="O1273" s="5" t="str">
        <x:v>Transfer</x:v>
      </x:c>
      <x:c r="P1273" s="5" t="str">
        <x:v>Dinner</x:v>
      </x:c>
      <x:c r="Q1273" s="48" t="n">
        <x:v>16</x:v>
      </x:c>
      <x:c r="R1273" s="5" t="n">
        <x:v>3</x:v>
      </x:c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5" t="str">
        <x:v>ORD-01336</x:v>
      </x:c>
      <x:c r="B1274" s="43" t="n">
        <x:v>46186</x:v>
      </x:c>
      <x:c r="C1274" s="5" t="str">
        <x:v>CUST-0277</x:v>
      </x:c>
      <x:c r="D1274" s="5" t="str">
        <x:v>FD004</x:v>
      </x:c>
      <x:c r="E1274" s="5" t="str">
        <x:v>Beans &amp; Plantain</x:v>
      </x:c>
      <x:c r="F1274" s="5" t="str">
        <x:v>Traditional Meals</x:v>
      </x:c>
      <x:c r="G1274" s="44" t="n">
        <x:v>3</x:v>
      </x:c>
      <x:c r="H1274" s="45" t="n">
        <x:v>2000</x:v>
      </x:c>
      <x:c r="I1274" s="46" t="n">
        <x:v>0</x:v>
      </x:c>
      <x:c r="J1274" s="47" t="n">
        <x:f>G1274*H1274*(1-I1274)</x:f>
        <x:v>6000</x:v>
      </x:c>
      <x:c r="K1274" s="47" t="n">
        <x:v>960</x:v>
      </x:c>
      <x:c r="L1274" s="47" t="n">
        <x:f>G1274*K1274</x:f>
        <x:v>2880</x:v>
      </x:c>
      <x:c r="M1274" s="47" t="n">
        <x:f>J1274-L1274</x:f>
        <x:v>3120</x:v>
      </x:c>
      <x:c r="N1274" s="5" t="str">
        <x:v>Walk-in</x:v>
      </x:c>
      <x:c r="O1274" s="5" t="str">
        <x:v>POS</x:v>
      </x:c>
      <x:c r="P1274" s="5" t="str">
        <x:v>Dinner</x:v>
      </x:c>
      <x:c r="Q1274" s="48" t="n">
        <x:v>17</x:v>
      </x:c>
      <x:c r="R1274" s="5" t="n">
        <x:v>4</x:v>
      </x:c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5" t="str">
        <x:v>ORD-01475</x:v>
      </x:c>
      <x:c r="B1275" s="43" t="n">
        <x:v>46186</x:v>
      </x:c>
      <x:c r="C1275" s="5" t="str">
        <x:v>CUST-0255</x:v>
      </x:c>
      <x:c r="D1275" s="5" t="str">
        <x:v>FD001</x:v>
      </x:c>
      <x:c r="E1275" s="5" t="str">
        <x:v>White Rice &amp; Stew</x:v>
      </x:c>
      <x:c r="F1275" s="5" t="str">
        <x:v>Rice Meals</x:v>
      </x:c>
      <x:c r="G1275" s="44" t="n">
        <x:v>4</x:v>
      </x:c>
      <x:c r="H1275" s="45" t="n">
        <x:v>1800</x:v>
      </x:c>
      <x:c r="I1275" s="46" t="n">
        <x:v>0</x:v>
      </x:c>
      <x:c r="J1275" s="47" t="n">
        <x:f>G1275*H1275*(1-I1275)</x:f>
        <x:v>7200</x:v>
      </x:c>
      <x:c r="K1275" s="47" t="n">
        <x:v>820</x:v>
      </x:c>
      <x:c r="L1275" s="47" t="n">
        <x:f>G1275*K1275</x:f>
        <x:v>3280</x:v>
      </x:c>
      <x:c r="M1275" s="47" t="n">
        <x:f>J1275-L1275</x:f>
        <x:v>3920</x:v>
      </x:c>
      <x:c r="N1275" s="5" t="str">
        <x:v>Walk-in</x:v>
      </x:c>
      <x:c r="O1275" s="5" t="str">
        <x:v>POS</x:v>
      </x:c>
      <x:c r="P1275" s="5" t="str">
        <x:v>Dinner</x:v>
      </x:c>
      <x:c r="Q1275" s="48" t="n">
        <x:v>17</x:v>
      </x:c>
      <x:c r="R1275" s="5" t="n">
        <x:v>5</x:v>
      </x:c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5" t="str">
        <x:v>ORD-01718</x:v>
      </x:c>
      <x:c r="B1276" s="43" t="n">
        <x:v>46186</x:v>
      </x:c>
      <x:c r="C1276" s="5" t="str">
        <x:v>CUST-0632</x:v>
      </x:c>
      <x:c r="D1276" s="5" t="str">
        <x:v>FD004</x:v>
      </x:c>
      <x:c r="E1276" s="5" t="str">
        <x:v>Beans &amp; Plantain</x:v>
      </x:c>
      <x:c r="F1276" s="5" t="str">
        <x:v>Traditional Meals</x:v>
      </x:c>
      <x:c r="G1276" s="44" t="n">
        <x:v>4</x:v>
      </x:c>
      <x:c r="H1276" s="45" t="n">
        <x:v>2000</x:v>
      </x:c>
      <x:c r="I1276" s="46" t="n">
        <x:v>0</x:v>
      </x:c>
      <x:c r="J1276" s="47" t="n">
        <x:f>G1276*H1276*(1-I1276)</x:f>
        <x:v>8000</x:v>
      </x:c>
      <x:c r="K1276" s="47" t="n">
        <x:v>960</x:v>
      </x:c>
      <x:c r="L1276" s="47" t="n">
        <x:f>G1276*K1276</x:f>
        <x:v>3840</x:v>
      </x:c>
      <x:c r="M1276" s="47" t="n">
        <x:f>J1276-L1276</x:f>
        <x:v>4160</x:v>
      </x:c>
      <x:c r="N1276" s="5" t="str">
        <x:v>Walk-in</x:v>
      </x:c>
      <x:c r="O1276" s="5" t="str">
        <x:v>POS</x:v>
      </x:c>
      <x:c r="P1276" s="5" t="str">
        <x:v>Lunch</x:v>
      </x:c>
      <x:c r="Q1276" s="48" t="n">
        <x:v>13</x:v>
      </x:c>
      <x:c r="R1276" s="5" t="n">
        <x:v>4</x:v>
      </x:c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5" t="str">
        <x:v>ORD-00202</x:v>
      </x:c>
      <x:c r="B1277" s="43" t="n">
        <x:v>46187</x:v>
      </x:c>
      <x:c r="C1277" s="5" t="str">
        <x:v>CUST-0065</x:v>
      </x:c>
      <x:c r="D1277" s="5" t="str">
        <x:v>FD004</x:v>
      </x:c>
      <x:c r="E1277" s="5" t="str">
        <x:v>Beans &amp; Plantain</x:v>
      </x:c>
      <x:c r="F1277" s="5" t="str">
        <x:v>Traditional Meals</x:v>
      </x:c>
      <x:c r="G1277" s="44" t="n">
        <x:v>3</x:v>
      </x:c>
      <x:c r="H1277" s="45" t="n">
        <x:v>2000</x:v>
      </x:c>
      <x:c r="I1277" s="46" t="n">
        <x:v>0</x:v>
      </x:c>
      <x:c r="J1277" s="47" t="n">
        <x:f>G1277*H1277*(1-I1277)</x:f>
        <x:v>6000</x:v>
      </x:c>
      <x:c r="K1277" s="47" t="n">
        <x:v>960</x:v>
      </x:c>
      <x:c r="L1277" s="47" t="n">
        <x:f>G1277*K1277</x:f>
        <x:v>2880</x:v>
      </x:c>
      <x:c r="M1277" s="47" t="n">
        <x:f>J1277-L1277</x:f>
        <x:v>3120</x:v>
      </x:c>
      <x:c r="N1277" s="5" t="str">
        <x:v>Walk-in</x:v>
      </x:c>
      <x:c r="O1277" s="5" t="str">
        <x:v>Cash</x:v>
      </x:c>
      <x:c r="P1277" s="5" t="str">
        <x:v>Lunch</x:v>
      </x:c>
      <x:c r="Q1277" s="48" t="n">
        <x:v>11</x:v>
      </x:c>
      <x:c r="R1277" s="5" t="n">
        <x:v>3</x:v>
      </x:c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5" t="str">
        <x:v>ORD-00305</x:v>
      </x:c>
      <x:c r="B1278" s="43" t="n">
        <x:v>46187</x:v>
      </x:c>
      <x:c r="C1278" s="5" t="str">
        <x:v>CUST-0479</x:v>
      </x:c>
      <x:c r="D1278" s="5" t="str">
        <x:v>FD001</x:v>
      </x:c>
      <x:c r="E1278" s="5" t="str">
        <x:v>White Rice &amp; Stew</x:v>
      </x:c>
      <x:c r="F1278" s="5" t="str">
        <x:v>Rice Meals</x:v>
      </x:c>
      <x:c r="G1278" s="44" t="n">
        <x:v>4</x:v>
      </x:c>
      <x:c r="H1278" s="45" t="n">
        <x:v>1800</x:v>
      </x:c>
      <x:c r="I1278" s="46" t="n">
        <x:v>0</x:v>
      </x:c>
      <x:c r="J1278" s="47" t="n">
        <x:f>G1278*H1278*(1-I1278)</x:f>
        <x:v>7200</x:v>
      </x:c>
      <x:c r="K1278" s="47" t="n">
        <x:v>820</x:v>
      </x:c>
      <x:c r="L1278" s="47" t="n">
        <x:f>G1278*K1278</x:f>
        <x:v>3280</x:v>
      </x:c>
      <x:c r="M1278" s="47" t="n">
        <x:f>J1278-L1278</x:f>
        <x:v>3920</x:v>
      </x:c>
      <x:c r="N1278" s="5" t="str">
        <x:v>Delivery</x:v>
      </x:c>
      <x:c r="O1278" s="5" t="str">
        <x:v>POS</x:v>
      </x:c>
      <x:c r="P1278" s="5" t="str">
        <x:v>Lunch</x:v>
      </x:c>
      <x:c r="Q1278" s="48" t="n">
        <x:v>15</x:v>
      </x:c>
      <x:c r="R1278" s="5" t="n">
        <x:v>5</x:v>
      </x:c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5" t="str">
        <x:v>ORD-00355</x:v>
      </x:c>
      <x:c r="B1279" s="43" t="n">
        <x:v>46187</x:v>
      </x:c>
      <x:c r="C1279" s="5" t="str">
        <x:v>CUST-0139</x:v>
      </x:c>
      <x:c r="D1279" s="5" t="str">
        <x:v>FD006</x:v>
      </x:c>
      <x:c r="E1279" s="5" t="str">
        <x:v>Eba &amp; Egusi Soup</x:v>
      </x:c>
      <x:c r="F1279" s="5" t="str">
        <x:v>Swallow</x:v>
      </x:c>
      <x:c r="G1279" s="44" t="n">
        <x:v>1</x:v>
      </x:c>
      <x:c r="H1279" s="45" t="n">
        <x:v>2600</x:v>
      </x:c>
      <x:c r="I1279" s="46" t="n">
        <x:v>0</x:v>
      </x:c>
      <x:c r="J1279" s="47" t="n">
        <x:f>G1279*H1279*(1-I1279)</x:f>
        <x:v>2600</x:v>
      </x:c>
      <x:c r="K1279" s="47" t="n">
        <x:v>1320</x:v>
      </x:c>
      <x:c r="L1279" s="47" t="n">
        <x:f>G1279*K1279</x:f>
        <x:v>1320</x:v>
      </x:c>
      <x:c r="M1279" s="47" t="n">
        <x:f>J1279-L1279</x:f>
        <x:v>1280</x:v>
      </x:c>
      <x:c r="N1279" s="5" t="str">
        <x:v>Takeaway</x:v>
      </x:c>
      <x:c r="O1279" s="5" t="str">
        <x:v>POS</x:v>
      </x:c>
      <x:c r="P1279" s="5" t="str">
        <x:v>Lunch</x:v>
      </x:c>
      <x:c r="Q1279" s="48" t="n">
        <x:v>13</x:v>
      </x:c>
      <x:c r="R1279" s="5" t="n">
        <x:v>5</x:v>
      </x:c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5" t="str">
        <x:v>ORD-00535</x:v>
      </x:c>
      <x:c r="B1280" s="43" t="n">
        <x:v>46187</x:v>
      </x:c>
      <x:c r="C1280" s="5" t="str">
        <x:v>CUST-0152</x:v>
      </x:c>
      <x:c r="D1280" s="5" t="str">
        <x:v>FD001</x:v>
      </x:c>
      <x:c r="E1280" s="5" t="str">
        <x:v>White Rice &amp; Stew</x:v>
      </x:c>
      <x:c r="F1280" s="5" t="str">
        <x:v>Rice Meals</x:v>
      </x:c>
      <x:c r="G1280" s="44" t="n">
        <x:v>2</x:v>
      </x:c>
      <x:c r="H1280" s="45" t="n">
        <x:v>1800</x:v>
      </x:c>
      <x:c r="I1280" s="46" t="n">
        <x:v>0</x:v>
      </x:c>
      <x:c r="J1280" s="47" t="n">
        <x:f>G1280*H1280*(1-I1280)</x:f>
        <x:v>3600</x:v>
      </x:c>
      <x:c r="K1280" s="47" t="n">
        <x:v>820</x:v>
      </x:c>
      <x:c r="L1280" s="47" t="n">
        <x:f>G1280*K1280</x:f>
        <x:v>1640</x:v>
      </x:c>
      <x:c r="M1280" s="47" t="n">
        <x:f>J1280-L1280</x:f>
        <x:v>1960</x:v>
      </x:c>
      <x:c r="N1280" s="5" t="str">
        <x:v>Walk-in</x:v>
      </x:c>
      <x:c r="O1280" s="5" t="str">
        <x:v>POS</x:v>
      </x:c>
      <x:c r="P1280" s="5" t="str">
        <x:v>Lunch</x:v>
      </x:c>
      <x:c r="Q1280" s="48" t="n">
        <x:v>11</x:v>
      </x:c>
      <x:c r="R1280" s="5" t="n">
        <x:v>3</x:v>
      </x:c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5" t="str">
        <x:v>ORD-00586</x:v>
      </x:c>
      <x:c r="B1281" s="43" t="n">
        <x:v>46187</x:v>
      </x:c>
      <x:c r="C1281" s="5" t="str">
        <x:v>CUST-0569</x:v>
      </x:c>
      <x:c r="D1281" s="5" t="str">
        <x:v>FD002</x:v>
      </x:c>
      <x:c r="E1281" s="5" t="str">
        <x:v>Jollof Rice &amp; Chicken</x:v>
      </x:c>
      <x:c r="F1281" s="5" t="str">
        <x:v>Rice Meals</x:v>
      </x:c>
      <x:c r="G1281" s="44" t="n">
        <x:v>3</x:v>
      </x:c>
      <x:c r="H1281" s="45" t="n">
        <x:v>2800</x:v>
      </x:c>
      <x:c r="I1281" s="46" t="n">
        <x:v>0</x:v>
      </x:c>
      <x:c r="J1281" s="47" t="n">
        <x:f>G1281*H1281*(1-I1281)</x:f>
        <x:v>8400</x:v>
      </x:c>
      <x:c r="K1281" s="47" t="n">
        <x:v>1450</x:v>
      </x:c>
      <x:c r="L1281" s="47" t="n">
        <x:f>G1281*K1281</x:f>
        <x:v>4350</x:v>
      </x:c>
      <x:c r="M1281" s="47" t="n">
        <x:f>J1281-L1281</x:f>
        <x:v>4050</x:v>
      </x:c>
      <x:c r="N1281" s="5" t="str">
        <x:v>Walk-in</x:v>
      </x:c>
      <x:c r="O1281" s="5" t="str">
        <x:v>Cash</x:v>
      </x:c>
      <x:c r="P1281" s="5" t="str">
        <x:v>Breakfast</x:v>
      </x:c>
      <x:c r="Q1281" s="48" t="n">
        <x:v>8</x:v>
      </x:c>
      <x:c r="R1281" s="5" t="n">
        <x:v>4</x:v>
      </x:c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5" t="str">
        <x:v>ORD-00768</x:v>
      </x:c>
      <x:c r="B1282" s="43" t="n">
        <x:v>46187</x:v>
      </x:c>
      <x:c r="C1282" s="5" t="str">
        <x:v>CUST-0395</x:v>
      </x:c>
      <x:c r="D1282" s="5" t="str">
        <x:v>FD006</x:v>
      </x:c>
      <x:c r="E1282" s="5" t="str">
        <x:v>Eba &amp; Egusi Soup</x:v>
      </x:c>
      <x:c r="F1282" s="5" t="str">
        <x:v>Swallow</x:v>
      </x:c>
      <x:c r="G1282" s="44" t="n">
        <x:v>3</x:v>
      </x:c>
      <x:c r="H1282" s="45" t="n">
        <x:v>2600</x:v>
      </x:c>
      <x:c r="I1282" s="46" t="n">
        <x:v>0</x:v>
      </x:c>
      <x:c r="J1282" s="47" t="n">
        <x:f>G1282*H1282*(1-I1282)</x:f>
        <x:v>7800</x:v>
      </x:c>
      <x:c r="K1282" s="47" t="n">
        <x:v>1320</x:v>
      </x:c>
      <x:c r="L1282" s="47" t="n">
        <x:f>G1282*K1282</x:f>
        <x:v>3960</x:v>
      </x:c>
      <x:c r="M1282" s="47" t="n">
        <x:f>J1282-L1282</x:f>
        <x:v>3840</x:v>
      </x:c>
      <x:c r="N1282" s="5" t="str">
        <x:v>Takeaway</x:v>
      </x:c>
      <x:c r="O1282" s="5" t="str">
        <x:v>Transfer</x:v>
      </x:c>
      <x:c r="P1282" s="5" t="str">
        <x:v>Lunch</x:v>
      </x:c>
      <x:c r="Q1282" s="48" t="n">
        <x:v>15</x:v>
      </x:c>
      <x:c r="R1282" s="5" t="n">
        <x:v>5</x:v>
      </x:c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5" t="str">
        <x:v>ORD-01195</x:v>
      </x:c>
      <x:c r="B1283" s="43" t="n">
        <x:v>46187</x:v>
      </x:c>
      <x:c r="C1283" s="5" t="str">
        <x:v>CUST-0605</x:v>
      </x:c>
      <x:c r="D1283" s="5" t="str">
        <x:v>FD004</x:v>
      </x:c>
      <x:c r="E1283" s="5" t="str">
        <x:v>Beans &amp; Plantain</x:v>
      </x:c>
      <x:c r="F1283" s="5" t="str">
        <x:v>Traditional Meals</x:v>
      </x:c>
      <x:c r="G1283" s="44" t="n">
        <x:v>1</x:v>
      </x:c>
      <x:c r="H1283" s="45" t="n">
        <x:v>2000</x:v>
      </x:c>
      <x:c r="I1283" s="46" t="n">
        <x:v>0</x:v>
      </x:c>
      <x:c r="J1283" s="47" t="n">
        <x:f>G1283*H1283*(1-I1283)</x:f>
        <x:v>2000</x:v>
      </x:c>
      <x:c r="K1283" s="47" t="n">
        <x:v>960</x:v>
      </x:c>
      <x:c r="L1283" s="47" t="n">
        <x:f>G1283*K1283</x:f>
        <x:v>960</x:v>
      </x:c>
      <x:c r="M1283" s="47" t="n">
        <x:f>J1283-L1283</x:f>
        <x:v>1040</x:v>
      </x:c>
      <x:c r="N1283" s="5" t="str">
        <x:v>Delivery</x:v>
      </x:c>
      <x:c r="O1283" s="5" t="str">
        <x:v>Cash</x:v>
      </x:c>
      <x:c r="P1283" s="5" t="str">
        <x:v>Dinner</x:v>
      </x:c>
      <x:c r="Q1283" s="48" t="n">
        <x:v>16</x:v>
      </x:c>
      <x:c r="R1283" s="5" t="n">
        <x:v>5</x:v>
      </x:c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5" t="str">
        <x:v>ORD-01555</x:v>
      </x:c>
      <x:c r="B1284" s="43" t="n">
        <x:v>46187</x:v>
      </x:c>
      <x:c r="C1284" s="5" t="str">
        <x:v>CUST-0158</x:v>
      </x:c>
      <x:c r="D1284" s="5" t="str">
        <x:v>FD006</x:v>
      </x:c>
      <x:c r="E1284" s="5" t="str">
        <x:v>Eba &amp; Egusi Soup</x:v>
      </x:c>
      <x:c r="F1284" s="5" t="str">
        <x:v>Swallow</x:v>
      </x:c>
      <x:c r="G1284" s="44" t="n">
        <x:v>1</x:v>
      </x:c>
      <x:c r="H1284" s="45" t="n">
        <x:v>2600</x:v>
      </x:c>
      <x:c r="I1284" s="46" t="n">
        <x:v>0</x:v>
      </x:c>
      <x:c r="J1284" s="47" t="n">
        <x:f>G1284*H1284*(1-I1284)</x:f>
        <x:v>2600</x:v>
      </x:c>
      <x:c r="K1284" s="47" t="n">
        <x:v>1320</x:v>
      </x:c>
      <x:c r="L1284" s="47" t="n">
        <x:f>G1284*K1284</x:f>
        <x:v>1320</x:v>
      </x:c>
      <x:c r="M1284" s="47" t="n">
        <x:f>J1284-L1284</x:f>
        <x:v>1280</x:v>
      </x:c>
      <x:c r="N1284" s="5" t="str">
        <x:v>Walk-in</x:v>
      </x:c>
      <x:c r="O1284" s="5" t="str">
        <x:v>Cash</x:v>
      </x:c>
      <x:c r="P1284" s="5" t="str">
        <x:v>Breakfast</x:v>
      </x:c>
      <x:c r="Q1284" s="48" t="n">
        <x:v>9</x:v>
      </x:c>
      <x:c r="R1284" s="5" t="n">
        <x:v>4</x:v>
      </x:c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5" t="str">
        <x:v>ORD-00071</x:v>
      </x:c>
      <x:c r="B1285" s="43" t="n">
        <x:v>46188</x:v>
      </x:c>
      <x:c r="C1285" s="5" t="str">
        <x:v>CUST-0142</x:v>
      </x:c>
      <x:c r="D1285" s="5" t="str">
        <x:v>FD004</x:v>
      </x:c>
      <x:c r="E1285" s="5" t="str">
        <x:v>Beans &amp; Plantain</x:v>
      </x:c>
      <x:c r="F1285" s="5" t="str">
        <x:v>Traditional Meals</x:v>
      </x:c>
      <x:c r="G1285" s="44" t="n">
        <x:v>1</x:v>
      </x:c>
      <x:c r="H1285" s="45" t="n">
        <x:v>2000</x:v>
      </x:c>
      <x:c r="I1285" s="46" t="n">
        <x:v>0</x:v>
      </x:c>
      <x:c r="J1285" s="47" t="n">
        <x:f>G1285*H1285*(1-I1285)</x:f>
        <x:v>2000</x:v>
      </x:c>
      <x:c r="K1285" s="47" t="n">
        <x:v>960</x:v>
      </x:c>
      <x:c r="L1285" s="47" t="n">
        <x:f>G1285*K1285</x:f>
        <x:v>960</x:v>
      </x:c>
      <x:c r="M1285" s="47" t="n">
        <x:f>J1285-L1285</x:f>
        <x:v>1040</x:v>
      </x:c>
      <x:c r="N1285" s="5" t="str">
        <x:v>Walk-in</x:v>
      </x:c>
      <x:c r="O1285" s="5" t="str">
        <x:v>Transfer</x:v>
      </x:c>
      <x:c r="P1285" s="5" t="str">
        <x:v>Lunch</x:v>
      </x:c>
      <x:c r="Q1285" s="48" t="n">
        <x:v>13</x:v>
      </x:c>
      <x:c r="R1285" s="5" t="n">
        <x:v>5</x:v>
      </x:c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5" t="str">
        <x:v>ORD-00236</x:v>
      </x:c>
      <x:c r="B1286" s="43" t="n">
        <x:v>46188</x:v>
      </x:c>
      <x:c r="C1286" s="5" t="str">
        <x:v>CUST-0280</x:v>
      </x:c>
      <x:c r="D1286" s="5" t="str">
        <x:v>FD012</x:v>
      </x:c>
      <x:c r="E1286" s="5" t="str">
        <x:v>Fried Plantain</x:v>
      </x:c>
      <x:c r="F1286" s="5" t="str">
        <x:v>Sides</x:v>
      </x:c>
      <x:c r="G1286" s="44" t="n">
        <x:v>2</x:v>
      </x:c>
      <x:c r="H1286" s="45" t="n">
        <x:v>700</x:v>
      </x:c>
      <x:c r="I1286" s="46" t="n">
        <x:v>0</x:v>
      </x:c>
      <x:c r="J1286" s="47" t="n">
        <x:f>G1286*H1286*(1-I1286)</x:f>
        <x:v>1400</x:v>
      </x:c>
      <x:c r="K1286" s="47" t="n">
        <x:v>300</x:v>
      </x:c>
      <x:c r="L1286" s="47" t="n">
        <x:f>G1286*K1286</x:f>
        <x:v>600</x:v>
      </x:c>
      <x:c r="M1286" s="47" t="n">
        <x:f>J1286-L1286</x:f>
        <x:v>800</x:v>
      </x:c>
      <x:c r="N1286" s="5" t="str">
        <x:v>Delivery</x:v>
      </x:c>
      <x:c r="O1286" s="5" t="str">
        <x:v>Transfer</x:v>
      </x:c>
      <x:c r="P1286" s="5" t="str">
        <x:v>Lunch</x:v>
      </x:c>
      <x:c r="Q1286" s="48" t="n">
        <x:v>12</x:v>
      </x:c>
      <x:c r="R1286" s="5" t="n">
        <x:v>5</x:v>
      </x:c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5" t="str">
        <x:v>ORD-00783</x:v>
      </x:c>
      <x:c r="B1287" s="43" t="n">
        <x:v>46188</x:v>
      </x:c>
      <x:c r="C1287" s="5" t="str">
        <x:v>CUST-0539</x:v>
      </x:c>
      <x:c r="D1287" s="5" t="str">
        <x:v>FD004</x:v>
      </x:c>
      <x:c r="E1287" s="5" t="str">
        <x:v>Beans &amp; Plantain</x:v>
      </x:c>
      <x:c r="F1287" s="5" t="str">
        <x:v>Traditional Meals</x:v>
      </x:c>
      <x:c r="G1287" s="44" t="n">
        <x:v>4</x:v>
      </x:c>
      <x:c r="H1287" s="45" t="n">
        <x:v>2000</x:v>
      </x:c>
      <x:c r="I1287" s="46" t="n">
        <x:v>0</x:v>
      </x:c>
      <x:c r="J1287" s="47" t="n">
        <x:f>G1287*H1287*(1-I1287)</x:f>
        <x:v>8000</x:v>
      </x:c>
      <x:c r="K1287" s="47" t="n">
        <x:v>960</x:v>
      </x:c>
      <x:c r="L1287" s="47" t="n">
        <x:f>G1287*K1287</x:f>
        <x:v>3840</x:v>
      </x:c>
      <x:c r="M1287" s="47" t="n">
        <x:f>J1287-L1287</x:f>
        <x:v>4160</x:v>
      </x:c>
      <x:c r="N1287" s="5" t="str">
        <x:v>Takeaway</x:v>
      </x:c>
      <x:c r="O1287" s="5" t="str">
        <x:v>POS</x:v>
      </x:c>
      <x:c r="P1287" s="5" t="str">
        <x:v>Lunch</x:v>
      </x:c>
      <x:c r="Q1287" s="48" t="n">
        <x:v>12</x:v>
      </x:c>
      <x:c r="R1287" s="5" t="n">
        <x:v>4</x:v>
      </x:c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5" t="str">
        <x:v>ORD-00798</x:v>
      </x:c>
      <x:c r="B1288" s="43" t="n">
        <x:v>46188</x:v>
      </x:c>
      <x:c r="C1288" s="5" t="str">
        <x:v>CUST-0621</x:v>
      </x:c>
      <x:c r="D1288" s="5" t="str">
        <x:v>FD003</x:v>
      </x:c>
      <x:c r="E1288" s="5" t="str">
        <x:v>Fried Rice &amp; Chicken</x:v>
      </x:c>
      <x:c r="F1288" s="5" t="str">
        <x:v>Rice Meals</x:v>
      </x:c>
      <x:c r="G1288" s="44" t="n">
        <x:v>3</x:v>
      </x:c>
      <x:c r="H1288" s="45" t="n">
        <x:v>3000</x:v>
      </x:c>
      <x:c r="I1288" s="46" t="n">
        <x:v>0</x:v>
      </x:c>
      <x:c r="J1288" s="47" t="n">
        <x:f>G1288*H1288*(1-I1288)</x:f>
        <x:v>9000</x:v>
      </x:c>
      <x:c r="K1288" s="47" t="n">
        <x:v>1580</x:v>
      </x:c>
      <x:c r="L1288" s="47" t="n">
        <x:f>G1288*K1288</x:f>
        <x:v>4740</x:v>
      </x:c>
      <x:c r="M1288" s="47" t="n">
        <x:f>J1288-L1288</x:f>
        <x:v>4260</x:v>
      </x:c>
      <x:c r="N1288" s="5" t="str">
        <x:v>Delivery</x:v>
      </x:c>
      <x:c r="O1288" s="5" t="str">
        <x:v>POS</x:v>
      </x:c>
      <x:c r="P1288" s="5" t="str">
        <x:v>Lunch</x:v>
      </x:c>
      <x:c r="Q1288" s="48" t="n">
        <x:v>12</x:v>
      </x:c>
      <x:c r="R1288" s="5" t="n">
        <x:v>4</x:v>
      </x:c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5" t="str">
        <x:v>ORD-00904</x:v>
      </x:c>
      <x:c r="B1289" s="43" t="n">
        <x:v>46188</x:v>
      </x:c>
      <x:c r="C1289" s="5" t="str">
        <x:v>CUST-0294</x:v>
      </x:c>
      <x:c r="D1289" s="5" t="str">
        <x:v>FD002</x:v>
      </x:c>
      <x:c r="E1289" s="5" t="str">
        <x:v>Jollof Rice &amp; Chicken</x:v>
      </x:c>
      <x:c r="F1289" s="5" t="str">
        <x:v>Rice Meals</x:v>
      </x:c>
      <x:c r="G1289" s="44" t="n">
        <x:v>2</x:v>
      </x:c>
      <x:c r="H1289" s="45" t="n">
        <x:v>2800</x:v>
      </x:c>
      <x:c r="I1289" s="46" t="n">
        <x:v>0</x:v>
      </x:c>
      <x:c r="J1289" s="47" t="n">
        <x:f>G1289*H1289*(1-I1289)</x:f>
        <x:v>5600</x:v>
      </x:c>
      <x:c r="K1289" s="47" t="n">
        <x:v>1450</x:v>
      </x:c>
      <x:c r="L1289" s="47" t="n">
        <x:f>G1289*K1289</x:f>
        <x:v>2900</x:v>
      </x:c>
      <x:c r="M1289" s="47" t="n">
        <x:f>J1289-L1289</x:f>
        <x:v>2700</x:v>
      </x:c>
      <x:c r="N1289" s="5" t="str">
        <x:v>Walk-in</x:v>
      </x:c>
      <x:c r="O1289" s="5" t="str">
        <x:v>POS</x:v>
      </x:c>
      <x:c r="P1289" s="5" t="str">
        <x:v>Lunch</x:v>
      </x:c>
      <x:c r="Q1289" s="48" t="n">
        <x:v>15</x:v>
      </x:c>
      <x:c r="R1289" s="5" t="n">
        <x:v>4</x:v>
      </x:c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5" t="str">
        <x:v>ORD-00927</x:v>
      </x:c>
      <x:c r="B1290" s="43" t="n">
        <x:v>46188</x:v>
      </x:c>
      <x:c r="C1290" s="5" t="str">
        <x:v>CUST-0339</x:v>
      </x:c>
      <x:c r="D1290" s="5" t="str">
        <x:v>FD001</x:v>
      </x:c>
      <x:c r="E1290" s="5" t="str">
        <x:v>White Rice &amp; Stew</x:v>
      </x:c>
      <x:c r="F1290" s="5" t="str">
        <x:v>Rice Meals</x:v>
      </x:c>
      <x:c r="G1290" s="44" t="n">
        <x:v>2</x:v>
      </x:c>
      <x:c r="H1290" s="45" t="n">
        <x:v>1800</x:v>
      </x:c>
      <x:c r="I1290" s="46" t="n">
        <x:v>0</x:v>
      </x:c>
      <x:c r="J1290" s="47" t="n">
        <x:f>G1290*H1290*(1-I1290)</x:f>
        <x:v>3600</x:v>
      </x:c>
      <x:c r="K1290" s="47" t="n">
        <x:v>820</x:v>
      </x:c>
      <x:c r="L1290" s="47" t="n">
        <x:f>G1290*K1290</x:f>
        <x:v>1640</x:v>
      </x:c>
      <x:c r="M1290" s="47" t="n">
        <x:f>J1290-L1290</x:f>
        <x:v>1960</x:v>
      </x:c>
      <x:c r="N1290" s="5" t="str">
        <x:v>Walk-in</x:v>
      </x:c>
      <x:c r="O1290" s="5" t="str">
        <x:v>Cash</x:v>
      </x:c>
      <x:c r="P1290" s="5" t="str">
        <x:v>Lunch</x:v>
      </x:c>
      <x:c r="Q1290" s="48" t="n">
        <x:v>11</x:v>
      </x:c>
      <x:c r="R1290" s="5" t="n">
        <x:v>5</x:v>
      </x:c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5" t="str">
        <x:v>ORD-01025</x:v>
      </x:c>
      <x:c r="B1291" s="43" t="n">
        <x:v>46188</x:v>
      </x:c>
      <x:c r="C1291" s="5" t="str">
        <x:v>CUST-0186</x:v>
      </x:c>
      <x:c r="D1291" s="5" t="str">
        <x:v>FD003</x:v>
      </x:c>
      <x:c r="E1291" s="5" t="str">
        <x:v>Fried Rice &amp; Chicken</x:v>
      </x:c>
      <x:c r="F1291" s="5" t="str">
        <x:v>Rice Meals</x:v>
      </x:c>
      <x:c r="G1291" s="44" t="n">
        <x:v>3</x:v>
      </x:c>
      <x:c r="H1291" s="45" t="n">
        <x:v>3000</x:v>
      </x:c>
      <x:c r="I1291" s="46" t="n">
        <x:v>0</x:v>
      </x:c>
      <x:c r="J1291" s="47" t="n">
        <x:f>G1291*H1291*(1-I1291)</x:f>
        <x:v>9000</x:v>
      </x:c>
      <x:c r="K1291" s="47" t="n">
        <x:v>1580</x:v>
      </x:c>
      <x:c r="L1291" s="47" t="n">
        <x:f>G1291*K1291</x:f>
        <x:v>4740</x:v>
      </x:c>
      <x:c r="M1291" s="47" t="n">
        <x:f>J1291-L1291</x:f>
        <x:v>4260</x:v>
      </x:c>
      <x:c r="N1291" s="5" t="str">
        <x:v>Takeaway</x:v>
      </x:c>
      <x:c r="O1291" s="5" t="str">
        <x:v>Transfer</x:v>
      </x:c>
      <x:c r="P1291" s="5" t="str">
        <x:v>Breakfast</x:v>
      </x:c>
      <x:c r="Q1291" s="48" t="n">
        <x:v>8</x:v>
      </x:c>
      <x:c r="R1291" s="5" t="n">
        <x:v>5</x:v>
      </x:c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5" t="str">
        <x:v>ORD-01417</x:v>
      </x:c>
      <x:c r="B1292" s="43" t="n">
        <x:v>46188</x:v>
      </x:c>
      <x:c r="C1292" s="5" t="str">
        <x:v>CUST-0589</x:v>
      </x:c>
      <x:c r="D1292" s="5" t="str">
        <x:v>FD001</x:v>
      </x:c>
      <x:c r="E1292" s="5" t="str">
        <x:v>White Rice &amp; Stew</x:v>
      </x:c>
      <x:c r="F1292" s="5" t="str">
        <x:v>Rice Meals</x:v>
      </x:c>
      <x:c r="G1292" s="44" t="n">
        <x:v>4</x:v>
      </x:c>
      <x:c r="H1292" s="45" t="n">
        <x:v>1800</x:v>
      </x:c>
      <x:c r="I1292" s="46" t="n">
        <x:v>0</x:v>
      </x:c>
      <x:c r="J1292" s="47" t="n">
        <x:f>G1292*H1292*(1-I1292)</x:f>
        <x:v>7200</x:v>
      </x:c>
      <x:c r="K1292" s="47" t="n">
        <x:v>820</x:v>
      </x:c>
      <x:c r="L1292" s="47" t="n">
        <x:f>G1292*K1292</x:f>
        <x:v>3280</x:v>
      </x:c>
      <x:c r="M1292" s="47" t="n">
        <x:f>J1292-L1292</x:f>
        <x:v>3920</x:v>
      </x:c>
      <x:c r="N1292" s="5" t="str">
        <x:v>Walk-in</x:v>
      </x:c>
      <x:c r="O1292" s="5" t="str">
        <x:v>Cash</x:v>
      </x:c>
      <x:c r="P1292" s="5" t="str">
        <x:v>Lunch</x:v>
      </x:c>
      <x:c r="Q1292" s="48" t="n">
        <x:v>14</x:v>
      </x:c>
      <x:c r="R1292" s="5" t="n">
        <x:v>3</x:v>
      </x:c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5" t="str">
        <x:v>ORD-01561</x:v>
      </x:c>
      <x:c r="B1293" s="43" t="n">
        <x:v>46188</x:v>
      </x:c>
      <x:c r="C1293" s="5" t="str">
        <x:v>CUST-0076</x:v>
      </x:c>
      <x:c r="D1293" s="5" t="str">
        <x:v>FD001</x:v>
      </x:c>
      <x:c r="E1293" s="5" t="str">
        <x:v>White Rice &amp; Stew</x:v>
      </x:c>
      <x:c r="F1293" s="5" t="str">
        <x:v>Rice Meals</x:v>
      </x:c>
      <x:c r="G1293" s="44" t="n">
        <x:v>3</x:v>
      </x:c>
      <x:c r="H1293" s="45" t="n">
        <x:v>1800</x:v>
      </x:c>
      <x:c r="I1293" s="46" t="n">
        <x:v>0</x:v>
      </x:c>
      <x:c r="J1293" s="47" t="n">
        <x:f>G1293*H1293*(1-I1293)</x:f>
        <x:v>5400</x:v>
      </x:c>
      <x:c r="K1293" s="47" t="n">
        <x:v>820</x:v>
      </x:c>
      <x:c r="L1293" s="47" t="n">
        <x:f>G1293*K1293</x:f>
        <x:v>2460</x:v>
      </x:c>
      <x:c r="M1293" s="47" t="n">
        <x:f>J1293-L1293</x:f>
        <x:v>2940</x:v>
      </x:c>
      <x:c r="N1293" s="5" t="str">
        <x:v>Takeaway</x:v>
      </x:c>
      <x:c r="O1293" s="5" t="str">
        <x:v>POS</x:v>
      </x:c>
      <x:c r="P1293" s="5" t="str">
        <x:v>Lunch</x:v>
      </x:c>
      <x:c r="Q1293" s="48" t="n">
        <x:v>15</x:v>
      </x:c>
      <x:c r="R1293" s="5" t="n">
        <x:v>4</x:v>
      </x:c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5" t="str">
        <x:v>ORD-01702</x:v>
      </x:c>
      <x:c r="B1294" s="43" t="n">
        <x:v>46188</x:v>
      </x:c>
      <x:c r="C1294" s="5" t="str">
        <x:v>CUST-0135</x:v>
      </x:c>
      <x:c r="D1294" s="5" t="str">
        <x:v>FD007</x:v>
      </x:c>
      <x:c r="E1294" s="5" t="str">
        <x:v>Amala &amp; Ewedu</x:v>
      </x:c>
      <x:c r="F1294" s="5" t="str">
        <x:v>Swallow</x:v>
      </x:c>
      <x:c r="G1294" s="44" t="n">
        <x:v>3</x:v>
      </x:c>
      <x:c r="H1294" s="45" t="n">
        <x:v>2500</x:v>
      </x:c>
      <x:c r="I1294" s="46" t="n">
        <x:v>0</x:v>
      </x:c>
      <x:c r="J1294" s="47" t="n">
        <x:f>G1294*H1294*(1-I1294)</x:f>
        <x:v>7500</x:v>
      </x:c>
      <x:c r="K1294" s="47" t="n">
        <x:v>1250</x:v>
      </x:c>
      <x:c r="L1294" s="47" t="n">
        <x:f>G1294*K1294</x:f>
        <x:v>3750</x:v>
      </x:c>
      <x:c r="M1294" s="47" t="n">
        <x:f>J1294-L1294</x:f>
        <x:v>3750</x:v>
      </x:c>
      <x:c r="N1294" s="5" t="str">
        <x:v>Walk-in</x:v>
      </x:c>
      <x:c r="O1294" s="5" t="str">
        <x:v>POS</x:v>
      </x:c>
      <x:c r="P1294" s="5" t="str">
        <x:v>Dinner</x:v>
      </x:c>
      <x:c r="Q1294" s="48" t="n">
        <x:v>17</x:v>
      </x:c>
      <x:c r="R1294" s="5" t="n">
        <x:v>4</x:v>
      </x:c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5" t="str">
        <x:v>ORD-01763</x:v>
      </x:c>
      <x:c r="B1295" s="43" t="n">
        <x:v>46188</x:v>
      </x:c>
      <x:c r="C1295" s="5" t="str">
        <x:v>CUST-0148</x:v>
      </x:c>
      <x:c r="D1295" s="5" t="str">
        <x:v>FD008</x:v>
      </x:c>
      <x:c r="E1295" s="5" t="str">
        <x:v>Pounded Yam &amp; Vegetable Soup</x:v>
      </x:c>
      <x:c r="F1295" s="5" t="str">
        <x:v>Swallow</x:v>
      </x:c>
      <x:c r="G1295" s="44" t="n">
        <x:v>2</x:v>
      </x:c>
      <x:c r="H1295" s="45" t="n">
        <x:v>3200</x:v>
      </x:c>
      <x:c r="I1295" s="46" t="n">
        <x:v>0</x:v>
      </x:c>
      <x:c r="J1295" s="47" t="n">
        <x:f>G1295*H1295*(1-I1295)</x:f>
        <x:v>6400</x:v>
      </x:c>
      <x:c r="K1295" s="47" t="n">
        <x:v>1710</x:v>
      </x:c>
      <x:c r="L1295" s="47" t="n">
        <x:f>G1295*K1295</x:f>
        <x:v>3420</x:v>
      </x:c>
      <x:c r="M1295" s="47" t="n">
        <x:f>J1295-L1295</x:f>
        <x:v>2980</x:v>
      </x:c>
      <x:c r="N1295" s="5" t="str">
        <x:v>Delivery</x:v>
      </x:c>
      <x:c r="O1295" s="5" t="str">
        <x:v>Cash</x:v>
      </x:c>
      <x:c r="P1295" s="5" t="str">
        <x:v>Breakfast</x:v>
      </x:c>
      <x:c r="Q1295" s="48" t="n">
        <x:v>9</x:v>
      </x:c>
      <x:c r="R1295" s="5" t="n">
        <x:v>5</x:v>
      </x:c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5" t="str">
        <x:v>ORD-00085</x:v>
      </x:c>
      <x:c r="B1296" s="43" t="n">
        <x:v>46189</x:v>
      </x:c>
      <x:c r="C1296" s="5" t="str">
        <x:v>CUST-0288</x:v>
      </x:c>
      <x:c r="D1296" s="5" t="str">
        <x:v>FD003</x:v>
      </x:c>
      <x:c r="E1296" s="5" t="str">
        <x:v>Fried Rice &amp; Chicken</x:v>
      </x:c>
      <x:c r="F1296" s="5" t="str">
        <x:v>Rice Meals</x:v>
      </x:c>
      <x:c r="G1296" s="44" t="n">
        <x:v>2</x:v>
      </x:c>
      <x:c r="H1296" s="45" t="n">
        <x:v>3000</x:v>
      </x:c>
      <x:c r="I1296" s="46" t="n">
        <x:v>0</x:v>
      </x:c>
      <x:c r="J1296" s="47" t="n">
        <x:f>G1296*H1296*(1-I1296)</x:f>
        <x:v>6000</x:v>
      </x:c>
      <x:c r="K1296" s="47" t="n">
        <x:v>1580</x:v>
      </x:c>
      <x:c r="L1296" s="47" t="n">
        <x:f>G1296*K1296</x:f>
        <x:v>3160</x:v>
      </x:c>
      <x:c r="M1296" s="47" t="n">
        <x:f>J1296-L1296</x:f>
        <x:v>2840</x:v>
      </x:c>
      <x:c r="N1296" s="5" t="str">
        <x:v>Takeaway</x:v>
      </x:c>
      <x:c r="O1296" s="5" t="str">
        <x:v>Transfer</x:v>
      </x:c>
      <x:c r="P1296" s="5" t="str">
        <x:v>Lunch</x:v>
      </x:c>
      <x:c r="Q1296" s="48" t="n">
        <x:v>15</x:v>
      </x:c>
      <x:c r="R1296" s="5" t="n">
        <x:v>5</x:v>
      </x:c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5" t="str">
        <x:v>ORD-00173</x:v>
      </x:c>
      <x:c r="B1297" s="43" t="n">
        <x:v>46189</x:v>
      </x:c>
      <x:c r="C1297" s="5" t="str">
        <x:v>CUST-0352</x:v>
      </x:c>
      <x:c r="D1297" s="5" t="str">
        <x:v>FD004</x:v>
      </x:c>
      <x:c r="E1297" s="5" t="str">
        <x:v>Beans &amp; Plantain</x:v>
      </x:c>
      <x:c r="F1297" s="5" t="str">
        <x:v>Traditional Meals</x:v>
      </x:c>
      <x:c r="G1297" s="44" t="n">
        <x:v>1</x:v>
      </x:c>
      <x:c r="H1297" s="45" t="n">
        <x:v>2000</x:v>
      </x:c>
      <x:c r="I1297" s="46" t="n">
        <x:v>0.05</x:v>
      </x:c>
      <x:c r="J1297" s="47" t="n">
        <x:f>G1297*H1297*(1-I1297)</x:f>
        <x:v>1900</x:v>
      </x:c>
      <x:c r="K1297" s="47" t="n">
        <x:v>960</x:v>
      </x:c>
      <x:c r="L1297" s="47" t="n">
        <x:f>G1297*K1297</x:f>
        <x:v>960</x:v>
      </x:c>
      <x:c r="M1297" s="47" t="n">
        <x:f>J1297-L1297</x:f>
        <x:v>940</x:v>
      </x:c>
      <x:c r="N1297" s="5" t="str">
        <x:v>Takeaway</x:v>
      </x:c>
      <x:c r="O1297" s="5" t="str">
        <x:v>POS</x:v>
      </x:c>
      <x:c r="P1297" s="5" t="str">
        <x:v>Dinner</x:v>
      </x:c>
      <x:c r="Q1297" s="48" t="n">
        <x:v>20</x:v>
      </x:c>
      <x:c r="R1297" s="5" t="n">
        <x:v>4</x:v>
      </x:c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5" t="str">
        <x:v>ORD-00613</x:v>
      </x:c>
      <x:c r="B1298" s="43" t="n">
        <x:v>46189</x:v>
      </x:c>
      <x:c r="C1298" s="5" t="str">
        <x:v>CUST-0196</x:v>
      </x:c>
      <x:c r="D1298" s="5" t="str">
        <x:v>FD002</x:v>
      </x:c>
      <x:c r="E1298" s="5" t="str">
        <x:v>Jollof Rice &amp; Chicken</x:v>
      </x:c>
      <x:c r="F1298" s="5" t="str">
        <x:v>Rice Meals</x:v>
      </x:c>
      <x:c r="G1298" s="44" t="n">
        <x:v>1</x:v>
      </x:c>
      <x:c r="H1298" s="45" t="n">
        <x:v>2800</x:v>
      </x:c>
      <x:c r="I1298" s="46" t="n">
        <x:v>0.05</x:v>
      </x:c>
      <x:c r="J1298" s="47" t="n">
        <x:f>G1298*H1298*(1-I1298)</x:f>
        <x:v>2660</x:v>
      </x:c>
      <x:c r="K1298" s="47" t="n">
        <x:v>1450</x:v>
      </x:c>
      <x:c r="L1298" s="47" t="n">
        <x:f>G1298*K1298</x:f>
        <x:v>1450</x:v>
      </x:c>
      <x:c r="M1298" s="47" t="n">
        <x:f>J1298-L1298</x:f>
        <x:v>1210</x:v>
      </x:c>
      <x:c r="N1298" s="5" t="str">
        <x:v>Walk-in</x:v>
      </x:c>
      <x:c r="O1298" s="5" t="str">
        <x:v>Transfer</x:v>
      </x:c>
      <x:c r="P1298" s="5" t="str">
        <x:v>Dinner</x:v>
      </x:c>
      <x:c r="Q1298" s="48" t="n">
        <x:v>16</x:v>
      </x:c>
      <x:c r="R1298" s="5" t="n">
        <x:v>3</x:v>
      </x:c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5" t="str">
        <x:v>ORD-01151</x:v>
      </x:c>
      <x:c r="B1299" s="43" t="n">
        <x:v>46189</x:v>
      </x:c>
      <x:c r="C1299" s="5" t="str">
        <x:v>CUST-0429</x:v>
      </x:c>
      <x:c r="D1299" s="5" t="str">
        <x:v>FD006</x:v>
      </x:c>
      <x:c r="E1299" s="5" t="str">
        <x:v>Eba &amp; Egusi Soup</x:v>
      </x:c>
      <x:c r="F1299" s="5" t="str">
        <x:v>Swallow</x:v>
      </x:c>
      <x:c r="G1299" s="44" t="n">
        <x:v>1</x:v>
      </x:c>
      <x:c r="H1299" s="45" t="n">
        <x:v>2600</x:v>
      </x:c>
      <x:c r="I1299" s="46" t="n">
        <x:v>0</x:v>
      </x:c>
      <x:c r="J1299" s="47" t="n">
        <x:f>G1299*H1299*(1-I1299)</x:f>
        <x:v>2600</x:v>
      </x:c>
      <x:c r="K1299" s="47" t="n">
        <x:v>1320</x:v>
      </x:c>
      <x:c r="L1299" s="47" t="n">
        <x:f>G1299*K1299</x:f>
        <x:v>1320</x:v>
      </x:c>
      <x:c r="M1299" s="47" t="n">
        <x:f>J1299-L1299</x:f>
        <x:v>1280</x:v>
      </x:c>
      <x:c r="N1299" s="5" t="str">
        <x:v>Delivery</x:v>
      </x:c>
      <x:c r="O1299" s="5" t="str">
        <x:v>POS</x:v>
      </x:c>
      <x:c r="P1299" s="5" t="str">
        <x:v>Breakfast</x:v>
      </x:c>
      <x:c r="Q1299" s="48" t="n">
        <x:v>9</x:v>
      </x:c>
      <x:c r="R1299" s="5" t="n">
        <x:v>4</x:v>
      </x:c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5" t="str">
        <x:v>ORD-01303</x:v>
      </x:c>
      <x:c r="B1300" s="43" t="n">
        <x:v>46189</x:v>
      </x:c>
      <x:c r="C1300" s="5" t="str">
        <x:v>CUST-0304</x:v>
      </x:c>
      <x:c r="D1300" s="5" t="str">
        <x:v>FD012</x:v>
      </x:c>
      <x:c r="E1300" s="5" t="str">
        <x:v>Fried Plantain</x:v>
      </x:c>
      <x:c r="F1300" s="5" t="str">
        <x:v>Sides</x:v>
      </x:c>
      <x:c r="G1300" s="44" t="n">
        <x:v>2</x:v>
      </x:c>
      <x:c r="H1300" s="45" t="n">
        <x:v>700</x:v>
      </x:c>
      <x:c r="I1300" s="46" t="n">
        <x:v>0</x:v>
      </x:c>
      <x:c r="J1300" s="47" t="n">
        <x:f>G1300*H1300*(1-I1300)</x:f>
        <x:v>1400</x:v>
      </x:c>
      <x:c r="K1300" s="47" t="n">
        <x:v>300</x:v>
      </x:c>
      <x:c r="L1300" s="47" t="n">
        <x:f>G1300*K1300</x:f>
        <x:v>600</x:v>
      </x:c>
      <x:c r="M1300" s="47" t="n">
        <x:f>J1300-L1300</x:f>
        <x:v>800</x:v>
      </x:c>
      <x:c r="N1300" s="5" t="str">
        <x:v>Delivery</x:v>
      </x:c>
      <x:c r="O1300" s="5" t="str">
        <x:v>Cash</x:v>
      </x:c>
      <x:c r="P1300" s="5" t="str">
        <x:v>Lunch</x:v>
      </x:c>
      <x:c r="Q1300" s="48" t="n">
        <x:v>12</x:v>
      </x:c>
      <x:c r="R1300" s="5" t="n">
        <x:v>4</x:v>
      </x:c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5" t="str">
        <x:v>ORD-01479</x:v>
      </x:c>
      <x:c r="B1301" s="43" t="n">
        <x:v>46189</x:v>
      </x:c>
      <x:c r="C1301" s="5" t="str">
        <x:v>CUST-0004</x:v>
      </x:c>
      <x:c r="D1301" s="5" t="str">
        <x:v>FD009</x:v>
      </x:c>
      <x:c r="E1301" s="5" t="str">
        <x:v>Moi Moi</x:v>
      </x:c>
      <x:c r="F1301" s="5" t="str">
        <x:v>Sides</x:v>
      </x:c>
      <x:c r="G1301" s="44" t="n">
        <x:v>3</x:v>
      </x:c>
      <x:c r="H1301" s="45" t="n">
        <x:v>900</x:v>
      </x:c>
      <x:c r="I1301" s="46" t="n">
        <x:v>0</x:v>
      </x:c>
      <x:c r="J1301" s="47" t="n">
        <x:f>G1301*H1301*(1-I1301)</x:f>
        <x:v>2700</x:v>
      </x:c>
      <x:c r="K1301" s="47" t="n">
        <x:v>380</x:v>
      </x:c>
      <x:c r="L1301" s="47" t="n">
        <x:f>G1301*K1301</x:f>
        <x:v>1140</x:v>
      </x:c>
      <x:c r="M1301" s="47" t="n">
        <x:f>J1301-L1301</x:f>
        <x:v>1560</x:v>
      </x:c>
      <x:c r="N1301" s="5" t="str">
        <x:v>Takeaway</x:v>
      </x:c>
      <x:c r="O1301" s="5" t="str">
        <x:v>Transfer</x:v>
      </x:c>
      <x:c r="P1301" s="5" t="str">
        <x:v>Lunch</x:v>
      </x:c>
      <x:c r="Q1301" s="48" t="n">
        <x:v>14</x:v>
      </x:c>
      <x:c r="R1301" s="5" t="n">
        <x:v>4</x:v>
      </x:c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5" t="str">
        <x:v>ORD-00037</x:v>
      </x:c>
      <x:c r="B1302" s="43" t="n">
        <x:v>46190</x:v>
      </x:c>
      <x:c r="C1302" s="5" t="str">
        <x:v>CUST-0434</x:v>
      </x:c>
      <x:c r="D1302" s="5" t="str">
        <x:v>FD012</x:v>
      </x:c>
      <x:c r="E1302" s="5" t="str">
        <x:v>Fried Plantain</x:v>
      </x:c>
      <x:c r="F1302" s="5" t="str">
        <x:v>Sides</x:v>
      </x:c>
      <x:c r="G1302" s="44" t="n">
        <x:v>1</x:v>
      </x:c>
      <x:c r="H1302" s="45" t="n">
        <x:v>700</x:v>
      </x:c>
      <x:c r="I1302" s="46" t="n">
        <x:v>0</x:v>
      </x:c>
      <x:c r="J1302" s="47" t="n">
        <x:f>G1302*H1302*(1-I1302)</x:f>
        <x:v>700</x:v>
      </x:c>
      <x:c r="K1302" s="47" t="n">
        <x:v>300</x:v>
      </x:c>
      <x:c r="L1302" s="47" t="n">
        <x:f>G1302*K1302</x:f>
        <x:v>300</x:v>
      </x:c>
      <x:c r="M1302" s="47" t="n">
        <x:f>J1302-L1302</x:f>
        <x:v>400</x:v>
      </x:c>
      <x:c r="N1302" s="5" t="str">
        <x:v>Walk-in</x:v>
      </x:c>
      <x:c r="O1302" s="5" t="str">
        <x:v>POS</x:v>
      </x:c>
      <x:c r="P1302" s="5" t="str">
        <x:v>Dinner</x:v>
      </x:c>
      <x:c r="Q1302" s="48" t="n">
        <x:v>20</x:v>
      </x:c>
      <x:c r="R1302" s="5" t="n">
        <x:v>4</x:v>
      </x:c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5" t="str">
        <x:v>ORD-00092</x:v>
      </x:c>
      <x:c r="B1303" s="43" t="n">
        <x:v>46190</x:v>
      </x:c>
      <x:c r="C1303" s="5" t="str">
        <x:v>CUST-0495</x:v>
      </x:c>
      <x:c r="D1303" s="5" t="str">
        <x:v>FD004</x:v>
      </x:c>
      <x:c r="E1303" s="5" t="str">
        <x:v>Beans &amp; Plantain</x:v>
      </x:c>
      <x:c r="F1303" s="5" t="str">
        <x:v>Traditional Meals</x:v>
      </x:c>
      <x:c r="G1303" s="44" t="n">
        <x:v>4</x:v>
      </x:c>
      <x:c r="H1303" s="45" t="n">
        <x:v>2000</x:v>
      </x:c>
      <x:c r="I1303" s="46" t="n">
        <x:v>0</x:v>
      </x:c>
      <x:c r="J1303" s="47" t="n">
        <x:f>G1303*H1303*(1-I1303)</x:f>
        <x:v>8000</x:v>
      </x:c>
      <x:c r="K1303" s="47" t="n">
        <x:v>960</x:v>
      </x:c>
      <x:c r="L1303" s="47" t="n">
        <x:f>G1303*K1303</x:f>
        <x:v>3840</x:v>
      </x:c>
      <x:c r="M1303" s="47" t="n">
        <x:f>J1303-L1303</x:f>
        <x:v>4160</x:v>
      </x:c>
      <x:c r="N1303" s="5" t="str">
        <x:v>Walk-in</x:v>
      </x:c>
      <x:c r="O1303" s="5" t="str">
        <x:v>Transfer</x:v>
      </x:c>
      <x:c r="P1303" s="5" t="str">
        <x:v>Lunch</x:v>
      </x:c>
      <x:c r="Q1303" s="48" t="n">
        <x:v>11</x:v>
      </x:c>
      <x:c r="R1303" s="5" t="n">
        <x:v>5</x:v>
      </x:c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5" t="str">
        <x:v>ORD-00331</x:v>
      </x:c>
      <x:c r="B1304" s="43" t="n">
        <x:v>46191</x:v>
      </x:c>
      <x:c r="C1304" s="5" t="str">
        <x:v>CUST-0519</x:v>
      </x:c>
      <x:c r="D1304" s="5" t="str">
        <x:v>FD010</x:v>
      </x:c>
      <x:c r="E1304" s="5" t="str">
        <x:v>Soft Drink</x:v>
      </x:c>
      <x:c r="F1304" s="5" t="str">
        <x:v>Beverages</x:v>
      </x:c>
      <x:c r="G1304" s="44" t="n">
        <x:v>4</x:v>
      </x:c>
      <x:c r="H1304" s="45" t="n">
        <x:v>600</x:v>
      </x:c>
      <x:c r="I1304" s="46" t="n">
        <x:v>0</x:v>
      </x:c>
      <x:c r="J1304" s="47" t="n">
        <x:f>G1304*H1304*(1-I1304)</x:f>
        <x:v>2400</x:v>
      </x:c>
      <x:c r="K1304" s="47" t="n">
        <x:v>280</x:v>
      </x:c>
      <x:c r="L1304" s="47" t="n">
        <x:f>G1304*K1304</x:f>
        <x:v>1120</x:v>
      </x:c>
      <x:c r="M1304" s="47" t="n">
        <x:f>J1304-L1304</x:f>
        <x:v>1280</x:v>
      </x:c>
      <x:c r="N1304" s="5" t="str">
        <x:v>Walk-in</x:v>
      </x:c>
      <x:c r="O1304" s="5" t="str">
        <x:v>POS</x:v>
      </x:c>
      <x:c r="P1304" s="5" t="str">
        <x:v>Lunch</x:v>
      </x:c>
      <x:c r="Q1304" s="48" t="n">
        <x:v>13</x:v>
      </x:c>
      <x:c r="R1304" s="5" t="n">
        <x:v>4</x:v>
      </x:c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5" t="str">
        <x:v>ORD-00541</x:v>
      </x:c>
      <x:c r="B1305" s="43" t="n">
        <x:v>46191</x:v>
      </x:c>
      <x:c r="C1305" s="5" t="str">
        <x:v>CUST-0546</x:v>
      </x:c>
      <x:c r="D1305" s="5" t="str">
        <x:v>FD011</x:v>
      </x:c>
      <x:c r="E1305" s="5" t="str">
        <x:v>Bottled Water</x:v>
      </x:c>
      <x:c r="F1305" s="5" t="str">
        <x:v>Beverages</x:v>
      </x:c>
      <x:c r="G1305" s="44" t="n">
        <x:v>3</x:v>
      </x:c>
      <x:c r="H1305" s="45" t="n">
        <x:v>300</x:v>
      </x:c>
      <x:c r="I1305" s="46" t="n">
        <x:v>0</x:v>
      </x:c>
      <x:c r="J1305" s="47" t="n">
        <x:f>G1305*H1305*(1-I1305)</x:f>
        <x:v>900</x:v>
      </x:c>
      <x:c r="K1305" s="47" t="n">
        <x:v>120</x:v>
      </x:c>
      <x:c r="L1305" s="47" t="n">
        <x:f>G1305*K1305</x:f>
        <x:v>360</x:v>
      </x:c>
      <x:c r="M1305" s="47" t="n">
        <x:f>J1305-L1305</x:f>
        <x:v>540</x:v>
      </x:c>
      <x:c r="N1305" s="5" t="str">
        <x:v>Delivery</x:v>
      </x:c>
      <x:c r="O1305" s="5" t="str">
        <x:v>Cash</x:v>
      </x:c>
      <x:c r="P1305" s="5" t="str">
        <x:v>Lunch</x:v>
      </x:c>
      <x:c r="Q1305" s="48" t="n">
        <x:v>15</x:v>
      </x:c>
      <x:c r="R1305" s="5" t="n">
        <x:v>4</x:v>
      </x:c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5" t="str">
        <x:v>ORD-00542</x:v>
      </x:c>
      <x:c r="B1306" s="43" t="n">
        <x:v>46191</x:v>
      </x:c>
      <x:c r="C1306" s="5" t="str">
        <x:v>CUST-0514</x:v>
      </x:c>
      <x:c r="D1306" s="5" t="str">
        <x:v>FD002</x:v>
      </x:c>
      <x:c r="E1306" s="5" t="str">
        <x:v>Jollof Rice &amp; Chicken</x:v>
      </x:c>
      <x:c r="F1306" s="5" t="str">
        <x:v>Rice Meals</x:v>
      </x:c>
      <x:c r="G1306" s="44" t="n">
        <x:v>3</x:v>
      </x:c>
      <x:c r="H1306" s="45" t="n">
        <x:v>2800</x:v>
      </x:c>
      <x:c r="I1306" s="46" t="n">
        <x:v>0</x:v>
      </x:c>
      <x:c r="J1306" s="47" t="n">
        <x:f>G1306*H1306*(1-I1306)</x:f>
        <x:v>8400</x:v>
      </x:c>
      <x:c r="K1306" s="47" t="n">
        <x:v>1450</x:v>
      </x:c>
      <x:c r="L1306" s="47" t="n">
        <x:f>G1306*K1306</x:f>
        <x:v>4350</x:v>
      </x:c>
      <x:c r="M1306" s="47" t="n">
        <x:f>J1306-L1306</x:f>
        <x:v>4050</x:v>
      </x:c>
      <x:c r="N1306" s="5" t="str">
        <x:v>Walk-in</x:v>
      </x:c>
      <x:c r="O1306" s="5" t="str">
        <x:v>Cash</x:v>
      </x:c>
      <x:c r="P1306" s="5" t="str">
        <x:v>Lunch</x:v>
      </x:c>
      <x:c r="Q1306" s="48" t="n">
        <x:v>15</x:v>
      </x:c>
      <x:c r="R1306" s="5" t="n">
        <x:v>4</x:v>
      </x:c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5" t="str">
        <x:v>ORD-00642</x:v>
      </x:c>
      <x:c r="B1307" s="43" t="n">
        <x:v>46191</x:v>
      </x:c>
      <x:c r="C1307" s="5" t="str">
        <x:v>CUST-0554</x:v>
      </x:c>
      <x:c r="D1307" s="5" t="str">
        <x:v>FD001</x:v>
      </x:c>
      <x:c r="E1307" s="5" t="str">
        <x:v>White Rice &amp; Stew</x:v>
      </x:c>
      <x:c r="F1307" s="5" t="str">
        <x:v>Rice Meals</x:v>
      </x:c>
      <x:c r="G1307" s="44" t="n">
        <x:v>1</x:v>
      </x:c>
      <x:c r="H1307" s="45" t="n">
        <x:v>1800</x:v>
      </x:c>
      <x:c r="I1307" s="46" t="n">
        <x:v>0</x:v>
      </x:c>
      <x:c r="J1307" s="47" t="n">
        <x:f>G1307*H1307*(1-I1307)</x:f>
        <x:v>1800</x:v>
      </x:c>
      <x:c r="K1307" s="47" t="n">
        <x:v>820</x:v>
      </x:c>
      <x:c r="L1307" s="47" t="n">
        <x:f>G1307*K1307</x:f>
        <x:v>820</x:v>
      </x:c>
      <x:c r="M1307" s="47" t="n">
        <x:f>J1307-L1307</x:f>
        <x:v>980</x:v>
      </x:c>
      <x:c r="N1307" s="5" t="str">
        <x:v>Walk-in</x:v>
      </x:c>
      <x:c r="O1307" s="5" t="str">
        <x:v>POS</x:v>
      </x:c>
      <x:c r="P1307" s="5" t="str">
        <x:v>Lunch</x:v>
      </x:c>
      <x:c r="Q1307" s="48" t="n">
        <x:v>13</x:v>
      </x:c>
      <x:c r="R1307" s="5" t="n">
        <x:v>5</x:v>
      </x:c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5" t="str">
        <x:v>ORD-00899</x:v>
      </x:c>
      <x:c r="B1308" s="43" t="n">
        <x:v>46191</x:v>
      </x:c>
      <x:c r="C1308" s="5" t="str">
        <x:v>CUST-0629</x:v>
      </x:c>
      <x:c r="D1308" s="5" t="str">
        <x:v>FD002</x:v>
      </x:c>
      <x:c r="E1308" s="5" t="str">
        <x:v>Jollof Rice &amp; Chicken</x:v>
      </x:c>
      <x:c r="F1308" s="5" t="str">
        <x:v>Rice Meals</x:v>
      </x:c>
      <x:c r="G1308" s="44" t="n">
        <x:v>1</x:v>
      </x:c>
      <x:c r="H1308" s="45" t="n">
        <x:v>2800</x:v>
      </x:c>
      <x:c r="I1308" s="46" t="n">
        <x:v>0</x:v>
      </x:c>
      <x:c r="J1308" s="47" t="n">
        <x:f>G1308*H1308*(1-I1308)</x:f>
        <x:v>2800</x:v>
      </x:c>
      <x:c r="K1308" s="47" t="n">
        <x:v>1450</x:v>
      </x:c>
      <x:c r="L1308" s="47" t="n">
        <x:f>G1308*K1308</x:f>
        <x:v>1450</x:v>
      </x:c>
      <x:c r="M1308" s="47" t="n">
        <x:f>J1308-L1308</x:f>
        <x:v>1350</x:v>
      </x:c>
      <x:c r="N1308" s="5" t="str">
        <x:v>Delivery</x:v>
      </x:c>
      <x:c r="O1308" s="5" t="str">
        <x:v>Cash</x:v>
      </x:c>
      <x:c r="P1308" s="5" t="str">
        <x:v>Lunch</x:v>
      </x:c>
      <x:c r="Q1308" s="48" t="n">
        <x:v>15</x:v>
      </x:c>
      <x:c r="R1308" s="5" t="n">
        <x:v>4</x:v>
      </x:c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5" t="str">
        <x:v>ORD-00949</x:v>
      </x:c>
      <x:c r="B1309" s="43" t="n">
        <x:v>46191</x:v>
      </x:c>
      <x:c r="C1309" s="5" t="str">
        <x:v>CUST-0052</x:v>
      </x:c>
      <x:c r="D1309" s="5" t="str">
        <x:v>FD003</x:v>
      </x:c>
      <x:c r="E1309" s="5" t="str">
        <x:v>Fried Rice &amp; Chicken</x:v>
      </x:c>
      <x:c r="F1309" s="5" t="str">
        <x:v>Rice Meals</x:v>
      </x:c>
      <x:c r="G1309" s="44" t="n">
        <x:v>1</x:v>
      </x:c>
      <x:c r="H1309" s="45" t="n">
        <x:v>3000</x:v>
      </x:c>
      <x:c r="I1309" s="46" t="n">
        <x:v>0</x:v>
      </x:c>
      <x:c r="J1309" s="47" t="n">
        <x:f>G1309*H1309*(1-I1309)</x:f>
        <x:v>3000</x:v>
      </x:c>
      <x:c r="K1309" s="47" t="n">
        <x:v>1580</x:v>
      </x:c>
      <x:c r="L1309" s="47" t="n">
        <x:f>G1309*K1309</x:f>
        <x:v>1580</x:v>
      </x:c>
      <x:c r="M1309" s="47" t="n">
        <x:f>J1309-L1309</x:f>
        <x:v>1420</x:v>
      </x:c>
      <x:c r="N1309" s="5" t="str">
        <x:v>Takeaway</x:v>
      </x:c>
      <x:c r="O1309" s="5" t="str">
        <x:v>Cash</x:v>
      </x:c>
      <x:c r="P1309" s="5" t="str">
        <x:v>Breakfast</x:v>
      </x:c>
      <x:c r="Q1309" s="48" t="n">
        <x:v>8</x:v>
      </x:c>
      <x:c r="R1309" s="5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5" t="str">
        <x:v>ORD-01020</x:v>
      </x:c>
      <x:c r="B1310" s="43" t="n">
        <x:v>46191</x:v>
      </x:c>
      <x:c r="C1310" s="5" t="str">
        <x:v>CUST-0497</x:v>
      </x:c>
      <x:c r="D1310" s="5" t="str">
        <x:v>FD008</x:v>
      </x:c>
      <x:c r="E1310" s="5" t="str">
        <x:v>Pounded Yam &amp; Vegetable Soup</x:v>
      </x:c>
      <x:c r="F1310" s="5" t="str">
        <x:v>Swallow</x:v>
      </x:c>
      <x:c r="G1310" s="44" t="n">
        <x:v>1</x:v>
      </x:c>
      <x:c r="H1310" s="45" t="n">
        <x:v>3200</x:v>
      </x:c>
      <x:c r="I1310" s="46" t="n">
        <x:v>0.05</x:v>
      </x:c>
      <x:c r="J1310" s="47" t="n">
        <x:f>G1310*H1310*(1-I1310)</x:f>
        <x:v>3040</x:v>
      </x:c>
      <x:c r="K1310" s="47" t="n">
        <x:v>1710</x:v>
      </x:c>
      <x:c r="L1310" s="47" t="n">
        <x:f>G1310*K1310</x:f>
        <x:v>1710</x:v>
      </x:c>
      <x:c r="M1310" s="47" t="n">
        <x:f>J1310-L1310</x:f>
        <x:v>1330</x:v>
      </x:c>
      <x:c r="N1310" s="5" t="str">
        <x:v>Walk-in</x:v>
      </x:c>
      <x:c r="O1310" s="5" t="str">
        <x:v>Transfer</x:v>
      </x:c>
      <x:c r="P1310" s="5" t="str">
        <x:v>Lunch</x:v>
      </x:c>
      <x:c r="Q1310" s="48" t="n">
        <x:v>13</x:v>
      </x:c>
      <x:c r="R1310" s="5" t="n">
        <x:v>5</x:v>
      </x:c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5" t="str">
        <x:v>ORD-01171</x:v>
      </x:c>
      <x:c r="B1311" s="43" t="n">
        <x:v>46191</x:v>
      </x:c>
      <x:c r="C1311" s="5" t="str">
        <x:v>CUST-0079</x:v>
      </x:c>
      <x:c r="D1311" s="5" t="str">
        <x:v>FD006</x:v>
      </x:c>
      <x:c r="E1311" s="5" t="str">
        <x:v>Eba &amp; Egusi Soup</x:v>
      </x:c>
      <x:c r="F1311" s="5" t="str">
        <x:v>Swallow</x:v>
      </x:c>
      <x:c r="G1311" s="44" t="n">
        <x:v>3</x:v>
      </x:c>
      <x:c r="H1311" s="45" t="n">
        <x:v>2600</x:v>
      </x:c>
      <x:c r="I1311" s="46" t="n">
        <x:v>0.05</x:v>
      </x:c>
      <x:c r="J1311" s="47" t="n">
        <x:f>G1311*H1311*(1-I1311)</x:f>
        <x:v>7410</x:v>
      </x:c>
      <x:c r="K1311" s="47" t="n">
        <x:v>1320</x:v>
      </x:c>
      <x:c r="L1311" s="47" t="n">
        <x:f>G1311*K1311</x:f>
        <x:v>3960</x:v>
      </x:c>
      <x:c r="M1311" s="47" t="n">
        <x:f>J1311-L1311</x:f>
        <x:v>3450</x:v>
      </x:c>
      <x:c r="N1311" s="5" t="str">
        <x:v>Takeaway</x:v>
      </x:c>
      <x:c r="O1311" s="5" t="str">
        <x:v>Transfer</x:v>
      </x:c>
      <x:c r="P1311" s="5" t="str">
        <x:v>Dinner</x:v>
      </x:c>
      <x:c r="Q1311" s="48" t="n">
        <x:v>17</x:v>
      </x:c>
      <x:c r="R1311" s="5" t="n">
        <x:v>5</x:v>
      </x:c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5" t="str">
        <x:v>ORD-01548</x:v>
      </x:c>
      <x:c r="B1312" s="43" t="n">
        <x:v>46191</x:v>
      </x:c>
      <x:c r="C1312" s="5" t="str">
        <x:v>CUST-0643</x:v>
      </x:c>
      <x:c r="D1312" s="5" t="str">
        <x:v>FD003</x:v>
      </x:c>
      <x:c r="E1312" s="5" t="str">
        <x:v>Fried Rice &amp; Chicken</x:v>
      </x:c>
      <x:c r="F1312" s="5" t="str">
        <x:v>Rice Meals</x:v>
      </x:c>
      <x:c r="G1312" s="44" t="n">
        <x:v>4</x:v>
      </x:c>
      <x:c r="H1312" s="45" t="n">
        <x:v>3000</x:v>
      </x:c>
      <x:c r="I1312" s="46" t="n">
        <x:v>0</x:v>
      </x:c>
      <x:c r="J1312" s="47" t="n">
        <x:f>G1312*H1312*(1-I1312)</x:f>
        <x:v>12000</x:v>
      </x:c>
      <x:c r="K1312" s="47" t="n">
        <x:v>1580</x:v>
      </x:c>
      <x:c r="L1312" s="47" t="n">
        <x:f>G1312*K1312</x:f>
        <x:v>6320</x:v>
      </x:c>
      <x:c r="M1312" s="47" t="n">
        <x:f>J1312-L1312</x:f>
        <x:v>5680</x:v>
      </x:c>
      <x:c r="N1312" s="5" t="str">
        <x:v>Delivery</x:v>
      </x:c>
      <x:c r="O1312" s="5" t="str">
        <x:v>Transfer</x:v>
      </x:c>
      <x:c r="P1312" s="5" t="str">
        <x:v>Lunch</x:v>
      </x:c>
      <x:c r="Q1312" s="48" t="n">
        <x:v>12</x:v>
      </x:c>
      <x:c r="R1312" s="5" t="n">
        <x:v>3</x:v>
      </x:c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5" t="str">
        <x:v>ORD-00013</x:v>
      </x:c>
      <x:c r="B1313" s="43" t="n">
        <x:v>46192</x:v>
      </x:c>
      <x:c r="C1313" s="5" t="str">
        <x:v>CUST-0474</x:v>
      </x:c>
      <x:c r="D1313" s="5" t="str">
        <x:v>FD008</x:v>
      </x:c>
      <x:c r="E1313" s="5" t="str">
        <x:v>Pounded Yam &amp; Vegetable Soup</x:v>
      </x:c>
      <x:c r="F1313" s="5" t="str">
        <x:v>Swallow</x:v>
      </x:c>
      <x:c r="G1313" s="44" t="n">
        <x:v>4</x:v>
      </x:c>
      <x:c r="H1313" s="45" t="n">
        <x:v>3200</x:v>
      </x:c>
      <x:c r="I1313" s="46" t="n">
        <x:v>0</x:v>
      </x:c>
      <x:c r="J1313" s="47" t="n">
        <x:f>G1313*H1313*(1-I1313)</x:f>
        <x:v>12800</x:v>
      </x:c>
      <x:c r="K1313" s="47" t="n">
        <x:v>1710</x:v>
      </x:c>
      <x:c r="L1313" s="47" t="n">
        <x:f>G1313*K1313</x:f>
        <x:v>6840</x:v>
      </x:c>
      <x:c r="M1313" s="47" t="n">
        <x:f>J1313-L1313</x:f>
        <x:v>5960</x:v>
      </x:c>
      <x:c r="N1313" s="5" t="str">
        <x:v>Delivery</x:v>
      </x:c>
      <x:c r="O1313" s="5" t="str">
        <x:v>Cash</x:v>
      </x:c>
      <x:c r="P1313" s="5" t="str">
        <x:v>Dinner</x:v>
      </x:c>
      <x:c r="Q1313" s="48" t="n">
        <x:v>16</x:v>
      </x:c>
      <x:c r="R1313" s="5" t="n">
        <x:v>5</x:v>
      </x:c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5" t="str">
        <x:v>ORD-01199</x:v>
      </x:c>
      <x:c r="B1314" s="43" t="n">
        <x:v>46192</x:v>
      </x:c>
      <x:c r="C1314" s="5" t="str">
        <x:v>CUST-0646</x:v>
      </x:c>
      <x:c r="D1314" s="5" t="str">
        <x:v>FD010</x:v>
      </x:c>
      <x:c r="E1314" s="5" t="str">
        <x:v>Soft Drink</x:v>
      </x:c>
      <x:c r="F1314" s="5" t="str">
        <x:v>Beverages</x:v>
      </x:c>
      <x:c r="G1314" s="44" t="n">
        <x:v>3</x:v>
      </x:c>
      <x:c r="H1314" s="45" t="n">
        <x:v>600</x:v>
      </x:c>
      <x:c r="I1314" s="46" t="n">
        <x:v>0</x:v>
      </x:c>
      <x:c r="J1314" s="47" t="n">
        <x:f>G1314*H1314*(1-I1314)</x:f>
        <x:v>1800</x:v>
      </x:c>
      <x:c r="K1314" s="47" t="n">
        <x:v>280</x:v>
      </x:c>
      <x:c r="L1314" s="47" t="n">
        <x:f>G1314*K1314</x:f>
        <x:v>840</x:v>
      </x:c>
      <x:c r="M1314" s="47" t="n">
        <x:f>J1314-L1314</x:f>
        <x:v>960</x:v>
      </x:c>
      <x:c r="N1314" s="5" t="str">
        <x:v>Walk-in</x:v>
      </x:c>
      <x:c r="O1314" s="5" t="str">
        <x:v>Cash</x:v>
      </x:c>
      <x:c r="P1314" s="5" t="str">
        <x:v>Dinner</x:v>
      </x:c>
      <x:c r="Q1314" s="48" t="n">
        <x:v>16</x:v>
      </x:c>
      <x:c r="R1314" s="5" t="n">
        <x:v>5</x:v>
      </x:c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5" t="str">
        <x:v>ORD-01220</x:v>
      </x:c>
      <x:c r="B1315" s="43" t="n">
        <x:v>46192</x:v>
      </x:c>
      <x:c r="C1315" s="5" t="str">
        <x:v>CUST-0229</x:v>
      </x:c>
      <x:c r="D1315" s="5" t="str">
        <x:v>FD003</x:v>
      </x:c>
      <x:c r="E1315" s="5" t="str">
        <x:v>Fried Rice &amp; Chicken</x:v>
      </x:c>
      <x:c r="F1315" s="5" t="str">
        <x:v>Rice Meals</x:v>
      </x:c>
      <x:c r="G1315" s="44" t="n">
        <x:v>2</x:v>
      </x:c>
      <x:c r="H1315" s="45" t="n">
        <x:v>3000</x:v>
      </x:c>
      <x:c r="I1315" s="46" t="n">
        <x:v>0</x:v>
      </x:c>
      <x:c r="J1315" s="47" t="n">
        <x:f>G1315*H1315*(1-I1315)</x:f>
        <x:v>6000</x:v>
      </x:c>
      <x:c r="K1315" s="47" t="n">
        <x:v>1580</x:v>
      </x:c>
      <x:c r="L1315" s="47" t="n">
        <x:f>G1315*K1315</x:f>
        <x:v>3160</x:v>
      </x:c>
      <x:c r="M1315" s="47" t="n">
        <x:f>J1315-L1315</x:f>
        <x:v>2840</x:v>
      </x:c>
      <x:c r="N1315" s="5" t="str">
        <x:v>Walk-in</x:v>
      </x:c>
      <x:c r="O1315" s="5" t="str">
        <x:v>Transfer</x:v>
      </x:c>
      <x:c r="P1315" s="5" t="str">
        <x:v>Lunch</x:v>
      </x:c>
      <x:c r="Q1315" s="48" t="n">
        <x:v>15</x:v>
      </x:c>
      <x:c r="R1315" s="5" t="n">
        <x:v>5</x:v>
      </x:c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5" t="str">
        <x:v>ORD-01247</x:v>
      </x:c>
      <x:c r="B1316" s="43" t="n">
        <x:v>46192</x:v>
      </x:c>
      <x:c r="C1316" s="5" t="str">
        <x:v>CUST-0390</x:v>
      </x:c>
      <x:c r="D1316" s="5" t="str">
        <x:v>FD010</x:v>
      </x:c>
      <x:c r="E1316" s="5" t="str">
        <x:v>Soft Drink</x:v>
      </x:c>
      <x:c r="F1316" s="5" t="str">
        <x:v>Beverages</x:v>
      </x:c>
      <x:c r="G1316" s="44" t="n">
        <x:v>1</x:v>
      </x:c>
      <x:c r="H1316" s="45" t="n">
        <x:v>600</x:v>
      </x:c>
      <x:c r="I1316" s="46" t="n">
        <x:v>0</x:v>
      </x:c>
      <x:c r="J1316" s="47" t="n">
        <x:f>G1316*H1316*(1-I1316)</x:f>
        <x:v>600</x:v>
      </x:c>
      <x:c r="K1316" s="47" t="n">
        <x:v>280</x:v>
      </x:c>
      <x:c r="L1316" s="47" t="n">
        <x:f>G1316*K1316</x:f>
        <x:v>280</x:v>
      </x:c>
      <x:c r="M1316" s="47" t="n">
        <x:f>J1316-L1316</x:f>
        <x:v>320</x:v>
      </x:c>
      <x:c r="N1316" s="5" t="str">
        <x:v>Walk-in</x:v>
      </x:c>
      <x:c r="O1316" s="5" t="str">
        <x:v>Cash</x:v>
      </x:c>
      <x:c r="P1316" s="5" t="str">
        <x:v>Lunch</x:v>
      </x:c>
      <x:c r="Q1316" s="48" t="n">
        <x:v>11</x:v>
      </x:c>
      <x:c r="R1316" s="5" t="n">
        <x:v>5</x:v>
      </x:c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5" t="str">
        <x:v>ORD-01379</x:v>
      </x:c>
      <x:c r="B1317" s="43" t="n">
        <x:v>46192</x:v>
      </x:c>
      <x:c r="C1317" s="5" t="str">
        <x:v>CUST-0595</x:v>
      </x:c>
      <x:c r="D1317" s="5" t="str">
        <x:v>FD003</x:v>
      </x:c>
      <x:c r="E1317" s="5" t="str">
        <x:v>Fried Rice &amp; Chicken</x:v>
      </x:c>
      <x:c r="F1317" s="5" t="str">
        <x:v>Rice Meals</x:v>
      </x:c>
      <x:c r="G1317" s="44" t="n">
        <x:v>4</x:v>
      </x:c>
      <x:c r="H1317" s="45" t="n">
        <x:v>3000</x:v>
      </x:c>
      <x:c r="I1317" s="46" t="n">
        <x:v>0</x:v>
      </x:c>
      <x:c r="J1317" s="47" t="n">
        <x:f>G1317*H1317*(1-I1317)</x:f>
        <x:v>12000</x:v>
      </x:c>
      <x:c r="K1317" s="47" t="n">
        <x:v>1580</x:v>
      </x:c>
      <x:c r="L1317" s="47" t="n">
        <x:f>G1317*K1317</x:f>
        <x:v>6320</x:v>
      </x:c>
      <x:c r="M1317" s="47" t="n">
        <x:f>J1317-L1317</x:f>
        <x:v>5680</x:v>
      </x:c>
      <x:c r="N1317" s="5" t="str">
        <x:v>Takeaway</x:v>
      </x:c>
      <x:c r="O1317" s="5" t="str">
        <x:v>Cash</x:v>
      </x:c>
      <x:c r="P1317" s="5" t="str">
        <x:v>Lunch</x:v>
      </x:c>
      <x:c r="Q1317" s="48" t="n">
        <x:v>13</x:v>
      </x:c>
      <x:c r="R1317" s="5" t="n">
        <x:v>4</x:v>
      </x:c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5" t="str">
        <x:v>ORD-01775</x:v>
      </x:c>
      <x:c r="B1318" s="43" t="n">
        <x:v>46192</x:v>
      </x:c>
      <x:c r="C1318" s="5" t="str">
        <x:v>CUST-0614</x:v>
      </x:c>
      <x:c r="D1318" s="5" t="str">
        <x:v>FD002</x:v>
      </x:c>
      <x:c r="E1318" s="5" t="str">
        <x:v>Jollof Rice &amp; Chicken</x:v>
      </x:c>
      <x:c r="F1318" s="5" t="str">
        <x:v>Rice Meals</x:v>
      </x:c>
      <x:c r="G1318" s="44" t="n">
        <x:v>3</x:v>
      </x:c>
      <x:c r="H1318" s="45" t="n">
        <x:v>2800</x:v>
      </x:c>
      <x:c r="I1318" s="46" t="n">
        <x:v>0</x:v>
      </x:c>
      <x:c r="J1318" s="47" t="n">
        <x:f>G1318*H1318*(1-I1318)</x:f>
        <x:v>8400</x:v>
      </x:c>
      <x:c r="K1318" s="47" t="n">
        <x:v>1450</x:v>
      </x:c>
      <x:c r="L1318" s="47" t="n">
        <x:f>G1318*K1318</x:f>
        <x:v>4350</x:v>
      </x:c>
      <x:c r="M1318" s="47" t="n">
        <x:f>J1318-L1318</x:f>
        <x:v>4050</x:v>
      </x:c>
      <x:c r="N1318" s="5" t="str">
        <x:v>Walk-in</x:v>
      </x:c>
      <x:c r="O1318" s="5" t="str">
        <x:v>POS</x:v>
      </x:c>
      <x:c r="P1318" s="5" t="str">
        <x:v>Lunch</x:v>
      </x:c>
      <x:c r="Q1318" s="48" t="n">
        <x:v>14</x:v>
      </x:c>
      <x:c r="R1318" s="5" t="n">
        <x:v>4</x:v>
      </x:c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5" t="str">
        <x:v>ORD-00374</x:v>
      </x:c>
      <x:c r="B1319" s="43" t="n">
        <x:v>46193</x:v>
      </x:c>
      <x:c r="C1319" s="5" t="str">
        <x:v>CUST-0263</x:v>
      </x:c>
      <x:c r="D1319" s="5" t="str">
        <x:v>FD004</x:v>
      </x:c>
      <x:c r="E1319" s="5" t="str">
        <x:v>Beans &amp; Plantain</x:v>
      </x:c>
      <x:c r="F1319" s="5" t="str">
        <x:v>Traditional Meals</x:v>
      </x:c>
      <x:c r="G1319" s="44" t="n">
        <x:v>3</x:v>
      </x:c>
      <x:c r="H1319" s="45" t="n">
        <x:v>2000</x:v>
      </x:c>
      <x:c r="I1319" s="46" t="n">
        <x:v>0</x:v>
      </x:c>
      <x:c r="J1319" s="47" t="n">
        <x:f>G1319*H1319*(1-I1319)</x:f>
        <x:v>6000</x:v>
      </x:c>
      <x:c r="K1319" s="47" t="n">
        <x:v>960</x:v>
      </x:c>
      <x:c r="L1319" s="47" t="n">
        <x:f>G1319*K1319</x:f>
        <x:v>2880</x:v>
      </x:c>
      <x:c r="M1319" s="47" t="n">
        <x:f>J1319-L1319</x:f>
        <x:v>3120</x:v>
      </x:c>
      <x:c r="N1319" s="5" t="str">
        <x:v>Walk-in</x:v>
      </x:c>
      <x:c r="O1319" s="5" t="str">
        <x:v>Cash</x:v>
      </x:c>
      <x:c r="P1319" s="5" t="str">
        <x:v>Breakfast</x:v>
      </x:c>
      <x:c r="Q1319" s="48" t="n">
        <x:v>9</x:v>
      </x:c>
      <x:c r="R1319" s="5" t="n">
        <x:v>4</x:v>
      </x:c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5" t="str">
        <x:v>ORD-00448</x:v>
      </x:c>
      <x:c r="B1320" s="43" t="n">
        <x:v>46193</x:v>
      </x:c>
      <x:c r="C1320" s="5" t="str">
        <x:v>CUST-0399</x:v>
      </x:c>
      <x:c r="D1320" s="5" t="str">
        <x:v>FD003</x:v>
      </x:c>
      <x:c r="E1320" s="5" t="str">
        <x:v>Fried Rice &amp; Chicken</x:v>
      </x:c>
      <x:c r="F1320" s="5" t="str">
        <x:v>Rice Meals</x:v>
      </x:c>
      <x:c r="G1320" s="44" t="n">
        <x:v>4</x:v>
      </x:c>
      <x:c r="H1320" s="45" t="n">
        <x:v>3000</x:v>
      </x:c>
      <x:c r="I1320" s="46" t="n">
        <x:v>0</x:v>
      </x:c>
      <x:c r="J1320" s="47" t="n">
        <x:f>G1320*H1320*(1-I1320)</x:f>
        <x:v>12000</x:v>
      </x:c>
      <x:c r="K1320" s="47" t="n">
        <x:v>1580</x:v>
      </x:c>
      <x:c r="L1320" s="47" t="n">
        <x:f>G1320*K1320</x:f>
        <x:v>6320</x:v>
      </x:c>
      <x:c r="M1320" s="47" t="n">
        <x:f>J1320-L1320</x:f>
        <x:v>5680</x:v>
      </x:c>
      <x:c r="N1320" s="5" t="str">
        <x:v>Walk-in</x:v>
      </x:c>
      <x:c r="O1320" s="5" t="str">
        <x:v>POS</x:v>
      </x:c>
      <x:c r="P1320" s="5" t="str">
        <x:v>Dinner</x:v>
      </x:c>
      <x:c r="Q1320" s="48" t="n">
        <x:v>18</x:v>
      </x:c>
      <x:c r="R1320" s="5" t="n">
        <x:v>5</x:v>
      </x:c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5" t="str">
        <x:v>ORD-00547</x:v>
      </x:c>
      <x:c r="B1321" s="43" t="n">
        <x:v>46193</x:v>
      </x:c>
      <x:c r="C1321" s="5" t="str">
        <x:v>CUST-0468</x:v>
      </x:c>
      <x:c r="D1321" s="5" t="str">
        <x:v>FD012</x:v>
      </x:c>
      <x:c r="E1321" s="5" t="str">
        <x:v>Fried Plantain</x:v>
      </x:c>
      <x:c r="F1321" s="5" t="str">
        <x:v>Sides</x:v>
      </x:c>
      <x:c r="G1321" s="44" t="n">
        <x:v>4</x:v>
      </x:c>
      <x:c r="H1321" s="45" t="n">
        <x:v>700</x:v>
      </x:c>
      <x:c r="I1321" s="46" t="n">
        <x:v>0</x:v>
      </x:c>
      <x:c r="J1321" s="47" t="n">
        <x:f>G1321*H1321*(1-I1321)</x:f>
        <x:v>2800</x:v>
      </x:c>
      <x:c r="K1321" s="47" t="n">
        <x:v>300</x:v>
      </x:c>
      <x:c r="L1321" s="47" t="n">
        <x:f>G1321*K1321</x:f>
        <x:v>1200</x:v>
      </x:c>
      <x:c r="M1321" s="47" t="n">
        <x:f>J1321-L1321</x:f>
        <x:v>1600</x:v>
      </x:c>
      <x:c r="N1321" s="5" t="str">
        <x:v>Delivery</x:v>
      </x:c>
      <x:c r="O1321" s="5" t="str">
        <x:v>Transfer</x:v>
      </x:c>
      <x:c r="P1321" s="5" t="str">
        <x:v>Lunch</x:v>
      </x:c>
      <x:c r="Q1321" s="48" t="n">
        <x:v>15</x:v>
      </x:c>
      <x:c r="R1321" s="5" t="n">
        <x:v>5</x:v>
      </x:c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5" t="str">
        <x:v>ORD-00587</x:v>
      </x:c>
      <x:c r="B1322" s="43" t="n">
        <x:v>46193</x:v>
      </x:c>
      <x:c r="C1322" s="5" t="str">
        <x:v>CUST-0262</x:v>
      </x:c>
      <x:c r="D1322" s="5" t="str">
        <x:v>FD006</x:v>
      </x:c>
      <x:c r="E1322" s="5" t="str">
        <x:v>Eba &amp; Egusi Soup</x:v>
      </x:c>
      <x:c r="F1322" s="5" t="str">
        <x:v>Swallow</x:v>
      </x:c>
      <x:c r="G1322" s="44" t="n">
        <x:v>1</x:v>
      </x:c>
      <x:c r="H1322" s="45" t="n">
        <x:v>2600</x:v>
      </x:c>
      <x:c r="I1322" s="46" t="n">
        <x:v>0.05</x:v>
      </x:c>
      <x:c r="J1322" s="47" t="n">
        <x:f>G1322*H1322*(1-I1322)</x:f>
        <x:v>2470</x:v>
      </x:c>
      <x:c r="K1322" s="47" t="n">
        <x:v>1320</x:v>
      </x:c>
      <x:c r="L1322" s="47" t="n">
        <x:f>G1322*K1322</x:f>
        <x:v>1320</x:v>
      </x:c>
      <x:c r="M1322" s="47" t="n">
        <x:f>J1322-L1322</x:f>
        <x:v>1150</x:v>
      </x:c>
      <x:c r="N1322" s="5" t="str">
        <x:v>Takeaway</x:v>
      </x:c>
      <x:c r="O1322" s="5" t="str">
        <x:v>POS</x:v>
      </x:c>
      <x:c r="P1322" s="5" t="str">
        <x:v>Lunch</x:v>
      </x:c>
      <x:c r="Q1322" s="48" t="n">
        <x:v>13</x:v>
      </x:c>
      <x:c r="R1322" s="5" t="n">
        <x:v>5</x:v>
      </x:c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5" t="str">
        <x:v>ORD-01758</x:v>
      </x:c>
      <x:c r="B1323" s="43" t="n">
        <x:v>46193</x:v>
      </x:c>
      <x:c r="C1323" s="5" t="str">
        <x:v>CUST-0317</x:v>
      </x:c>
      <x:c r="D1323" s="5" t="str">
        <x:v>FD003</x:v>
      </x:c>
      <x:c r="E1323" s="5" t="str">
        <x:v>Fried Rice &amp; Chicken</x:v>
      </x:c>
      <x:c r="F1323" s="5" t="str">
        <x:v>Rice Meals</x:v>
      </x:c>
      <x:c r="G1323" s="44" t="n">
        <x:v>4</x:v>
      </x:c>
      <x:c r="H1323" s="45" t="n">
        <x:v>3000</x:v>
      </x:c>
      <x:c r="I1323" s="46" t="n">
        <x:v>0</x:v>
      </x:c>
      <x:c r="J1323" s="47" t="n">
        <x:f>G1323*H1323*(1-I1323)</x:f>
        <x:v>12000</x:v>
      </x:c>
      <x:c r="K1323" s="47" t="n">
        <x:v>1580</x:v>
      </x:c>
      <x:c r="L1323" s="47" t="n">
        <x:f>G1323*K1323</x:f>
        <x:v>6320</x:v>
      </x:c>
      <x:c r="M1323" s="47" t="n">
        <x:f>J1323-L1323</x:f>
        <x:v>5680</x:v>
      </x:c>
      <x:c r="N1323" s="5" t="str">
        <x:v>Walk-in</x:v>
      </x:c>
      <x:c r="O1323" s="5" t="str">
        <x:v>POS</x:v>
      </x:c>
      <x:c r="P1323" s="5" t="str">
        <x:v>Dinner</x:v>
      </x:c>
      <x:c r="Q1323" s="48" t="n">
        <x:v>18</x:v>
      </x:c>
      <x:c r="R1323" s="5" t="n">
        <x:v>4</x:v>
      </x:c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5" t="str">
        <x:v>ORD-00546</x:v>
      </x:c>
      <x:c r="B1324" s="43" t="n">
        <x:v>46194</x:v>
      </x:c>
      <x:c r="C1324" s="5" t="str">
        <x:v>CUST-0568</x:v>
      </x:c>
      <x:c r="D1324" s="5" t="str">
        <x:v>FD010</x:v>
      </x:c>
      <x:c r="E1324" s="5" t="str">
        <x:v>Soft Drink</x:v>
      </x:c>
      <x:c r="F1324" s="5" t="str">
        <x:v>Beverages</x:v>
      </x:c>
      <x:c r="G1324" s="44" t="n">
        <x:v>3</x:v>
      </x:c>
      <x:c r="H1324" s="45" t="n">
        <x:v>600</x:v>
      </x:c>
      <x:c r="I1324" s="46" t="n">
        <x:v>0</x:v>
      </x:c>
      <x:c r="J1324" s="47" t="n">
        <x:f>G1324*H1324*(1-I1324)</x:f>
        <x:v>1800</x:v>
      </x:c>
      <x:c r="K1324" s="47" t="n">
        <x:v>280</x:v>
      </x:c>
      <x:c r="L1324" s="47" t="n">
        <x:f>G1324*K1324</x:f>
        <x:v>840</x:v>
      </x:c>
      <x:c r="M1324" s="47" t="n">
        <x:f>J1324-L1324</x:f>
        <x:v>960</x:v>
      </x:c>
      <x:c r="N1324" s="5" t="str">
        <x:v>Delivery</x:v>
      </x:c>
      <x:c r="O1324" s="5" t="str">
        <x:v>Transfer</x:v>
      </x:c>
      <x:c r="P1324" s="5" t="str">
        <x:v>Lunch</x:v>
      </x:c>
      <x:c r="Q1324" s="48" t="n">
        <x:v>11</x:v>
      </x:c>
      <x:c r="R1324" s="5" t="n">
        <x:v>4</x:v>
      </x:c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5" t="str">
        <x:v>ORD-00566</x:v>
      </x:c>
      <x:c r="B1325" s="43" t="n">
        <x:v>46194</x:v>
      </x:c>
      <x:c r="C1325" s="5" t="str">
        <x:v>CUST-0483</x:v>
      </x:c>
      <x:c r="D1325" s="5" t="str">
        <x:v>FD004</x:v>
      </x:c>
      <x:c r="E1325" s="5" t="str">
        <x:v>Beans &amp; Plantain</x:v>
      </x:c>
      <x:c r="F1325" s="5" t="str">
        <x:v>Traditional Meals</x:v>
      </x:c>
      <x:c r="G1325" s="44" t="n">
        <x:v>2</x:v>
      </x:c>
      <x:c r="H1325" s="45" t="n">
        <x:v>2000</x:v>
      </x:c>
      <x:c r="I1325" s="46" t="n">
        <x:v>0</x:v>
      </x:c>
      <x:c r="J1325" s="47" t="n">
        <x:f>G1325*H1325*(1-I1325)</x:f>
        <x:v>4000</x:v>
      </x:c>
      <x:c r="K1325" s="47" t="n">
        <x:v>960</x:v>
      </x:c>
      <x:c r="L1325" s="47" t="n">
        <x:f>G1325*K1325</x:f>
        <x:v>1920</x:v>
      </x:c>
      <x:c r="M1325" s="47" t="n">
        <x:f>J1325-L1325</x:f>
        <x:v>2080</x:v>
      </x:c>
      <x:c r="N1325" s="5" t="str">
        <x:v>Walk-in</x:v>
      </x:c>
      <x:c r="O1325" s="5" t="str">
        <x:v>Transfer</x:v>
      </x:c>
      <x:c r="P1325" s="5" t="str">
        <x:v>Lunch</x:v>
      </x:c>
      <x:c r="Q1325" s="48" t="n">
        <x:v>15</x:v>
      </x:c>
      <x:c r="R1325" s="5" t="n">
        <x:v>4</x:v>
      </x:c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5" t="str">
        <x:v>ORD-00898</x:v>
      </x:c>
      <x:c r="B1326" s="43" t="n">
        <x:v>46194</x:v>
      </x:c>
      <x:c r="C1326" s="5" t="str">
        <x:v>CUST-0273</x:v>
      </x:c>
      <x:c r="D1326" s="5" t="str">
        <x:v>FD009</x:v>
      </x:c>
      <x:c r="E1326" s="5" t="str">
        <x:v>Moi Moi</x:v>
      </x:c>
      <x:c r="F1326" s="5" t="str">
        <x:v>Sides</x:v>
      </x:c>
      <x:c r="G1326" s="44" t="n">
        <x:v>1</x:v>
      </x:c>
      <x:c r="H1326" s="45" t="n">
        <x:v>900</x:v>
      </x:c>
      <x:c r="I1326" s="46" t="n">
        <x:v>0</x:v>
      </x:c>
      <x:c r="J1326" s="47" t="n">
        <x:f>G1326*H1326*(1-I1326)</x:f>
        <x:v>900</x:v>
      </x:c>
      <x:c r="K1326" s="47" t="n">
        <x:v>380</x:v>
      </x:c>
      <x:c r="L1326" s="47" t="n">
        <x:f>G1326*K1326</x:f>
        <x:v>380</x:v>
      </x:c>
      <x:c r="M1326" s="47" t="n">
        <x:f>J1326-L1326</x:f>
        <x:v>520</x:v>
      </x:c>
      <x:c r="N1326" s="5" t="str">
        <x:v>Delivery</x:v>
      </x:c>
      <x:c r="O1326" s="5" t="str">
        <x:v>Transfer</x:v>
      </x:c>
      <x:c r="P1326" s="5" t="str">
        <x:v>Breakfast</x:v>
      </x:c>
      <x:c r="Q1326" s="48" t="n">
        <x:v>10</x:v>
      </x:c>
      <x:c r="R1326" s="5" t="n">
        <x:v>4</x:v>
      </x:c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5" t="str">
        <x:v>ORD-01229</x:v>
      </x:c>
      <x:c r="B1327" s="43" t="n">
        <x:v>46194</x:v>
      </x:c>
      <x:c r="C1327" s="5" t="str">
        <x:v>CUST-0019</x:v>
      </x:c>
      <x:c r="D1327" s="5" t="str">
        <x:v>FD003</x:v>
      </x:c>
      <x:c r="E1327" s="5" t="str">
        <x:v>Fried Rice &amp; Chicken</x:v>
      </x:c>
      <x:c r="F1327" s="5" t="str">
        <x:v>Rice Meals</x:v>
      </x:c>
      <x:c r="G1327" s="44" t="n">
        <x:v>3</x:v>
      </x:c>
      <x:c r="H1327" s="45" t="n">
        <x:v>3000</x:v>
      </x:c>
      <x:c r="I1327" s="46" t="n">
        <x:v>0</x:v>
      </x:c>
      <x:c r="J1327" s="47" t="n">
        <x:f>G1327*H1327*(1-I1327)</x:f>
        <x:v>9000</x:v>
      </x:c>
      <x:c r="K1327" s="47" t="n">
        <x:v>1580</x:v>
      </x:c>
      <x:c r="L1327" s="47" t="n">
        <x:f>G1327*K1327</x:f>
        <x:v>4740</x:v>
      </x:c>
      <x:c r="M1327" s="47" t="n">
        <x:f>J1327-L1327</x:f>
        <x:v>4260</x:v>
      </x:c>
      <x:c r="N1327" s="5" t="str">
        <x:v>Delivery</x:v>
      </x:c>
      <x:c r="O1327" s="5" t="str">
        <x:v>Transfer</x:v>
      </x:c>
      <x:c r="P1327" s="5" t="str">
        <x:v>Lunch</x:v>
      </x:c>
      <x:c r="Q1327" s="48" t="n">
        <x:v>13</x:v>
      </x:c>
      <x:c r="R1327" s="5" t="n">
        <x:v>5</x:v>
      </x:c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5" t="str">
        <x:v>ORD-01509</x:v>
      </x:c>
      <x:c r="B1328" s="43" t="n">
        <x:v>46194</x:v>
      </x:c>
      <x:c r="C1328" s="5" t="str">
        <x:v>CUST-0302</x:v>
      </x:c>
      <x:c r="D1328" s="5" t="str">
        <x:v>FD006</x:v>
      </x:c>
      <x:c r="E1328" s="5" t="str">
        <x:v>Eba &amp; Egusi Soup</x:v>
      </x:c>
      <x:c r="F1328" s="5" t="str">
        <x:v>Swallow</x:v>
      </x:c>
      <x:c r="G1328" s="44" t="n">
        <x:v>1</x:v>
      </x:c>
      <x:c r="H1328" s="45" t="n">
        <x:v>2600</x:v>
      </x:c>
      <x:c r="I1328" s="46" t="n">
        <x:v>0</x:v>
      </x:c>
      <x:c r="J1328" s="47" t="n">
        <x:f>G1328*H1328*(1-I1328)</x:f>
        <x:v>2600</x:v>
      </x:c>
      <x:c r="K1328" s="47" t="n">
        <x:v>1320</x:v>
      </x:c>
      <x:c r="L1328" s="47" t="n">
        <x:f>G1328*K1328</x:f>
        <x:v>1320</x:v>
      </x:c>
      <x:c r="M1328" s="47" t="n">
        <x:f>J1328-L1328</x:f>
        <x:v>1280</x:v>
      </x:c>
      <x:c r="N1328" s="5" t="str">
        <x:v>Takeaway</x:v>
      </x:c>
      <x:c r="O1328" s="5" t="str">
        <x:v>Transfer</x:v>
      </x:c>
      <x:c r="P1328" s="5" t="str">
        <x:v>Breakfast</x:v>
      </x:c>
      <x:c r="Q1328" s="48" t="n">
        <x:v>10</x:v>
      </x:c>
      <x:c r="R1328" s="5" t="n">
        <x:v>5</x:v>
      </x:c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5" t="str">
        <x:v>ORD-01518</x:v>
      </x:c>
      <x:c r="B1329" s="43" t="n">
        <x:v>46194</x:v>
      </x:c>
      <x:c r="C1329" s="5" t="str">
        <x:v>CUST-0304</x:v>
      </x:c>
      <x:c r="D1329" s="5" t="str">
        <x:v>FD005</x:v>
      </x:c>
      <x:c r="E1329" s="5" t="str">
        <x:v>Yam Porridge</x:v>
      </x:c>
      <x:c r="F1329" s="5" t="str">
        <x:v>Traditional Meals</x:v>
      </x:c>
      <x:c r="G1329" s="44" t="n">
        <x:v>4</x:v>
      </x:c>
      <x:c r="H1329" s="45" t="n">
        <x:v>2200</x:v>
      </x:c>
      <x:c r="I1329" s="46" t="n">
        <x:v>0</x:v>
      </x:c>
      <x:c r="J1329" s="47" t="n">
        <x:f>G1329*H1329*(1-I1329)</x:f>
        <x:v>8800</x:v>
      </x:c>
      <x:c r="K1329" s="47" t="n">
        <x:v>1050</x:v>
      </x:c>
      <x:c r="L1329" s="47" t="n">
        <x:f>G1329*K1329</x:f>
        <x:v>4200</x:v>
      </x:c>
      <x:c r="M1329" s="47" t="n">
        <x:f>J1329-L1329</x:f>
        <x:v>4600</x:v>
      </x:c>
      <x:c r="N1329" s="5" t="str">
        <x:v>Takeaway</x:v>
      </x:c>
      <x:c r="O1329" s="5" t="str">
        <x:v>POS</x:v>
      </x:c>
      <x:c r="P1329" s="5" t="str">
        <x:v>Dinner</x:v>
      </x:c>
      <x:c r="Q1329" s="48" t="n">
        <x:v>19</x:v>
      </x:c>
      <x:c r="R1329" s="5" t="n">
        <x:v>5</x:v>
      </x:c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5" t="str">
        <x:v>ORD-01660</x:v>
      </x:c>
      <x:c r="B1330" s="43" t="n">
        <x:v>46194</x:v>
      </x:c>
      <x:c r="C1330" s="5" t="str">
        <x:v>CUST-0328</x:v>
      </x:c>
      <x:c r="D1330" s="5" t="str">
        <x:v>FD001</x:v>
      </x:c>
      <x:c r="E1330" s="5" t="str">
        <x:v>White Rice &amp; Stew</x:v>
      </x:c>
      <x:c r="F1330" s="5" t="str">
        <x:v>Rice Meals</x:v>
      </x:c>
      <x:c r="G1330" s="44" t="n">
        <x:v>2</x:v>
      </x:c>
      <x:c r="H1330" s="45" t="n">
        <x:v>1800</x:v>
      </x:c>
      <x:c r="I1330" s="46" t="n">
        <x:v>0</x:v>
      </x:c>
      <x:c r="J1330" s="47" t="n">
        <x:f>G1330*H1330*(1-I1330)</x:f>
        <x:v>3600</x:v>
      </x:c>
      <x:c r="K1330" s="47" t="n">
        <x:v>820</x:v>
      </x:c>
      <x:c r="L1330" s="47" t="n">
        <x:f>G1330*K1330</x:f>
        <x:v>1640</x:v>
      </x:c>
      <x:c r="M1330" s="47" t="n">
        <x:f>J1330-L1330</x:f>
        <x:v>1960</x:v>
      </x:c>
      <x:c r="N1330" s="5" t="str">
        <x:v>Walk-in</x:v>
      </x:c>
      <x:c r="O1330" s="5" t="str">
        <x:v>Cash</x:v>
      </x:c>
      <x:c r="P1330" s="5" t="str">
        <x:v>Dinner</x:v>
      </x:c>
      <x:c r="Q1330" s="48" t="n">
        <x:v>16</x:v>
      </x:c>
      <x:c r="R1330" s="5" t="n">
        <x:v>5</x:v>
      </x:c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5" t="str">
        <x:v>ORD-00364</x:v>
      </x:c>
      <x:c r="B1331" s="43" t="n">
        <x:v>46195</x:v>
      </x:c>
      <x:c r="C1331" s="5" t="str">
        <x:v>CUST-0386</x:v>
      </x:c>
      <x:c r="D1331" s="5" t="str">
        <x:v>FD001</x:v>
      </x:c>
      <x:c r="E1331" s="5" t="str">
        <x:v>White Rice &amp; Stew</x:v>
      </x:c>
      <x:c r="F1331" s="5" t="str">
        <x:v>Rice Meals</x:v>
      </x:c>
      <x:c r="G1331" s="44" t="n">
        <x:v>1</x:v>
      </x:c>
      <x:c r="H1331" s="45" t="n">
        <x:v>1800</x:v>
      </x:c>
      <x:c r="I1331" s="46" t="n">
        <x:v>0</x:v>
      </x:c>
      <x:c r="J1331" s="47" t="n">
        <x:f>G1331*H1331*(1-I1331)</x:f>
        <x:v>1800</x:v>
      </x:c>
      <x:c r="K1331" s="47" t="n">
        <x:v>820</x:v>
      </x:c>
      <x:c r="L1331" s="47" t="n">
        <x:f>G1331*K1331</x:f>
        <x:v>820</x:v>
      </x:c>
      <x:c r="M1331" s="47" t="n">
        <x:f>J1331-L1331</x:f>
        <x:v>980</x:v>
      </x:c>
      <x:c r="N1331" s="5" t="str">
        <x:v>Takeaway</x:v>
      </x:c>
      <x:c r="O1331" s="5" t="str">
        <x:v>POS</x:v>
      </x:c>
      <x:c r="P1331" s="5" t="str">
        <x:v>Dinner</x:v>
      </x:c>
      <x:c r="Q1331" s="48" t="n">
        <x:v>16</x:v>
      </x:c>
      <x:c r="R1331" s="5" t="n">
        <x:v>5</x:v>
      </x:c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5" t="str">
        <x:v>ORD-00792</x:v>
      </x:c>
      <x:c r="B1332" s="43" t="n">
        <x:v>46195</x:v>
      </x:c>
      <x:c r="C1332" s="5" t="str">
        <x:v>CUST-0199</x:v>
      </x:c>
      <x:c r="D1332" s="5" t="str">
        <x:v>FD010</x:v>
      </x:c>
      <x:c r="E1332" s="5" t="str">
        <x:v>Soft Drink</x:v>
      </x:c>
      <x:c r="F1332" s="5" t="str">
        <x:v>Beverages</x:v>
      </x:c>
      <x:c r="G1332" s="44" t="n">
        <x:v>4</x:v>
      </x:c>
      <x:c r="H1332" s="45" t="n">
        <x:v>600</x:v>
      </x:c>
      <x:c r="I1332" s="46" t="n">
        <x:v>0</x:v>
      </x:c>
      <x:c r="J1332" s="47" t="n">
        <x:f>G1332*H1332*(1-I1332)</x:f>
        <x:v>2400</x:v>
      </x:c>
      <x:c r="K1332" s="47" t="n">
        <x:v>280</x:v>
      </x:c>
      <x:c r="L1332" s="47" t="n">
        <x:f>G1332*K1332</x:f>
        <x:v>1120</x:v>
      </x:c>
      <x:c r="M1332" s="47" t="n">
        <x:f>J1332-L1332</x:f>
        <x:v>1280</x:v>
      </x:c>
      <x:c r="N1332" s="5" t="str">
        <x:v>Walk-in</x:v>
      </x:c>
      <x:c r="O1332" s="5" t="str">
        <x:v>Cash</x:v>
      </x:c>
      <x:c r="P1332" s="5" t="str">
        <x:v>Lunch</x:v>
      </x:c>
      <x:c r="Q1332" s="48" t="n">
        <x:v>12</x:v>
      </x:c>
      <x:c r="R1332" s="5" t="n">
        <x:v>3</x:v>
      </x:c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5" t="str">
        <x:v>ORD-01023</x:v>
      </x:c>
      <x:c r="B1333" s="43" t="n">
        <x:v>46195</x:v>
      </x:c>
      <x:c r="C1333" s="5" t="str">
        <x:v>CUST-0584</x:v>
      </x:c>
      <x:c r="D1333" s="5" t="str">
        <x:v>FD008</x:v>
      </x:c>
      <x:c r="E1333" s="5" t="str">
        <x:v>Pounded Yam &amp; Vegetable Soup</x:v>
      </x:c>
      <x:c r="F1333" s="5" t="str">
        <x:v>Swallow</x:v>
      </x:c>
      <x:c r="G1333" s="44" t="n">
        <x:v>3</x:v>
      </x:c>
      <x:c r="H1333" s="45" t="n">
        <x:v>3200</x:v>
      </x:c>
      <x:c r="I1333" s="46" t="n">
        <x:v>0.05</x:v>
      </x:c>
      <x:c r="J1333" s="47" t="n">
        <x:f>G1333*H1333*(1-I1333)</x:f>
        <x:v>9120</x:v>
      </x:c>
      <x:c r="K1333" s="47" t="n">
        <x:v>1710</x:v>
      </x:c>
      <x:c r="L1333" s="47" t="n">
        <x:f>G1333*K1333</x:f>
        <x:v>5130</x:v>
      </x:c>
      <x:c r="M1333" s="47" t="n">
        <x:f>J1333-L1333</x:f>
        <x:v>3990</x:v>
      </x:c>
      <x:c r="N1333" s="5" t="str">
        <x:v>Walk-in</x:v>
      </x:c>
      <x:c r="O1333" s="5" t="str">
        <x:v>Transfer</x:v>
      </x:c>
      <x:c r="P1333" s="5" t="str">
        <x:v>Lunch</x:v>
      </x:c>
      <x:c r="Q1333" s="48" t="n">
        <x:v>13</x:v>
      </x:c>
      <x:c r="R1333" s="5" t="n">
        <x:v>5</x:v>
      </x:c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5" t="str">
        <x:v>ORD-01164</x:v>
      </x:c>
      <x:c r="B1334" s="43" t="n">
        <x:v>46195</x:v>
      </x:c>
      <x:c r="C1334" s="5" t="str">
        <x:v>CUST-0617</x:v>
      </x:c>
      <x:c r="D1334" s="5" t="str">
        <x:v>FD010</x:v>
      </x:c>
      <x:c r="E1334" s="5" t="str">
        <x:v>Soft Drink</x:v>
      </x:c>
      <x:c r="F1334" s="5" t="str">
        <x:v>Beverages</x:v>
      </x:c>
      <x:c r="G1334" s="44" t="n">
        <x:v>4</x:v>
      </x:c>
      <x:c r="H1334" s="45" t="n">
        <x:v>600</x:v>
      </x:c>
      <x:c r="I1334" s="46" t="n">
        <x:v>0</x:v>
      </x:c>
      <x:c r="J1334" s="47" t="n">
        <x:f>G1334*H1334*(1-I1334)</x:f>
        <x:v>2400</x:v>
      </x:c>
      <x:c r="K1334" s="47" t="n">
        <x:v>280</x:v>
      </x:c>
      <x:c r="L1334" s="47" t="n">
        <x:f>G1334*K1334</x:f>
        <x:v>1120</x:v>
      </x:c>
      <x:c r="M1334" s="47" t="n">
        <x:f>J1334-L1334</x:f>
        <x:v>1280</x:v>
      </x:c>
      <x:c r="N1334" s="5" t="str">
        <x:v>Delivery</x:v>
      </x:c>
      <x:c r="O1334" s="5" t="str">
        <x:v>Transfer</x:v>
      </x:c>
      <x:c r="P1334" s="5" t="str">
        <x:v>Lunch</x:v>
      </x:c>
      <x:c r="Q1334" s="48" t="n">
        <x:v>15</x:v>
      </x:c>
      <x:c r="R1334" s="5" t="n">
        <x:v>5</x:v>
      </x:c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5" t="str">
        <x:v>ORD-00196</x:v>
      </x:c>
      <x:c r="B1335" s="43" t="n">
        <x:v>46196</x:v>
      </x:c>
      <x:c r="C1335" s="5" t="str">
        <x:v>CUST-0463</x:v>
      </x:c>
      <x:c r="D1335" s="5" t="str">
        <x:v>FD002</x:v>
      </x:c>
      <x:c r="E1335" s="5" t="str">
        <x:v>Jollof Rice &amp; Chicken</x:v>
      </x:c>
      <x:c r="F1335" s="5" t="str">
        <x:v>Rice Meals</x:v>
      </x:c>
      <x:c r="G1335" s="44" t="n">
        <x:v>4</x:v>
      </x:c>
      <x:c r="H1335" s="45" t="n">
        <x:v>2800</x:v>
      </x:c>
      <x:c r="I1335" s="46" t="n">
        <x:v>0</x:v>
      </x:c>
      <x:c r="J1335" s="47" t="n">
        <x:f>G1335*H1335*(1-I1335)</x:f>
        <x:v>11200</x:v>
      </x:c>
      <x:c r="K1335" s="47" t="n">
        <x:v>1450</x:v>
      </x:c>
      <x:c r="L1335" s="47" t="n">
        <x:f>G1335*K1335</x:f>
        <x:v>5800</x:v>
      </x:c>
      <x:c r="M1335" s="47" t="n">
        <x:f>J1335-L1335</x:f>
        <x:v>5400</x:v>
      </x:c>
      <x:c r="N1335" s="5" t="str">
        <x:v>Walk-in</x:v>
      </x:c>
      <x:c r="O1335" s="5" t="str">
        <x:v>Transfer</x:v>
      </x:c>
      <x:c r="P1335" s="5" t="str">
        <x:v>Lunch</x:v>
      </x:c>
      <x:c r="Q1335" s="48" t="n">
        <x:v>13</x:v>
      </x:c>
      <x:c r="R1335" s="5" t="n">
        <x:v>4</x:v>
      </x:c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5" t="str">
        <x:v>ORD-00533</x:v>
      </x:c>
      <x:c r="B1336" s="43" t="n">
        <x:v>46196</x:v>
      </x:c>
      <x:c r="C1336" s="5" t="str">
        <x:v>CUST-0441</x:v>
      </x:c>
      <x:c r="D1336" s="5" t="str">
        <x:v>FD001</x:v>
      </x:c>
      <x:c r="E1336" s="5" t="str">
        <x:v>White Rice &amp; Stew</x:v>
      </x:c>
      <x:c r="F1336" s="5" t="str">
        <x:v>Rice Meals</x:v>
      </x:c>
      <x:c r="G1336" s="44" t="n">
        <x:v>2</x:v>
      </x:c>
      <x:c r="H1336" s="45" t="n">
        <x:v>1800</x:v>
      </x:c>
      <x:c r="I1336" s="46" t="n">
        <x:v>0</x:v>
      </x:c>
      <x:c r="J1336" s="47" t="n">
        <x:f>G1336*H1336*(1-I1336)</x:f>
        <x:v>3600</x:v>
      </x:c>
      <x:c r="K1336" s="47" t="n">
        <x:v>820</x:v>
      </x:c>
      <x:c r="L1336" s="47" t="n">
        <x:f>G1336*K1336</x:f>
        <x:v>1640</x:v>
      </x:c>
      <x:c r="M1336" s="47" t="n">
        <x:f>J1336-L1336</x:f>
        <x:v>1960</x:v>
      </x:c>
      <x:c r="N1336" s="5" t="str">
        <x:v>Takeaway</x:v>
      </x:c>
      <x:c r="O1336" s="5" t="str">
        <x:v>Cash</x:v>
      </x:c>
      <x:c r="P1336" s="5" t="str">
        <x:v>Dinner</x:v>
      </x:c>
      <x:c r="Q1336" s="48" t="n">
        <x:v>18</x:v>
      </x:c>
      <x:c r="R1336" s="5" t="n">
        <x:v>4</x:v>
      </x:c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5" t="str">
        <x:v>ORD-00577</x:v>
      </x:c>
      <x:c r="B1337" s="43" t="n">
        <x:v>46196</x:v>
      </x:c>
      <x:c r="C1337" s="5" t="str">
        <x:v>CUST-0607</x:v>
      </x:c>
      <x:c r="D1337" s="5" t="str">
        <x:v>FD002</x:v>
      </x:c>
      <x:c r="E1337" s="5" t="str">
        <x:v>Jollof Rice &amp; Chicken</x:v>
      </x:c>
      <x:c r="F1337" s="5" t="str">
        <x:v>Rice Meals</x:v>
      </x:c>
      <x:c r="G1337" s="44" t="n">
        <x:v>2</x:v>
      </x:c>
      <x:c r="H1337" s="45" t="n">
        <x:v>2800</x:v>
      </x:c>
      <x:c r="I1337" s="46" t="n">
        <x:v>0</x:v>
      </x:c>
      <x:c r="J1337" s="47" t="n">
        <x:f>G1337*H1337*(1-I1337)</x:f>
        <x:v>5600</x:v>
      </x:c>
      <x:c r="K1337" s="47" t="n">
        <x:v>1450</x:v>
      </x:c>
      <x:c r="L1337" s="47" t="n">
        <x:f>G1337*K1337</x:f>
        <x:v>2900</x:v>
      </x:c>
      <x:c r="M1337" s="47" t="n">
        <x:f>J1337-L1337</x:f>
        <x:v>2700</x:v>
      </x:c>
      <x:c r="N1337" s="5" t="str">
        <x:v>Delivery</x:v>
      </x:c>
      <x:c r="O1337" s="5" t="str">
        <x:v>POS</x:v>
      </x:c>
      <x:c r="P1337" s="5" t="str">
        <x:v>Lunch</x:v>
      </x:c>
      <x:c r="Q1337" s="48" t="n">
        <x:v>15</x:v>
      </x:c>
      <x:c r="R1337" s="5" t="n">
        <x:v>4</x:v>
      </x:c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5" t="str">
        <x:v>ORD-00595</x:v>
      </x:c>
      <x:c r="B1338" s="43" t="n">
        <x:v>46196</x:v>
      </x:c>
      <x:c r="C1338" s="5" t="str">
        <x:v>CUST-0104</x:v>
      </x:c>
      <x:c r="D1338" s="5" t="str">
        <x:v>FD006</x:v>
      </x:c>
      <x:c r="E1338" s="5" t="str">
        <x:v>Eba &amp; Egusi Soup</x:v>
      </x:c>
      <x:c r="F1338" s="5" t="str">
        <x:v>Swallow</x:v>
      </x:c>
      <x:c r="G1338" s="44" t="n">
        <x:v>1</x:v>
      </x:c>
      <x:c r="H1338" s="45" t="n">
        <x:v>2600</x:v>
      </x:c>
      <x:c r="I1338" s="46" t="n">
        <x:v>0</x:v>
      </x:c>
      <x:c r="J1338" s="47" t="n">
        <x:f>G1338*H1338*(1-I1338)</x:f>
        <x:v>2600</x:v>
      </x:c>
      <x:c r="K1338" s="47" t="n">
        <x:v>1320</x:v>
      </x:c>
      <x:c r="L1338" s="47" t="n">
        <x:f>G1338*K1338</x:f>
        <x:v>1320</x:v>
      </x:c>
      <x:c r="M1338" s="47" t="n">
        <x:f>J1338-L1338</x:f>
        <x:v>1280</x:v>
      </x:c>
      <x:c r="N1338" s="5" t="str">
        <x:v>Takeaway</x:v>
      </x:c>
      <x:c r="O1338" s="5" t="str">
        <x:v>POS</x:v>
      </x:c>
      <x:c r="P1338" s="5" t="str">
        <x:v>Breakfast</x:v>
      </x:c>
      <x:c r="Q1338" s="48" t="n">
        <x:v>8</x:v>
      </x:c>
      <x:c r="R1338" s="5" t="n">
        <x:v>4</x:v>
      </x:c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5" t="str">
        <x:v>ORD-00693</x:v>
      </x:c>
      <x:c r="B1339" s="43" t="n">
        <x:v>46196</x:v>
      </x:c>
      <x:c r="C1339" s="5" t="str">
        <x:v>CUST-0056</x:v>
      </x:c>
      <x:c r="D1339" s="5" t="str">
        <x:v>FD005</x:v>
      </x:c>
      <x:c r="E1339" s="5" t="str">
        <x:v>Yam Porridge</x:v>
      </x:c>
      <x:c r="F1339" s="5" t="str">
        <x:v>Traditional Meals</x:v>
      </x:c>
      <x:c r="G1339" s="44" t="n">
        <x:v>1</x:v>
      </x:c>
      <x:c r="H1339" s="45" t="n">
        <x:v>2200</x:v>
      </x:c>
      <x:c r="I1339" s="46" t="n">
        <x:v>0</x:v>
      </x:c>
      <x:c r="J1339" s="47" t="n">
        <x:f>G1339*H1339*(1-I1339)</x:f>
        <x:v>2200</x:v>
      </x:c>
      <x:c r="K1339" s="47" t="n">
        <x:v>1050</x:v>
      </x:c>
      <x:c r="L1339" s="47" t="n">
        <x:f>G1339*K1339</x:f>
        <x:v>1050</x:v>
      </x:c>
      <x:c r="M1339" s="47" t="n">
        <x:f>J1339-L1339</x:f>
        <x:v>1150</x:v>
      </x:c>
      <x:c r="N1339" s="5" t="str">
        <x:v>Walk-in</x:v>
      </x:c>
      <x:c r="O1339" s="5" t="str">
        <x:v>Transfer</x:v>
      </x:c>
      <x:c r="P1339" s="5" t="str">
        <x:v>Breakfast</x:v>
      </x:c>
      <x:c r="Q1339" s="48" t="n">
        <x:v>10</x:v>
      </x:c>
      <x:c r="R1339" s="5" t="n">
        <x:v>4</x:v>
      </x:c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5" t="str">
        <x:v>ORD-01451</x:v>
      </x:c>
      <x:c r="B1340" s="43" t="n">
        <x:v>46196</x:v>
      </x:c>
      <x:c r="C1340" s="5" t="str">
        <x:v>CUST-0420</x:v>
      </x:c>
      <x:c r="D1340" s="5" t="str">
        <x:v>FD002</x:v>
      </x:c>
      <x:c r="E1340" s="5" t="str">
        <x:v>Jollof Rice &amp; Chicken</x:v>
      </x:c>
      <x:c r="F1340" s="5" t="str">
        <x:v>Rice Meals</x:v>
      </x:c>
      <x:c r="G1340" s="44" t="n">
        <x:v>3</x:v>
      </x:c>
      <x:c r="H1340" s="45" t="n">
        <x:v>2800</x:v>
      </x:c>
      <x:c r="I1340" s="46" t="n">
        <x:v>0</x:v>
      </x:c>
      <x:c r="J1340" s="47" t="n">
        <x:f>G1340*H1340*(1-I1340)</x:f>
        <x:v>8400</x:v>
      </x:c>
      <x:c r="K1340" s="47" t="n">
        <x:v>1450</x:v>
      </x:c>
      <x:c r="L1340" s="47" t="n">
        <x:f>G1340*K1340</x:f>
        <x:v>4350</x:v>
      </x:c>
      <x:c r="M1340" s="47" t="n">
        <x:f>J1340-L1340</x:f>
        <x:v>4050</x:v>
      </x:c>
      <x:c r="N1340" s="5" t="str">
        <x:v>Walk-in</x:v>
      </x:c>
      <x:c r="O1340" s="5" t="str">
        <x:v>POS</x:v>
      </x:c>
      <x:c r="P1340" s="5" t="str">
        <x:v>Dinner</x:v>
      </x:c>
      <x:c r="Q1340" s="48" t="n">
        <x:v>16</x:v>
      </x:c>
      <x:c r="R1340" s="5" t="n">
        <x:v>4</x:v>
      </x:c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5" t="str">
        <x:v>ORD-00332</x:v>
      </x:c>
      <x:c r="B1341" s="43" t="n">
        <x:v>46197</x:v>
      </x:c>
      <x:c r="C1341" s="5" t="str">
        <x:v>CUST-0213</x:v>
      </x:c>
      <x:c r="D1341" s="5" t="str">
        <x:v>FD012</x:v>
      </x:c>
      <x:c r="E1341" s="5" t="str">
        <x:v>Fried Plantain</x:v>
      </x:c>
      <x:c r="F1341" s="5" t="str">
        <x:v>Sides</x:v>
      </x:c>
      <x:c r="G1341" s="44" t="n">
        <x:v>2</x:v>
      </x:c>
      <x:c r="H1341" s="45" t="n">
        <x:v>700</x:v>
      </x:c>
      <x:c r="I1341" s="46" t="n">
        <x:v>0</x:v>
      </x:c>
      <x:c r="J1341" s="47" t="n">
        <x:f>G1341*H1341*(1-I1341)</x:f>
        <x:v>1400</x:v>
      </x:c>
      <x:c r="K1341" s="47" t="n">
        <x:v>300</x:v>
      </x:c>
      <x:c r="L1341" s="47" t="n">
        <x:f>G1341*K1341</x:f>
        <x:v>600</x:v>
      </x:c>
      <x:c r="M1341" s="47" t="n">
        <x:f>J1341-L1341</x:f>
        <x:v>800</x:v>
      </x:c>
      <x:c r="N1341" s="5" t="str">
        <x:v>Walk-in</x:v>
      </x:c>
      <x:c r="O1341" s="5" t="str">
        <x:v>Transfer</x:v>
      </x:c>
      <x:c r="P1341" s="5" t="str">
        <x:v>Lunch</x:v>
      </x:c>
      <x:c r="Q1341" s="48" t="n">
        <x:v>11</x:v>
      </x:c>
      <x:c r="R1341" s="5" t="n">
        <x:v>4</x:v>
      </x:c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5" t="str">
        <x:v>ORD-00719</x:v>
      </x:c>
      <x:c r="B1342" s="43" t="n">
        <x:v>46197</x:v>
      </x:c>
      <x:c r="C1342" s="5" t="str">
        <x:v>CUST-0545</x:v>
      </x:c>
      <x:c r="D1342" s="5" t="str">
        <x:v>FD002</x:v>
      </x:c>
      <x:c r="E1342" s="5" t="str">
        <x:v>Jollof Rice &amp; Chicken</x:v>
      </x:c>
      <x:c r="F1342" s="5" t="str">
        <x:v>Rice Meals</x:v>
      </x:c>
      <x:c r="G1342" s="44" t="n">
        <x:v>3</x:v>
      </x:c>
      <x:c r="H1342" s="45" t="n">
        <x:v>2800</x:v>
      </x:c>
      <x:c r="I1342" s="46" t="n">
        <x:v>0</x:v>
      </x:c>
      <x:c r="J1342" s="47" t="n">
        <x:f>G1342*H1342*(1-I1342)</x:f>
        <x:v>8400</x:v>
      </x:c>
      <x:c r="K1342" s="47" t="n">
        <x:v>1450</x:v>
      </x:c>
      <x:c r="L1342" s="47" t="n">
        <x:f>G1342*K1342</x:f>
        <x:v>4350</x:v>
      </x:c>
      <x:c r="M1342" s="47" t="n">
        <x:f>J1342-L1342</x:f>
        <x:v>4050</x:v>
      </x:c>
      <x:c r="N1342" s="5" t="str">
        <x:v>Takeaway</x:v>
      </x:c>
      <x:c r="O1342" s="5" t="str">
        <x:v>Transfer</x:v>
      </x:c>
      <x:c r="P1342" s="5" t="str">
        <x:v>Lunch</x:v>
      </x:c>
      <x:c r="Q1342" s="48" t="n">
        <x:v>13</x:v>
      </x:c>
      <x:c r="R1342" s="5" t="n">
        <x:v>5</x:v>
      </x:c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5" t="str">
        <x:v>ORD-00845</x:v>
      </x:c>
      <x:c r="B1343" s="43" t="n">
        <x:v>46197</x:v>
      </x:c>
      <x:c r="C1343" s="5" t="str">
        <x:v>CUST-0493</x:v>
      </x:c>
      <x:c r="D1343" s="5" t="str">
        <x:v>FD009</x:v>
      </x:c>
      <x:c r="E1343" s="5" t="str">
        <x:v>Moi Moi</x:v>
      </x:c>
      <x:c r="F1343" s="5" t="str">
        <x:v>Sides</x:v>
      </x:c>
      <x:c r="G1343" s="44" t="n">
        <x:v>1</x:v>
      </x:c>
      <x:c r="H1343" s="45" t="n">
        <x:v>900</x:v>
      </x:c>
      <x:c r="I1343" s="46" t="n">
        <x:v>0</x:v>
      </x:c>
      <x:c r="J1343" s="47" t="n">
        <x:f>G1343*H1343*(1-I1343)</x:f>
        <x:v>900</x:v>
      </x:c>
      <x:c r="K1343" s="47" t="n">
        <x:v>380</x:v>
      </x:c>
      <x:c r="L1343" s="47" t="n">
        <x:f>G1343*K1343</x:f>
        <x:v>380</x:v>
      </x:c>
      <x:c r="M1343" s="47" t="n">
        <x:f>J1343-L1343</x:f>
        <x:v>520</x:v>
      </x:c>
      <x:c r="N1343" s="5" t="str">
        <x:v>Delivery</x:v>
      </x:c>
      <x:c r="O1343" s="5" t="str">
        <x:v>Transfer</x:v>
      </x:c>
      <x:c r="P1343" s="5" t="str">
        <x:v>Dinner</x:v>
      </x:c>
      <x:c r="Q1343" s="48" t="n">
        <x:v>20</x:v>
      </x:c>
      <x:c r="R1343" s="5" t="n">
        <x:v>4</x:v>
      </x:c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5" t="str">
        <x:v>ORD-01252</x:v>
      </x:c>
      <x:c r="B1344" s="43" t="n">
        <x:v>46197</x:v>
      </x:c>
      <x:c r="C1344" s="5" t="str">
        <x:v>CUST-0210</x:v>
      </x:c>
      <x:c r="D1344" s="5" t="str">
        <x:v>FD001</x:v>
      </x:c>
      <x:c r="E1344" s="5" t="str">
        <x:v>White Rice &amp; Stew</x:v>
      </x:c>
      <x:c r="F1344" s="5" t="str">
        <x:v>Rice Meals</x:v>
      </x:c>
      <x:c r="G1344" s="44" t="n">
        <x:v>1</x:v>
      </x:c>
      <x:c r="H1344" s="45" t="n">
        <x:v>1800</x:v>
      </x:c>
      <x:c r="I1344" s="46" t="n">
        <x:v>0</x:v>
      </x:c>
      <x:c r="J1344" s="47" t="n">
        <x:f>G1344*H1344*(1-I1344)</x:f>
        <x:v>1800</x:v>
      </x:c>
      <x:c r="K1344" s="47" t="n">
        <x:v>820</x:v>
      </x:c>
      <x:c r="L1344" s="47" t="n">
        <x:f>G1344*K1344</x:f>
        <x:v>820</x:v>
      </x:c>
      <x:c r="M1344" s="47" t="n">
        <x:f>J1344-L1344</x:f>
        <x:v>980</x:v>
      </x:c>
      <x:c r="N1344" s="5" t="str">
        <x:v>Delivery</x:v>
      </x:c>
      <x:c r="O1344" s="5" t="str">
        <x:v>POS</x:v>
      </x:c>
      <x:c r="P1344" s="5" t="str">
        <x:v>Dinner</x:v>
      </x:c>
      <x:c r="Q1344" s="48" t="n">
        <x:v>18</x:v>
      </x:c>
      <x:c r="R1344" s="5" t="n">
        <x:v>3</x:v>
      </x:c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5" t="str">
        <x:v>ORD-01257</x:v>
      </x:c>
      <x:c r="B1345" s="43" t="n">
        <x:v>46197</x:v>
      </x:c>
      <x:c r="C1345" s="5" t="str">
        <x:v>CUST-0005</x:v>
      </x:c>
      <x:c r="D1345" s="5" t="str">
        <x:v>FD002</x:v>
      </x:c>
      <x:c r="E1345" s="5" t="str">
        <x:v>Jollof Rice &amp; Chicken</x:v>
      </x:c>
      <x:c r="F1345" s="5" t="str">
        <x:v>Rice Meals</x:v>
      </x:c>
      <x:c r="G1345" s="44" t="n">
        <x:v>2</x:v>
      </x:c>
      <x:c r="H1345" s="45" t="n">
        <x:v>2800</x:v>
      </x:c>
      <x:c r="I1345" s="46" t="n">
        <x:v>0</x:v>
      </x:c>
      <x:c r="J1345" s="47" t="n">
        <x:f>G1345*H1345*(1-I1345)</x:f>
        <x:v>5600</x:v>
      </x:c>
      <x:c r="K1345" s="47" t="n">
        <x:v>1450</x:v>
      </x:c>
      <x:c r="L1345" s="47" t="n">
        <x:f>G1345*K1345</x:f>
        <x:v>2900</x:v>
      </x:c>
      <x:c r="M1345" s="47" t="n">
        <x:f>J1345-L1345</x:f>
        <x:v>2700</x:v>
      </x:c>
      <x:c r="N1345" s="5" t="str">
        <x:v>Walk-in</x:v>
      </x:c>
      <x:c r="O1345" s="5" t="str">
        <x:v>Transfer</x:v>
      </x:c>
      <x:c r="P1345" s="5" t="str">
        <x:v>Dinner</x:v>
      </x:c>
      <x:c r="Q1345" s="48" t="n">
        <x:v>16</x:v>
      </x:c>
      <x:c r="R1345" s="5" t="n">
        <x:v>3</x:v>
      </x:c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5" t="str">
        <x:v>ORD-01324</x:v>
      </x:c>
      <x:c r="B1346" s="43" t="n">
        <x:v>46197</x:v>
      </x:c>
      <x:c r="C1346" s="5" t="str">
        <x:v>CUST-0377</x:v>
      </x:c>
      <x:c r="D1346" s="5" t="str">
        <x:v>FD002</x:v>
      </x:c>
      <x:c r="E1346" s="5" t="str">
        <x:v>Jollof Rice &amp; Chicken</x:v>
      </x:c>
      <x:c r="F1346" s="5" t="str">
        <x:v>Rice Meals</x:v>
      </x:c>
      <x:c r="G1346" s="44" t="n">
        <x:v>2</x:v>
      </x:c>
      <x:c r="H1346" s="45" t="n">
        <x:v>2800</x:v>
      </x:c>
      <x:c r="I1346" s="46" t="n">
        <x:v>0</x:v>
      </x:c>
      <x:c r="J1346" s="47" t="n">
        <x:f>G1346*H1346*(1-I1346)</x:f>
        <x:v>5600</x:v>
      </x:c>
      <x:c r="K1346" s="47" t="n">
        <x:v>1450</x:v>
      </x:c>
      <x:c r="L1346" s="47" t="n">
        <x:f>G1346*K1346</x:f>
        <x:v>2900</x:v>
      </x:c>
      <x:c r="M1346" s="47" t="n">
        <x:f>J1346-L1346</x:f>
        <x:v>2700</x:v>
      </x:c>
      <x:c r="N1346" s="5" t="str">
        <x:v>Delivery</x:v>
      </x:c>
      <x:c r="O1346" s="5" t="str">
        <x:v>POS</x:v>
      </x:c>
      <x:c r="P1346" s="5" t="str">
        <x:v>Lunch</x:v>
      </x:c>
      <x:c r="Q1346" s="48" t="n">
        <x:v>14</x:v>
      </x:c>
      <x:c r="R1346" s="5" t="n">
        <x:v>5</x:v>
      </x:c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5" t="str">
        <x:v>ORD-01469</x:v>
      </x:c>
      <x:c r="B1347" s="43" t="n">
        <x:v>46197</x:v>
      </x:c>
      <x:c r="C1347" s="5" t="str">
        <x:v>CUST-0269</x:v>
      </x:c>
      <x:c r="D1347" s="5" t="str">
        <x:v>FD003</x:v>
      </x:c>
      <x:c r="E1347" s="5" t="str">
        <x:v>Fried Rice &amp; Chicken</x:v>
      </x:c>
      <x:c r="F1347" s="5" t="str">
        <x:v>Rice Meals</x:v>
      </x:c>
      <x:c r="G1347" s="44" t="n">
        <x:v>2</x:v>
      </x:c>
      <x:c r="H1347" s="45" t="n">
        <x:v>3000</x:v>
      </x:c>
      <x:c r="I1347" s="46" t="n">
        <x:v>0</x:v>
      </x:c>
      <x:c r="J1347" s="47" t="n">
        <x:f>G1347*H1347*(1-I1347)</x:f>
        <x:v>6000</x:v>
      </x:c>
      <x:c r="K1347" s="47" t="n">
        <x:v>1580</x:v>
      </x:c>
      <x:c r="L1347" s="47" t="n">
        <x:f>G1347*K1347</x:f>
        <x:v>3160</x:v>
      </x:c>
      <x:c r="M1347" s="47" t="n">
        <x:f>J1347-L1347</x:f>
        <x:v>2840</x:v>
      </x:c>
      <x:c r="N1347" s="5" t="str">
        <x:v>Walk-in</x:v>
      </x:c>
      <x:c r="O1347" s="5" t="str">
        <x:v>Transfer</x:v>
      </x:c>
      <x:c r="P1347" s="5" t="str">
        <x:v>Lunch</x:v>
      </x:c>
      <x:c r="Q1347" s="48" t="n">
        <x:v>13</x:v>
      </x:c>
      <x:c r="R1347" s="5" t="n">
        <x:v>4</x:v>
      </x:c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5" t="str">
        <x:v>ORD-01609</x:v>
      </x:c>
      <x:c r="B1348" s="43" t="n">
        <x:v>46197</x:v>
      </x:c>
      <x:c r="C1348" s="5" t="str">
        <x:v>CUST-0312</x:v>
      </x:c>
      <x:c r="D1348" s="5" t="str">
        <x:v>FD002</x:v>
      </x:c>
      <x:c r="E1348" s="5" t="str">
        <x:v>Jollof Rice &amp; Chicken</x:v>
      </x:c>
      <x:c r="F1348" s="5" t="str">
        <x:v>Rice Meals</x:v>
      </x:c>
      <x:c r="G1348" s="44" t="n">
        <x:v>2</x:v>
      </x:c>
      <x:c r="H1348" s="45" t="n">
        <x:v>2800</x:v>
      </x:c>
      <x:c r="I1348" s="46" t="n">
        <x:v>0</x:v>
      </x:c>
      <x:c r="J1348" s="47" t="n">
        <x:f>G1348*H1348*(1-I1348)</x:f>
        <x:v>5600</x:v>
      </x:c>
      <x:c r="K1348" s="47" t="n">
        <x:v>1450</x:v>
      </x:c>
      <x:c r="L1348" s="47" t="n">
        <x:f>G1348*K1348</x:f>
        <x:v>2900</x:v>
      </x:c>
      <x:c r="M1348" s="47" t="n">
        <x:f>J1348-L1348</x:f>
        <x:v>2700</x:v>
      </x:c>
      <x:c r="N1348" s="5" t="str">
        <x:v>Walk-in</x:v>
      </x:c>
      <x:c r="O1348" s="5" t="str">
        <x:v>Transfer</x:v>
      </x:c>
      <x:c r="P1348" s="5" t="str">
        <x:v>Breakfast</x:v>
      </x:c>
      <x:c r="Q1348" s="48" t="n">
        <x:v>10</x:v>
      </x:c>
      <x:c r="R1348" s="5" t="n">
        <x:v>4</x:v>
      </x:c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5" t="str">
        <x:v>ORD-00170</x:v>
      </x:c>
      <x:c r="B1349" s="43" t="n">
        <x:v>46198</x:v>
      </x:c>
      <x:c r="C1349" s="5" t="str">
        <x:v>CUST-0021</x:v>
      </x:c>
      <x:c r="D1349" s="5" t="str">
        <x:v>FD006</x:v>
      </x:c>
      <x:c r="E1349" s="5" t="str">
        <x:v>Eba &amp; Egusi Soup</x:v>
      </x:c>
      <x:c r="F1349" s="5" t="str">
        <x:v>Swallow</x:v>
      </x:c>
      <x:c r="G1349" s="44" t="n">
        <x:v>3</x:v>
      </x:c>
      <x:c r="H1349" s="45" t="n">
        <x:v>2600</x:v>
      </x:c>
      <x:c r="I1349" s="46" t="n">
        <x:v>0</x:v>
      </x:c>
      <x:c r="J1349" s="47" t="n">
        <x:f>G1349*H1349*(1-I1349)</x:f>
        <x:v>7800</x:v>
      </x:c>
      <x:c r="K1349" s="47" t="n">
        <x:v>1320</x:v>
      </x:c>
      <x:c r="L1349" s="47" t="n">
        <x:f>G1349*K1349</x:f>
        <x:v>3960</x:v>
      </x:c>
      <x:c r="M1349" s="47" t="n">
        <x:f>J1349-L1349</x:f>
        <x:v>3840</x:v>
      </x:c>
      <x:c r="N1349" s="5" t="str">
        <x:v>Walk-in</x:v>
      </x:c>
      <x:c r="O1349" s="5" t="str">
        <x:v>POS</x:v>
      </x:c>
      <x:c r="P1349" s="5" t="str">
        <x:v>Breakfast</x:v>
      </x:c>
      <x:c r="Q1349" s="48" t="n">
        <x:v>9</x:v>
      </x:c>
      <x:c r="R1349" s="5" t="n">
        <x:v>5</x:v>
      </x:c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5" t="str">
        <x:v>ORD-00318</x:v>
      </x:c>
      <x:c r="B1350" s="43" t="n">
        <x:v>46198</x:v>
      </x:c>
      <x:c r="C1350" s="5" t="str">
        <x:v>CUST-0638</x:v>
      </x:c>
      <x:c r="D1350" s="5" t="str">
        <x:v>FD006</x:v>
      </x:c>
      <x:c r="E1350" s="5" t="str">
        <x:v>Eba &amp; Egusi Soup</x:v>
      </x:c>
      <x:c r="F1350" s="5" t="str">
        <x:v>Swallow</x:v>
      </x:c>
      <x:c r="G1350" s="44" t="n">
        <x:v>3</x:v>
      </x:c>
      <x:c r="H1350" s="45" t="n">
        <x:v>2600</x:v>
      </x:c>
      <x:c r="I1350" s="46" t="n">
        <x:v>0</x:v>
      </x:c>
      <x:c r="J1350" s="47" t="n">
        <x:f>G1350*H1350*(1-I1350)</x:f>
        <x:v>7800</x:v>
      </x:c>
      <x:c r="K1350" s="47" t="n">
        <x:v>1320</x:v>
      </x:c>
      <x:c r="L1350" s="47" t="n">
        <x:f>G1350*K1350</x:f>
        <x:v>3960</x:v>
      </x:c>
      <x:c r="M1350" s="47" t="n">
        <x:f>J1350-L1350</x:f>
        <x:v>3840</x:v>
      </x:c>
      <x:c r="N1350" s="5" t="str">
        <x:v>Delivery</x:v>
      </x:c>
      <x:c r="O1350" s="5" t="str">
        <x:v>POS</x:v>
      </x:c>
      <x:c r="P1350" s="5" t="str">
        <x:v>Breakfast</x:v>
      </x:c>
      <x:c r="Q1350" s="48" t="n">
        <x:v>8</x:v>
      </x:c>
      <x:c r="R1350" s="5" t="n">
        <x:v>5</x:v>
      </x:c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5" t="str">
        <x:v>ORD-00656</x:v>
      </x:c>
      <x:c r="B1351" s="43" t="n">
        <x:v>46198</x:v>
      </x:c>
      <x:c r="C1351" s="5" t="str">
        <x:v>CUST-0256</x:v>
      </x:c>
      <x:c r="D1351" s="5" t="str">
        <x:v>FD002</x:v>
      </x:c>
      <x:c r="E1351" s="5" t="str">
        <x:v>Jollof Rice &amp; Chicken</x:v>
      </x:c>
      <x:c r="F1351" s="5" t="str">
        <x:v>Rice Meals</x:v>
      </x:c>
      <x:c r="G1351" s="44" t="n">
        <x:v>2</x:v>
      </x:c>
      <x:c r="H1351" s="45" t="n">
        <x:v>2800</x:v>
      </x:c>
      <x:c r="I1351" s="46" t="n">
        <x:v>0</x:v>
      </x:c>
      <x:c r="J1351" s="47" t="n">
        <x:f>G1351*H1351*(1-I1351)</x:f>
        <x:v>5600</x:v>
      </x:c>
      <x:c r="K1351" s="47" t="n">
        <x:v>1450</x:v>
      </x:c>
      <x:c r="L1351" s="47" t="n">
        <x:f>G1351*K1351</x:f>
        <x:v>2900</x:v>
      </x:c>
      <x:c r="M1351" s="47" t="n">
        <x:f>J1351-L1351</x:f>
        <x:v>2700</x:v>
      </x:c>
      <x:c r="N1351" s="5" t="str">
        <x:v>Takeaway</x:v>
      </x:c>
      <x:c r="O1351" s="5" t="str">
        <x:v>Transfer</x:v>
      </x:c>
      <x:c r="P1351" s="5" t="str">
        <x:v>Lunch</x:v>
      </x:c>
      <x:c r="Q1351" s="48" t="n">
        <x:v>15</x:v>
      </x:c>
      <x:c r="R1351" s="5" t="n">
        <x:v>5</x:v>
      </x:c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5" t="str">
        <x:v>ORD-01546</x:v>
      </x:c>
      <x:c r="B1352" s="43" t="n">
        <x:v>46198</x:v>
      </x:c>
      <x:c r="C1352" s="5" t="str">
        <x:v>CUST-0525</x:v>
      </x:c>
      <x:c r="D1352" s="5" t="str">
        <x:v>FD007</x:v>
      </x:c>
      <x:c r="E1352" s="5" t="str">
        <x:v>Amala &amp; Ewedu</x:v>
      </x:c>
      <x:c r="F1352" s="5" t="str">
        <x:v>Swallow</x:v>
      </x:c>
      <x:c r="G1352" s="44" t="n">
        <x:v>4</x:v>
      </x:c>
      <x:c r="H1352" s="45" t="n">
        <x:v>2500</x:v>
      </x:c>
      <x:c r="I1352" s="46" t="n">
        <x:v>0</x:v>
      </x:c>
      <x:c r="J1352" s="47" t="n">
        <x:f>G1352*H1352*(1-I1352)</x:f>
        <x:v>10000</x:v>
      </x:c>
      <x:c r="K1352" s="47" t="n">
        <x:v>1250</x:v>
      </x:c>
      <x:c r="L1352" s="47" t="n">
        <x:f>G1352*K1352</x:f>
        <x:v>5000</x:v>
      </x:c>
      <x:c r="M1352" s="47" t="n">
        <x:f>J1352-L1352</x:f>
        <x:v>5000</x:v>
      </x:c>
      <x:c r="N1352" s="5" t="str">
        <x:v>Walk-in</x:v>
      </x:c>
      <x:c r="O1352" s="5" t="str">
        <x:v>Transfer</x:v>
      </x:c>
      <x:c r="P1352" s="5" t="str">
        <x:v>Breakfast</x:v>
      </x:c>
      <x:c r="Q1352" s="48" t="n">
        <x:v>9</x:v>
      </x:c>
      <x:c r="R1352" s="5" t="n">
        <x:v>5</x:v>
      </x:c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5" t="str">
        <x:v>ORD-00681</x:v>
      </x:c>
      <x:c r="B1353" s="43" t="n">
        <x:v>46199</x:v>
      </x:c>
      <x:c r="C1353" s="5" t="str">
        <x:v>CUST-0046</x:v>
      </x:c>
      <x:c r="D1353" s="5" t="str">
        <x:v>FD002</x:v>
      </x:c>
      <x:c r="E1353" s="5" t="str">
        <x:v>Jollof Rice &amp; Chicken</x:v>
      </x:c>
      <x:c r="F1353" s="5" t="str">
        <x:v>Rice Meals</x:v>
      </x:c>
      <x:c r="G1353" s="44" t="n">
        <x:v>2</x:v>
      </x:c>
      <x:c r="H1353" s="45" t="n">
        <x:v>2800</x:v>
      </x:c>
      <x:c r="I1353" s="46" t="n">
        <x:v>0</x:v>
      </x:c>
      <x:c r="J1353" s="47" t="n">
        <x:f>G1353*H1353*(1-I1353)</x:f>
        <x:v>5600</x:v>
      </x:c>
      <x:c r="K1353" s="47" t="n">
        <x:v>1450</x:v>
      </x:c>
      <x:c r="L1353" s="47" t="n">
        <x:f>G1353*K1353</x:f>
        <x:v>2900</x:v>
      </x:c>
      <x:c r="M1353" s="47" t="n">
        <x:f>J1353-L1353</x:f>
        <x:v>2700</x:v>
      </x:c>
      <x:c r="N1353" s="5" t="str">
        <x:v>Takeaway</x:v>
      </x:c>
      <x:c r="O1353" s="5" t="str">
        <x:v>Transfer</x:v>
      </x:c>
      <x:c r="P1353" s="5" t="str">
        <x:v>Lunch</x:v>
      </x:c>
      <x:c r="Q1353" s="48" t="n">
        <x:v>12</x:v>
      </x:c>
      <x:c r="R1353" s="5" t="n">
        <x:v>5</x:v>
      </x:c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5" t="str">
        <x:v>ORD-00923</x:v>
      </x:c>
      <x:c r="B1354" s="43" t="n">
        <x:v>46199</x:v>
      </x:c>
      <x:c r="C1354" s="5" t="str">
        <x:v>CUST-0268</x:v>
      </x:c>
      <x:c r="D1354" s="5" t="str">
        <x:v>FD006</x:v>
      </x:c>
      <x:c r="E1354" s="5" t="str">
        <x:v>Eba &amp; Egusi Soup</x:v>
      </x:c>
      <x:c r="F1354" s="5" t="str">
        <x:v>Swallow</x:v>
      </x:c>
      <x:c r="G1354" s="44" t="n">
        <x:v>3</x:v>
      </x:c>
      <x:c r="H1354" s="45" t="n">
        <x:v>2600</x:v>
      </x:c>
      <x:c r="I1354" s="46" t="n">
        <x:v>0</x:v>
      </x:c>
      <x:c r="J1354" s="47" t="n">
        <x:f>G1354*H1354*(1-I1354)</x:f>
        <x:v>7800</x:v>
      </x:c>
      <x:c r="K1354" s="47" t="n">
        <x:v>1320</x:v>
      </x:c>
      <x:c r="L1354" s="47" t="n">
        <x:f>G1354*K1354</x:f>
        <x:v>3960</x:v>
      </x:c>
      <x:c r="M1354" s="47" t="n">
        <x:f>J1354-L1354</x:f>
        <x:v>3840</x:v>
      </x:c>
      <x:c r="N1354" s="5" t="str">
        <x:v>Delivery</x:v>
      </x:c>
      <x:c r="O1354" s="5" t="str">
        <x:v>POS</x:v>
      </x:c>
      <x:c r="P1354" s="5" t="str">
        <x:v>Dinner</x:v>
      </x:c>
      <x:c r="Q1354" s="48" t="n">
        <x:v>17</x:v>
      </x:c>
      <x:c r="R1354" s="5" t="n">
        <x:v>5</x:v>
      </x:c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5" t="str">
        <x:v>ORD-00925</x:v>
      </x:c>
      <x:c r="B1355" s="43" t="n">
        <x:v>46199</x:v>
      </x:c>
      <x:c r="C1355" s="5" t="str">
        <x:v>CUST-0025</x:v>
      </x:c>
      <x:c r="D1355" s="5" t="str">
        <x:v>FD004</x:v>
      </x:c>
      <x:c r="E1355" s="5" t="str">
        <x:v>Beans &amp; Plantain</x:v>
      </x:c>
      <x:c r="F1355" s="5" t="str">
        <x:v>Traditional Meals</x:v>
      </x:c>
      <x:c r="G1355" s="44" t="n">
        <x:v>4</x:v>
      </x:c>
      <x:c r="H1355" s="45" t="n">
        <x:v>2000</x:v>
      </x:c>
      <x:c r="I1355" s="46" t="n">
        <x:v>0</x:v>
      </x:c>
      <x:c r="J1355" s="47" t="n">
        <x:f>G1355*H1355*(1-I1355)</x:f>
        <x:v>8000</x:v>
      </x:c>
      <x:c r="K1355" s="47" t="n">
        <x:v>960</x:v>
      </x:c>
      <x:c r="L1355" s="47" t="n">
        <x:f>G1355*K1355</x:f>
        <x:v>3840</x:v>
      </x:c>
      <x:c r="M1355" s="47" t="n">
        <x:f>J1355-L1355</x:f>
        <x:v>4160</x:v>
      </x:c>
      <x:c r="N1355" s="5" t="str">
        <x:v>Walk-in</x:v>
      </x:c>
      <x:c r="O1355" s="5" t="str">
        <x:v>Cash</x:v>
      </x:c>
      <x:c r="P1355" s="5" t="str">
        <x:v>Lunch</x:v>
      </x:c>
      <x:c r="Q1355" s="48" t="n">
        <x:v>12</x:v>
      </x:c>
      <x:c r="R1355" s="5" t="n">
        <x:v>5</x:v>
      </x:c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5" t="str">
        <x:v>ORD-01491</x:v>
      </x:c>
      <x:c r="B1356" s="43" t="n">
        <x:v>46199</x:v>
      </x:c>
      <x:c r="C1356" s="5" t="str">
        <x:v>CUST-0318</x:v>
      </x:c>
      <x:c r="D1356" s="5" t="str">
        <x:v>FD004</x:v>
      </x:c>
      <x:c r="E1356" s="5" t="str">
        <x:v>Beans &amp; Plantain</x:v>
      </x:c>
      <x:c r="F1356" s="5" t="str">
        <x:v>Traditional Meals</x:v>
      </x:c>
      <x:c r="G1356" s="44" t="n">
        <x:v>4</x:v>
      </x:c>
      <x:c r="H1356" s="45" t="n">
        <x:v>2000</x:v>
      </x:c>
      <x:c r="I1356" s="46" t="n">
        <x:v>0</x:v>
      </x:c>
      <x:c r="J1356" s="47" t="n">
        <x:f>G1356*H1356*(1-I1356)</x:f>
        <x:v>8000</x:v>
      </x:c>
      <x:c r="K1356" s="47" t="n">
        <x:v>960</x:v>
      </x:c>
      <x:c r="L1356" s="47" t="n">
        <x:f>G1356*K1356</x:f>
        <x:v>3840</x:v>
      </x:c>
      <x:c r="M1356" s="47" t="n">
        <x:f>J1356-L1356</x:f>
        <x:v>4160</x:v>
      </x:c>
      <x:c r="N1356" s="5" t="str">
        <x:v>Delivery</x:v>
      </x:c>
      <x:c r="O1356" s="5" t="str">
        <x:v>POS</x:v>
      </x:c>
      <x:c r="P1356" s="5" t="str">
        <x:v>Lunch</x:v>
      </x:c>
      <x:c r="Q1356" s="48" t="n">
        <x:v>11</x:v>
      </x:c>
      <x:c r="R1356" s="5" t="n">
        <x:v>4</x:v>
      </x:c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5" t="str">
        <x:v>ORD-00121</x:v>
      </x:c>
      <x:c r="B1357" s="43" t="n">
        <x:v>46200</x:v>
      </x:c>
      <x:c r="C1357" s="5" t="str">
        <x:v>CUST-0256</x:v>
      </x:c>
      <x:c r="D1357" s="5" t="str">
        <x:v>FD008</x:v>
      </x:c>
      <x:c r="E1357" s="5" t="str">
        <x:v>Pounded Yam &amp; Vegetable Soup</x:v>
      </x:c>
      <x:c r="F1357" s="5" t="str">
        <x:v>Swallow</x:v>
      </x:c>
      <x:c r="G1357" s="44" t="n">
        <x:v>3</x:v>
      </x:c>
      <x:c r="H1357" s="45" t="n">
        <x:v>3200</x:v>
      </x:c>
      <x:c r="I1357" s="46" t="n">
        <x:v>0</x:v>
      </x:c>
      <x:c r="J1357" s="47" t="n">
        <x:f>G1357*H1357*(1-I1357)</x:f>
        <x:v>9600</x:v>
      </x:c>
      <x:c r="K1357" s="47" t="n">
        <x:v>1710</x:v>
      </x:c>
      <x:c r="L1357" s="47" t="n">
        <x:f>G1357*K1357</x:f>
        <x:v>5130</x:v>
      </x:c>
      <x:c r="M1357" s="47" t="n">
        <x:f>J1357-L1357</x:f>
        <x:v>4470</x:v>
      </x:c>
      <x:c r="N1357" s="5" t="str">
        <x:v>Walk-in</x:v>
      </x:c>
      <x:c r="O1357" s="5" t="str">
        <x:v>Cash</x:v>
      </x:c>
      <x:c r="P1357" s="5" t="str">
        <x:v>Lunch</x:v>
      </x:c>
      <x:c r="Q1357" s="48" t="n">
        <x:v>15</x:v>
      </x:c>
      <x:c r="R1357" s="5" t="n">
        <x:v>4</x:v>
      </x:c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5" t="str">
        <x:v>ORD-00295</x:v>
      </x:c>
      <x:c r="B1358" s="43" t="n">
        <x:v>46200</x:v>
      </x:c>
      <x:c r="C1358" s="5" t="str">
        <x:v>CUST-0393</x:v>
      </x:c>
      <x:c r="D1358" s="5" t="str">
        <x:v>FD001</x:v>
      </x:c>
      <x:c r="E1358" s="5" t="str">
        <x:v>White Rice &amp; Stew</x:v>
      </x:c>
      <x:c r="F1358" s="5" t="str">
        <x:v>Rice Meals</x:v>
      </x:c>
      <x:c r="G1358" s="44" t="n">
        <x:v>4</x:v>
      </x:c>
      <x:c r="H1358" s="45" t="n">
        <x:v>1800</x:v>
      </x:c>
      <x:c r="I1358" s="46" t="n">
        <x:v>0</x:v>
      </x:c>
      <x:c r="J1358" s="47" t="n">
        <x:f>G1358*H1358*(1-I1358)</x:f>
        <x:v>7200</x:v>
      </x:c>
      <x:c r="K1358" s="47" t="n">
        <x:v>820</x:v>
      </x:c>
      <x:c r="L1358" s="47" t="n">
        <x:f>G1358*K1358</x:f>
        <x:v>3280</x:v>
      </x:c>
      <x:c r="M1358" s="47" t="n">
        <x:f>J1358-L1358</x:f>
        <x:v>3920</x:v>
      </x:c>
      <x:c r="N1358" s="5" t="str">
        <x:v>Takeaway</x:v>
      </x:c>
      <x:c r="O1358" s="5" t="str">
        <x:v>POS</x:v>
      </x:c>
      <x:c r="P1358" s="5" t="str">
        <x:v>Lunch</x:v>
      </x:c>
      <x:c r="Q1358" s="48" t="n">
        <x:v>15</x:v>
      </x:c>
      <x:c r="R1358" s="5" t="n">
        <x:v>4</x:v>
      </x:c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5" t="str">
        <x:v>ORD-00481</x:v>
      </x:c>
      <x:c r="B1359" s="43" t="n">
        <x:v>46200</x:v>
      </x:c>
      <x:c r="C1359" s="5" t="str">
        <x:v>CUST-0078</x:v>
      </x:c>
      <x:c r="D1359" s="5" t="str">
        <x:v>FD001</x:v>
      </x:c>
      <x:c r="E1359" s="5" t="str">
        <x:v>White Rice &amp; Stew</x:v>
      </x:c>
      <x:c r="F1359" s="5" t="str">
        <x:v>Rice Meals</x:v>
      </x:c>
      <x:c r="G1359" s="44" t="n">
        <x:v>3</x:v>
      </x:c>
      <x:c r="H1359" s="45" t="n">
        <x:v>1800</x:v>
      </x:c>
      <x:c r="I1359" s="46" t="n">
        <x:v>0</x:v>
      </x:c>
      <x:c r="J1359" s="47" t="n">
        <x:f>G1359*H1359*(1-I1359)</x:f>
        <x:v>5400</x:v>
      </x:c>
      <x:c r="K1359" s="47" t="n">
        <x:v>820</x:v>
      </x:c>
      <x:c r="L1359" s="47" t="n">
        <x:f>G1359*K1359</x:f>
        <x:v>2460</x:v>
      </x:c>
      <x:c r="M1359" s="47" t="n">
        <x:f>J1359-L1359</x:f>
        <x:v>2940</x:v>
      </x:c>
      <x:c r="N1359" s="5" t="str">
        <x:v>Delivery</x:v>
      </x:c>
      <x:c r="O1359" s="5" t="str">
        <x:v>Cash</x:v>
      </x:c>
      <x:c r="P1359" s="5" t="str">
        <x:v>Dinner</x:v>
      </x:c>
      <x:c r="Q1359" s="48" t="n">
        <x:v>17</x:v>
      </x:c>
      <x:c r="R1359" s="5" t="n">
        <x:v>4</x:v>
      </x:c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5" t="str">
        <x:v>ORD-00494</x:v>
      </x:c>
      <x:c r="B1360" s="43" t="n">
        <x:v>46200</x:v>
      </x:c>
      <x:c r="C1360" s="5" t="str">
        <x:v>CUST-0110</x:v>
      </x:c>
      <x:c r="D1360" s="5" t="str">
        <x:v>FD003</x:v>
      </x:c>
      <x:c r="E1360" s="5" t="str">
        <x:v>Fried Rice &amp; Chicken</x:v>
      </x:c>
      <x:c r="F1360" s="5" t="str">
        <x:v>Rice Meals</x:v>
      </x:c>
      <x:c r="G1360" s="44" t="n">
        <x:v>2</x:v>
      </x:c>
      <x:c r="H1360" s="45" t="n">
        <x:v>3000</x:v>
      </x:c>
      <x:c r="I1360" s="46" t="n">
        <x:v>0</x:v>
      </x:c>
      <x:c r="J1360" s="47" t="n">
        <x:f>G1360*H1360*(1-I1360)</x:f>
        <x:v>6000</x:v>
      </x:c>
      <x:c r="K1360" s="47" t="n">
        <x:v>1580</x:v>
      </x:c>
      <x:c r="L1360" s="47" t="n">
        <x:f>G1360*K1360</x:f>
        <x:v>3160</x:v>
      </x:c>
      <x:c r="M1360" s="47" t="n">
        <x:f>J1360-L1360</x:f>
        <x:v>2840</x:v>
      </x:c>
      <x:c r="N1360" s="5" t="str">
        <x:v>Delivery</x:v>
      </x:c>
      <x:c r="O1360" s="5" t="str">
        <x:v>Cash</x:v>
      </x:c>
      <x:c r="P1360" s="5" t="str">
        <x:v>Lunch</x:v>
      </x:c>
      <x:c r="Q1360" s="48" t="n">
        <x:v>14</x:v>
      </x:c>
      <x:c r="R1360" s="5" t="n">
        <x:v>4</x:v>
      </x:c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5" t="str">
        <x:v>ORD-00790</x:v>
      </x:c>
      <x:c r="B1361" s="43" t="n">
        <x:v>46200</x:v>
      </x:c>
      <x:c r="C1361" s="5" t="str">
        <x:v>CUST-0464</x:v>
      </x:c>
      <x:c r="D1361" s="5" t="str">
        <x:v>FD001</x:v>
      </x:c>
      <x:c r="E1361" s="5" t="str">
        <x:v>White Rice &amp; Stew</x:v>
      </x:c>
      <x:c r="F1361" s="5" t="str">
        <x:v>Rice Meals</x:v>
      </x:c>
      <x:c r="G1361" s="44" t="n">
        <x:v>2</x:v>
      </x:c>
      <x:c r="H1361" s="45" t="n">
        <x:v>1800</x:v>
      </x:c>
      <x:c r="I1361" s="46" t="n">
        <x:v>0</x:v>
      </x:c>
      <x:c r="J1361" s="47" t="n">
        <x:f>G1361*H1361*(1-I1361)</x:f>
        <x:v>3600</x:v>
      </x:c>
      <x:c r="K1361" s="47" t="n">
        <x:v>820</x:v>
      </x:c>
      <x:c r="L1361" s="47" t="n">
        <x:f>G1361*K1361</x:f>
        <x:v>1640</x:v>
      </x:c>
      <x:c r="M1361" s="47" t="n">
        <x:f>J1361-L1361</x:f>
        <x:v>1960</x:v>
      </x:c>
      <x:c r="N1361" s="5" t="str">
        <x:v>Takeaway</x:v>
      </x:c>
      <x:c r="O1361" s="5" t="str">
        <x:v>POS</x:v>
      </x:c>
      <x:c r="P1361" s="5" t="str">
        <x:v>Lunch</x:v>
      </x:c>
      <x:c r="Q1361" s="48" t="n">
        <x:v>14</x:v>
      </x:c>
      <x:c r="R1361" s="5" t="n">
        <x:v>4</x:v>
      </x:c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5" t="str">
        <x:v>ORD-00853</x:v>
      </x:c>
      <x:c r="B1362" s="43" t="n">
        <x:v>46200</x:v>
      </x:c>
      <x:c r="C1362" s="5" t="str">
        <x:v>CUST-0091</x:v>
      </x:c>
      <x:c r="D1362" s="5" t="str">
        <x:v>FD001</x:v>
      </x:c>
      <x:c r="E1362" s="5" t="str">
        <x:v>White Rice &amp; Stew</x:v>
      </x:c>
      <x:c r="F1362" s="5" t="str">
        <x:v>Rice Meals</x:v>
      </x:c>
      <x:c r="G1362" s="44" t="n">
        <x:v>3</x:v>
      </x:c>
      <x:c r="H1362" s="45" t="n">
        <x:v>1800</x:v>
      </x:c>
      <x:c r="I1362" s="46" t="n">
        <x:v>0</x:v>
      </x:c>
      <x:c r="J1362" s="47" t="n">
        <x:f>G1362*H1362*(1-I1362)</x:f>
        <x:v>5400</x:v>
      </x:c>
      <x:c r="K1362" s="47" t="n">
        <x:v>820</x:v>
      </x:c>
      <x:c r="L1362" s="47" t="n">
        <x:f>G1362*K1362</x:f>
        <x:v>2460</x:v>
      </x:c>
      <x:c r="M1362" s="47" t="n">
        <x:f>J1362-L1362</x:f>
        <x:v>2940</x:v>
      </x:c>
      <x:c r="N1362" s="5" t="str">
        <x:v>Walk-in</x:v>
      </x:c>
      <x:c r="O1362" s="5" t="str">
        <x:v>POS</x:v>
      </x:c>
      <x:c r="P1362" s="5" t="str">
        <x:v>Lunch</x:v>
      </x:c>
      <x:c r="Q1362" s="48" t="n">
        <x:v>13</x:v>
      </x:c>
      <x:c r="R1362" s="5" t="n">
        <x:v>5</x:v>
      </x:c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5" t="str">
        <x:v>ORD-01036</x:v>
      </x:c>
      <x:c r="B1363" s="43" t="n">
        <x:v>46200</x:v>
      </x:c>
      <x:c r="C1363" s="5" t="str">
        <x:v>CUST-0453</x:v>
      </x:c>
      <x:c r="D1363" s="5" t="str">
        <x:v>FD007</x:v>
      </x:c>
      <x:c r="E1363" s="5" t="str">
        <x:v>Amala &amp; Ewedu</x:v>
      </x:c>
      <x:c r="F1363" s="5" t="str">
        <x:v>Swallow</x:v>
      </x:c>
      <x:c r="G1363" s="44" t="n">
        <x:v>4</x:v>
      </x:c>
      <x:c r="H1363" s="45" t="n">
        <x:v>2500</x:v>
      </x:c>
      <x:c r="I1363" s="46" t="n">
        <x:v>0</x:v>
      </x:c>
      <x:c r="J1363" s="47" t="n">
        <x:f>G1363*H1363*(1-I1363)</x:f>
        <x:v>10000</x:v>
      </x:c>
      <x:c r="K1363" s="47" t="n">
        <x:v>1250</x:v>
      </x:c>
      <x:c r="L1363" s="47" t="n">
        <x:f>G1363*K1363</x:f>
        <x:v>5000</x:v>
      </x:c>
      <x:c r="M1363" s="47" t="n">
        <x:f>J1363-L1363</x:f>
        <x:v>5000</x:v>
      </x:c>
      <x:c r="N1363" s="5" t="str">
        <x:v>Takeaway</x:v>
      </x:c>
      <x:c r="O1363" s="5" t="str">
        <x:v>Transfer</x:v>
      </x:c>
      <x:c r="P1363" s="5" t="str">
        <x:v>Lunch</x:v>
      </x:c>
      <x:c r="Q1363" s="48" t="n">
        <x:v>12</x:v>
      </x:c>
      <x:c r="R1363" s="5" t="n">
        <x:v>5</x:v>
      </x:c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5" t="str">
        <x:v>ORD-01078</x:v>
      </x:c>
      <x:c r="B1364" s="43" t="n">
        <x:v>46200</x:v>
      </x:c>
      <x:c r="C1364" s="5" t="str">
        <x:v>CUST-0227</x:v>
      </x:c>
      <x:c r="D1364" s="5" t="str">
        <x:v>FD002</x:v>
      </x:c>
      <x:c r="E1364" s="5" t="str">
        <x:v>Jollof Rice &amp; Chicken</x:v>
      </x:c>
      <x:c r="F1364" s="5" t="str">
        <x:v>Rice Meals</x:v>
      </x:c>
      <x:c r="G1364" s="44" t="n">
        <x:v>1</x:v>
      </x:c>
      <x:c r="H1364" s="45" t="n">
        <x:v>2800</x:v>
      </x:c>
      <x:c r="I1364" s="46" t="n">
        <x:v>0</x:v>
      </x:c>
      <x:c r="J1364" s="47" t="n">
        <x:f>G1364*H1364*(1-I1364)</x:f>
        <x:v>2800</x:v>
      </x:c>
      <x:c r="K1364" s="47" t="n">
        <x:v>1450</x:v>
      </x:c>
      <x:c r="L1364" s="47" t="n">
        <x:f>G1364*K1364</x:f>
        <x:v>1450</x:v>
      </x:c>
      <x:c r="M1364" s="47" t="n">
        <x:f>J1364-L1364</x:f>
        <x:v>1350</x:v>
      </x:c>
      <x:c r="N1364" s="5" t="str">
        <x:v>Walk-in</x:v>
      </x:c>
      <x:c r="O1364" s="5" t="str">
        <x:v>Cash</x:v>
      </x:c>
      <x:c r="P1364" s="5" t="str">
        <x:v>Lunch</x:v>
      </x:c>
      <x:c r="Q1364" s="48" t="n">
        <x:v>11</x:v>
      </x:c>
      <x:c r="R1364" s="5" t="n">
        <x:v>4</x:v>
      </x:c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5" t="str">
        <x:v>ORD-01318</x:v>
      </x:c>
      <x:c r="B1365" s="43" t="n">
        <x:v>46200</x:v>
      </x:c>
      <x:c r="C1365" s="5" t="str">
        <x:v>CUST-0289</x:v>
      </x:c>
      <x:c r="D1365" s="5" t="str">
        <x:v>FD003</x:v>
      </x:c>
      <x:c r="E1365" s="5" t="str">
        <x:v>Fried Rice &amp; Chicken</x:v>
      </x:c>
      <x:c r="F1365" s="5" t="str">
        <x:v>Rice Meals</x:v>
      </x:c>
      <x:c r="G1365" s="44" t="n">
        <x:v>4</x:v>
      </x:c>
      <x:c r="H1365" s="45" t="n">
        <x:v>3000</x:v>
      </x:c>
      <x:c r="I1365" s="46" t="n">
        <x:v>0</x:v>
      </x:c>
      <x:c r="J1365" s="47" t="n">
        <x:f>G1365*H1365*(1-I1365)</x:f>
        <x:v>12000</x:v>
      </x:c>
      <x:c r="K1365" s="47" t="n">
        <x:v>1580</x:v>
      </x:c>
      <x:c r="L1365" s="47" t="n">
        <x:f>G1365*K1365</x:f>
        <x:v>6320</x:v>
      </x:c>
      <x:c r="M1365" s="47" t="n">
        <x:f>J1365-L1365</x:f>
        <x:v>5680</x:v>
      </x:c>
      <x:c r="N1365" s="5" t="str">
        <x:v>Walk-in</x:v>
      </x:c>
      <x:c r="O1365" s="5" t="str">
        <x:v>Transfer</x:v>
      </x:c>
      <x:c r="P1365" s="5" t="str">
        <x:v>Breakfast</x:v>
      </x:c>
      <x:c r="Q1365" s="48" t="n">
        <x:v>10</x:v>
      </x:c>
      <x:c r="R1365" s="5" t="n">
        <x:v>4</x:v>
      </x:c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5" t="str">
        <x:v>ORD-01453</x:v>
      </x:c>
      <x:c r="B1366" s="43" t="n">
        <x:v>46200</x:v>
      </x:c>
      <x:c r="C1366" s="5" t="str">
        <x:v>CUST-0077</x:v>
      </x:c>
      <x:c r="D1366" s="5" t="str">
        <x:v>FD003</x:v>
      </x:c>
      <x:c r="E1366" s="5" t="str">
        <x:v>Fried Rice &amp; Chicken</x:v>
      </x:c>
      <x:c r="F1366" s="5" t="str">
        <x:v>Rice Meals</x:v>
      </x:c>
      <x:c r="G1366" s="44" t="n">
        <x:v>4</x:v>
      </x:c>
      <x:c r="H1366" s="45" t="n">
        <x:v>3000</x:v>
      </x:c>
      <x:c r="I1366" s="46" t="n">
        <x:v>0</x:v>
      </x:c>
      <x:c r="J1366" s="47" t="n">
        <x:f>G1366*H1366*(1-I1366)</x:f>
        <x:v>12000</x:v>
      </x:c>
      <x:c r="K1366" s="47" t="n">
        <x:v>1580</x:v>
      </x:c>
      <x:c r="L1366" s="47" t="n">
        <x:f>G1366*K1366</x:f>
        <x:v>6320</x:v>
      </x:c>
      <x:c r="M1366" s="47" t="n">
        <x:f>J1366-L1366</x:f>
        <x:v>5680</x:v>
      </x:c>
      <x:c r="N1366" s="5" t="str">
        <x:v>Takeaway</x:v>
      </x:c>
      <x:c r="O1366" s="5" t="str">
        <x:v>Transfer</x:v>
      </x:c>
      <x:c r="P1366" s="5" t="str">
        <x:v>Dinner</x:v>
      </x:c>
      <x:c r="Q1366" s="48" t="n">
        <x:v>18</x:v>
      </x:c>
      <x:c r="R1366" s="5" t="n">
        <x:v>3</x:v>
      </x:c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5" t="str">
        <x:v>ORD-01120</x:v>
      </x:c>
      <x:c r="B1367" s="43" t="n">
        <x:v>46201</x:v>
      </x:c>
      <x:c r="C1367" s="5" t="str">
        <x:v>CUST-0187</x:v>
      </x:c>
      <x:c r="D1367" s="5" t="str">
        <x:v>FD002</x:v>
      </x:c>
      <x:c r="E1367" s="5" t="str">
        <x:v>Jollof Rice &amp; Chicken</x:v>
      </x:c>
      <x:c r="F1367" s="5" t="str">
        <x:v>Rice Meals</x:v>
      </x:c>
      <x:c r="G1367" s="44" t="n">
        <x:v>4</x:v>
      </x:c>
      <x:c r="H1367" s="45" t="n">
        <x:v>2800</x:v>
      </x:c>
      <x:c r="I1367" s="46" t="n">
        <x:v>0</x:v>
      </x:c>
      <x:c r="J1367" s="47" t="n">
        <x:f>G1367*H1367*(1-I1367)</x:f>
        <x:v>11200</x:v>
      </x:c>
      <x:c r="K1367" s="47" t="n">
        <x:v>1450</x:v>
      </x:c>
      <x:c r="L1367" s="47" t="n">
        <x:f>G1367*K1367</x:f>
        <x:v>5800</x:v>
      </x:c>
      <x:c r="M1367" s="47" t="n">
        <x:f>J1367-L1367</x:f>
        <x:v>5400</x:v>
      </x:c>
      <x:c r="N1367" s="5" t="str">
        <x:v>Takeaway</x:v>
      </x:c>
      <x:c r="O1367" s="5" t="str">
        <x:v>Cash</x:v>
      </x:c>
      <x:c r="P1367" s="5" t="str">
        <x:v>Dinner</x:v>
      </x:c>
      <x:c r="Q1367" s="48" t="n">
        <x:v>17</x:v>
      </x:c>
      <x:c r="R1367" s="5" t="n">
        <x:v>5</x:v>
      </x:c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5" t="str">
        <x:v>ORD-00135</x:v>
      </x:c>
      <x:c r="B1368" s="43" t="n">
        <x:v>46202</x:v>
      </x:c>
      <x:c r="C1368" s="5" t="str">
        <x:v>CUST-0435</x:v>
      </x:c>
      <x:c r="D1368" s="5" t="str">
        <x:v>FD003</x:v>
      </x:c>
      <x:c r="E1368" s="5" t="str">
        <x:v>Fried Rice &amp; Chicken</x:v>
      </x:c>
      <x:c r="F1368" s="5" t="str">
        <x:v>Rice Meals</x:v>
      </x:c>
      <x:c r="G1368" s="44" t="n">
        <x:v>4</x:v>
      </x:c>
      <x:c r="H1368" s="45" t="n">
        <x:v>3000</x:v>
      </x:c>
      <x:c r="I1368" s="46" t="n">
        <x:v>0</x:v>
      </x:c>
      <x:c r="J1368" s="47" t="n">
        <x:f>G1368*H1368*(1-I1368)</x:f>
        <x:v>12000</x:v>
      </x:c>
      <x:c r="K1368" s="47" t="n">
        <x:v>1580</x:v>
      </x:c>
      <x:c r="L1368" s="47" t="n">
        <x:f>G1368*K1368</x:f>
        <x:v>6320</x:v>
      </x:c>
      <x:c r="M1368" s="47" t="n">
        <x:f>J1368-L1368</x:f>
        <x:v>5680</x:v>
      </x:c>
      <x:c r="N1368" s="5" t="str">
        <x:v>Delivery</x:v>
      </x:c>
      <x:c r="O1368" s="5" t="str">
        <x:v>Transfer</x:v>
      </x:c>
      <x:c r="P1368" s="5" t="str">
        <x:v>Lunch</x:v>
      </x:c>
      <x:c r="Q1368" s="48" t="n">
        <x:v>12</x:v>
      </x:c>
      <x:c r="R1368" s="5" t="n">
        <x:v>4</x:v>
      </x:c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5" t="str">
        <x:v>ORD-00469</x:v>
      </x:c>
      <x:c r="B1369" s="43" t="n">
        <x:v>46202</x:v>
      </x:c>
      <x:c r="C1369" s="5" t="str">
        <x:v>CUST-0431</x:v>
      </x:c>
      <x:c r="D1369" s="5" t="str">
        <x:v>FD004</x:v>
      </x:c>
      <x:c r="E1369" s="5" t="str">
        <x:v>Beans &amp; Plantain</x:v>
      </x:c>
      <x:c r="F1369" s="5" t="str">
        <x:v>Traditional Meals</x:v>
      </x:c>
      <x:c r="G1369" s="44" t="n">
        <x:v>4</x:v>
      </x:c>
      <x:c r="H1369" s="45" t="n">
        <x:v>2000</x:v>
      </x:c>
      <x:c r="I1369" s="46" t="n">
        <x:v>0</x:v>
      </x:c>
      <x:c r="J1369" s="47" t="n">
        <x:f>G1369*H1369*(1-I1369)</x:f>
        <x:v>8000</x:v>
      </x:c>
      <x:c r="K1369" s="47" t="n">
        <x:v>960</x:v>
      </x:c>
      <x:c r="L1369" s="47" t="n">
        <x:f>G1369*K1369</x:f>
        <x:v>3840</x:v>
      </x:c>
      <x:c r="M1369" s="47" t="n">
        <x:f>J1369-L1369</x:f>
        <x:v>4160</x:v>
      </x:c>
      <x:c r="N1369" s="5" t="str">
        <x:v>Takeaway</x:v>
      </x:c>
      <x:c r="O1369" s="5" t="str">
        <x:v>Cash</x:v>
      </x:c>
      <x:c r="P1369" s="5" t="str">
        <x:v>Lunch</x:v>
      </x:c>
      <x:c r="Q1369" s="48" t="n">
        <x:v>14</x:v>
      </x:c>
      <x:c r="R1369" s="5" t="n">
        <x:v>4</x:v>
      </x:c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5" t="str">
        <x:v>ORD-00582</x:v>
      </x:c>
      <x:c r="B1370" s="43" t="n">
        <x:v>46202</x:v>
      </x:c>
      <x:c r="C1370" s="5" t="str">
        <x:v>CUST-0111</x:v>
      </x:c>
      <x:c r="D1370" s="5" t="str">
        <x:v>FD006</x:v>
      </x:c>
      <x:c r="E1370" s="5" t="str">
        <x:v>Eba &amp; Egusi Soup</x:v>
      </x:c>
      <x:c r="F1370" s="5" t="str">
        <x:v>Swallow</x:v>
      </x:c>
      <x:c r="G1370" s="44" t="n">
        <x:v>4</x:v>
      </x:c>
      <x:c r="H1370" s="45" t="n">
        <x:v>2600</x:v>
      </x:c>
      <x:c r="I1370" s="46" t="n">
        <x:v>0</x:v>
      </x:c>
      <x:c r="J1370" s="47" t="n">
        <x:f>G1370*H1370*(1-I1370)</x:f>
        <x:v>10400</x:v>
      </x:c>
      <x:c r="K1370" s="47" t="n">
        <x:v>1320</x:v>
      </x:c>
      <x:c r="L1370" s="47" t="n">
        <x:f>G1370*K1370</x:f>
        <x:v>5280</x:v>
      </x:c>
      <x:c r="M1370" s="47" t="n">
        <x:f>J1370-L1370</x:f>
        <x:v>5120</x:v>
      </x:c>
      <x:c r="N1370" s="5" t="str">
        <x:v>Walk-in</x:v>
      </x:c>
      <x:c r="O1370" s="5" t="str">
        <x:v>Transfer</x:v>
      </x:c>
      <x:c r="P1370" s="5" t="str">
        <x:v>Breakfast</x:v>
      </x:c>
      <x:c r="Q1370" s="48" t="n">
        <x:v>9</x:v>
      </x:c>
      <x:c r="R1370" s="5" t="n">
        <x:v>5</x:v>
      </x:c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5" t="str">
        <x:v>ORD-00951</x:v>
      </x:c>
      <x:c r="B1371" s="43" t="n">
        <x:v>46202</x:v>
      </x:c>
      <x:c r="C1371" s="5" t="str">
        <x:v>CUST-0140</x:v>
      </x:c>
      <x:c r="D1371" s="5" t="str">
        <x:v>FD001</x:v>
      </x:c>
      <x:c r="E1371" s="5" t="str">
        <x:v>White Rice &amp; Stew</x:v>
      </x:c>
      <x:c r="F1371" s="5" t="str">
        <x:v>Rice Meals</x:v>
      </x:c>
      <x:c r="G1371" s="44" t="n">
        <x:v>3</x:v>
      </x:c>
      <x:c r="H1371" s="45" t="n">
        <x:v>1800</x:v>
      </x:c>
      <x:c r="I1371" s="46" t="n">
        <x:v>0</x:v>
      </x:c>
      <x:c r="J1371" s="47" t="n">
        <x:f>G1371*H1371*(1-I1371)</x:f>
        <x:v>5400</x:v>
      </x:c>
      <x:c r="K1371" s="47" t="n">
        <x:v>820</x:v>
      </x:c>
      <x:c r="L1371" s="47" t="n">
        <x:f>G1371*K1371</x:f>
        <x:v>2460</x:v>
      </x:c>
      <x:c r="M1371" s="47" t="n">
        <x:f>J1371-L1371</x:f>
        <x:v>2940</x:v>
      </x:c>
      <x:c r="N1371" s="5" t="str">
        <x:v>Walk-in</x:v>
      </x:c>
      <x:c r="O1371" s="5" t="str">
        <x:v>POS</x:v>
      </x:c>
      <x:c r="P1371" s="5" t="str">
        <x:v>Dinner</x:v>
      </x:c>
      <x:c r="Q1371" s="48" t="n">
        <x:v>16</x:v>
      </x:c>
      <x:c r="R1371" s="5" t="n">
        <x:v>3</x:v>
      </x:c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5" t="str">
        <x:v>ORD-01135</x:v>
      </x:c>
      <x:c r="B1372" s="43" t="n">
        <x:v>46202</x:v>
      </x:c>
      <x:c r="C1372" s="5" t="str">
        <x:v>CUST-0129</x:v>
      </x:c>
      <x:c r="D1372" s="5" t="str">
        <x:v>FD010</x:v>
      </x:c>
      <x:c r="E1372" s="5" t="str">
        <x:v>Soft Drink</x:v>
      </x:c>
      <x:c r="F1372" s="5" t="str">
        <x:v>Beverages</x:v>
      </x:c>
      <x:c r="G1372" s="44" t="n">
        <x:v>4</x:v>
      </x:c>
      <x:c r="H1372" s="45" t="n">
        <x:v>600</x:v>
      </x:c>
      <x:c r="I1372" s="46" t="n">
        <x:v>0</x:v>
      </x:c>
      <x:c r="J1372" s="47" t="n">
        <x:f>G1372*H1372*(1-I1372)</x:f>
        <x:v>2400</x:v>
      </x:c>
      <x:c r="K1372" s="47" t="n">
        <x:v>280</x:v>
      </x:c>
      <x:c r="L1372" s="47" t="n">
        <x:f>G1372*K1372</x:f>
        <x:v>1120</x:v>
      </x:c>
      <x:c r="M1372" s="47" t="n">
        <x:f>J1372-L1372</x:f>
        <x:v>1280</x:v>
      </x:c>
      <x:c r="N1372" s="5" t="str">
        <x:v>Walk-in</x:v>
      </x:c>
      <x:c r="O1372" s="5" t="str">
        <x:v>Cash</x:v>
      </x:c>
      <x:c r="P1372" s="5" t="str">
        <x:v>Lunch</x:v>
      </x:c>
      <x:c r="Q1372" s="48" t="n">
        <x:v>14</x:v>
      </x:c>
      <x:c r="R1372" s="5" t="n">
        <x:v>4</x:v>
      </x:c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5" t="str">
        <x:v>ORD-01203</x:v>
      </x:c>
      <x:c r="B1373" s="43" t="n">
        <x:v>46202</x:v>
      </x:c>
      <x:c r="C1373" s="5" t="str">
        <x:v>CUST-0438</x:v>
      </x:c>
      <x:c r="D1373" s="5" t="str">
        <x:v>FD003</x:v>
      </x:c>
      <x:c r="E1373" s="5" t="str">
        <x:v>Fried Rice &amp; Chicken</x:v>
      </x:c>
      <x:c r="F1373" s="5" t="str">
        <x:v>Rice Meals</x:v>
      </x:c>
      <x:c r="G1373" s="44" t="n">
        <x:v>2</x:v>
      </x:c>
      <x:c r="H1373" s="45" t="n">
        <x:v>3000</x:v>
      </x:c>
      <x:c r="I1373" s="46" t="n">
        <x:v>0</x:v>
      </x:c>
      <x:c r="J1373" s="47" t="n">
        <x:f>G1373*H1373*(1-I1373)</x:f>
        <x:v>6000</x:v>
      </x:c>
      <x:c r="K1373" s="47" t="n">
        <x:v>1580</x:v>
      </x:c>
      <x:c r="L1373" s="47" t="n">
        <x:f>G1373*K1373</x:f>
        <x:v>3160</x:v>
      </x:c>
      <x:c r="M1373" s="47" t="n">
        <x:f>J1373-L1373</x:f>
        <x:v>2840</x:v>
      </x:c>
      <x:c r="N1373" s="5" t="str">
        <x:v>Walk-in</x:v>
      </x:c>
      <x:c r="O1373" s="5" t="str">
        <x:v>Transfer</x:v>
      </x:c>
      <x:c r="P1373" s="5" t="str">
        <x:v>Dinner</x:v>
      </x:c>
      <x:c r="Q1373" s="48" t="n">
        <x:v>16</x:v>
      </x:c>
      <x:c r="R1373" s="5" t="n">
        <x:v>5</x:v>
      </x:c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5" t="str">
        <x:v>ORD-01425</x:v>
      </x:c>
      <x:c r="B1374" s="43" t="n">
        <x:v>46202</x:v>
      </x:c>
      <x:c r="C1374" s="5" t="str">
        <x:v>CUST-0297</x:v>
      </x:c>
      <x:c r="D1374" s="5" t="str">
        <x:v>FD007</x:v>
      </x:c>
      <x:c r="E1374" s="5" t="str">
        <x:v>Amala &amp; Ewedu</x:v>
      </x:c>
      <x:c r="F1374" s="5" t="str">
        <x:v>Swallow</x:v>
      </x:c>
      <x:c r="G1374" s="44" t="n">
        <x:v>3</x:v>
      </x:c>
      <x:c r="H1374" s="45" t="n">
        <x:v>2500</x:v>
      </x:c>
      <x:c r="I1374" s="46" t="n">
        <x:v>0</x:v>
      </x:c>
      <x:c r="J1374" s="47" t="n">
        <x:f>G1374*H1374*(1-I1374)</x:f>
        <x:v>7500</x:v>
      </x:c>
      <x:c r="K1374" s="47" t="n">
        <x:v>1250</x:v>
      </x:c>
      <x:c r="L1374" s="47" t="n">
        <x:f>G1374*K1374</x:f>
        <x:v>3750</x:v>
      </x:c>
      <x:c r="M1374" s="47" t="n">
        <x:f>J1374-L1374</x:f>
        <x:v>3750</x:v>
      </x:c>
      <x:c r="N1374" s="5" t="str">
        <x:v>Walk-in</x:v>
      </x:c>
      <x:c r="O1374" s="5" t="str">
        <x:v>Transfer</x:v>
      </x:c>
      <x:c r="P1374" s="5" t="str">
        <x:v>Dinner</x:v>
      </x:c>
      <x:c r="Q1374" s="48" t="n">
        <x:v>18</x:v>
      </x:c>
      <x:c r="R1374" s="5" t="n">
        <x:v>4</x:v>
      </x:c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5" t="str">
        <x:v>ORD-01439</x:v>
      </x:c>
      <x:c r="B1375" s="43" t="n">
        <x:v>46202</x:v>
      </x:c>
      <x:c r="C1375" s="5" t="str">
        <x:v>CUST-0372</x:v>
      </x:c>
      <x:c r="D1375" s="5" t="str">
        <x:v>FD003</x:v>
      </x:c>
      <x:c r="E1375" s="5" t="str">
        <x:v>Fried Rice &amp; Chicken</x:v>
      </x:c>
      <x:c r="F1375" s="5" t="str">
        <x:v>Rice Meals</x:v>
      </x:c>
      <x:c r="G1375" s="44" t="n">
        <x:v>3</x:v>
      </x:c>
      <x:c r="H1375" s="45" t="n">
        <x:v>3000</x:v>
      </x:c>
      <x:c r="I1375" s="46" t="n">
        <x:v>0</x:v>
      </x:c>
      <x:c r="J1375" s="47" t="n">
        <x:f>G1375*H1375*(1-I1375)</x:f>
        <x:v>9000</x:v>
      </x:c>
      <x:c r="K1375" s="47" t="n">
        <x:v>1580</x:v>
      </x:c>
      <x:c r="L1375" s="47" t="n">
        <x:f>G1375*K1375</x:f>
        <x:v>4740</x:v>
      </x:c>
      <x:c r="M1375" s="47" t="n">
        <x:f>J1375-L1375</x:f>
        <x:v>4260</x:v>
      </x:c>
      <x:c r="N1375" s="5" t="str">
        <x:v>Walk-in</x:v>
      </x:c>
      <x:c r="O1375" s="5" t="str">
        <x:v>Cash</x:v>
      </x:c>
      <x:c r="P1375" s="5" t="str">
        <x:v>Lunch</x:v>
      </x:c>
      <x:c r="Q1375" s="48" t="n">
        <x:v>12</x:v>
      </x:c>
      <x:c r="R1375" s="5" t="n">
        <x:v>3</x:v>
      </x:c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5" t="str">
        <x:v>ORD-01502</x:v>
      </x:c>
      <x:c r="B1376" s="43" t="n">
        <x:v>46202</x:v>
      </x:c>
      <x:c r="C1376" s="5" t="str">
        <x:v>CUST-0126</x:v>
      </x:c>
      <x:c r="D1376" s="5" t="str">
        <x:v>FD003</x:v>
      </x:c>
      <x:c r="E1376" s="5" t="str">
        <x:v>Fried Rice &amp; Chicken</x:v>
      </x:c>
      <x:c r="F1376" s="5" t="str">
        <x:v>Rice Meals</x:v>
      </x:c>
      <x:c r="G1376" s="44" t="n">
        <x:v>4</x:v>
      </x:c>
      <x:c r="H1376" s="45" t="n">
        <x:v>3000</x:v>
      </x:c>
      <x:c r="I1376" s="46" t="n">
        <x:v>0</x:v>
      </x:c>
      <x:c r="J1376" s="47" t="n">
        <x:f>G1376*H1376*(1-I1376)</x:f>
        <x:v>12000</x:v>
      </x:c>
      <x:c r="K1376" s="47" t="n">
        <x:v>1580</x:v>
      </x:c>
      <x:c r="L1376" s="47" t="n">
        <x:f>G1376*K1376</x:f>
        <x:v>6320</x:v>
      </x:c>
      <x:c r="M1376" s="47" t="n">
        <x:f>J1376-L1376</x:f>
        <x:v>5680</x:v>
      </x:c>
      <x:c r="N1376" s="5" t="str">
        <x:v>Takeaway</x:v>
      </x:c>
      <x:c r="O1376" s="5" t="str">
        <x:v>Transfer</x:v>
      </x:c>
      <x:c r="P1376" s="5" t="str">
        <x:v>Dinner</x:v>
      </x:c>
      <x:c r="Q1376" s="48" t="n">
        <x:v>17</x:v>
      </x:c>
      <x:c r="R1376" s="5" t="n">
        <x:v>4</x:v>
      </x:c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5" t="str">
        <x:v>ORD-00056</x:v>
      </x:c>
      <x:c r="B1377" s="43" t="n">
        <x:v>46203</x:v>
      </x:c>
      <x:c r="C1377" s="5" t="str">
        <x:v>CUST-0599</x:v>
      </x:c>
      <x:c r="D1377" s="5" t="str">
        <x:v>FD009</x:v>
      </x:c>
      <x:c r="E1377" s="5" t="str">
        <x:v>Moi Moi</x:v>
      </x:c>
      <x:c r="F1377" s="5" t="str">
        <x:v>Sides</x:v>
      </x:c>
      <x:c r="G1377" s="44" t="n">
        <x:v>2</x:v>
      </x:c>
      <x:c r="H1377" s="45" t="n">
        <x:v>900</x:v>
      </x:c>
      <x:c r="I1377" s="46" t="n">
        <x:v>0</x:v>
      </x:c>
      <x:c r="J1377" s="47" t="n">
        <x:f>G1377*H1377*(1-I1377)</x:f>
        <x:v>1800</x:v>
      </x:c>
      <x:c r="K1377" s="47" t="n">
        <x:v>380</x:v>
      </x:c>
      <x:c r="L1377" s="47" t="n">
        <x:f>G1377*K1377</x:f>
        <x:v>760</x:v>
      </x:c>
      <x:c r="M1377" s="47" t="n">
        <x:f>J1377-L1377</x:f>
        <x:v>1040</x:v>
      </x:c>
      <x:c r="N1377" s="5" t="str">
        <x:v>Walk-in</x:v>
      </x:c>
      <x:c r="O1377" s="5" t="str">
        <x:v>Transfer</x:v>
      </x:c>
      <x:c r="P1377" s="5" t="str">
        <x:v>Lunch</x:v>
      </x:c>
      <x:c r="Q1377" s="48" t="n">
        <x:v>14</x:v>
      </x:c>
      <x:c r="R1377" s="5" t="n">
        <x:v>5</x:v>
      </x:c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5" t="str">
        <x:v>ORD-00123</x:v>
      </x:c>
      <x:c r="B1378" s="43" t="n">
        <x:v>46203</x:v>
      </x:c>
      <x:c r="C1378" s="5" t="str">
        <x:v>CUST-0542</x:v>
      </x:c>
      <x:c r="D1378" s="5" t="str">
        <x:v>FD012</x:v>
      </x:c>
      <x:c r="E1378" s="5" t="str">
        <x:v>Fried Plantain</x:v>
      </x:c>
      <x:c r="F1378" s="5" t="str">
        <x:v>Sides</x:v>
      </x:c>
      <x:c r="G1378" s="44" t="n">
        <x:v>1</x:v>
      </x:c>
      <x:c r="H1378" s="45" t="n">
        <x:v>700</x:v>
      </x:c>
      <x:c r="I1378" s="46" t="n">
        <x:v>0</x:v>
      </x:c>
      <x:c r="J1378" s="47" t="n">
        <x:f>G1378*H1378*(1-I1378)</x:f>
        <x:v>700</x:v>
      </x:c>
      <x:c r="K1378" s="47" t="n">
        <x:v>300</x:v>
      </x:c>
      <x:c r="L1378" s="47" t="n">
        <x:f>G1378*K1378</x:f>
        <x:v>300</x:v>
      </x:c>
      <x:c r="M1378" s="47" t="n">
        <x:f>J1378-L1378</x:f>
        <x:v>400</x:v>
      </x:c>
      <x:c r="N1378" s="5" t="str">
        <x:v>Walk-in</x:v>
      </x:c>
      <x:c r="O1378" s="5" t="str">
        <x:v>Transfer</x:v>
      </x:c>
      <x:c r="P1378" s="5" t="str">
        <x:v>Lunch</x:v>
      </x:c>
      <x:c r="Q1378" s="48" t="n">
        <x:v>15</x:v>
      </x:c>
      <x:c r="R1378" s="5" t="n">
        <x:v>5</x:v>
      </x:c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5" t="str">
        <x:v>ORD-00435</x:v>
      </x:c>
      <x:c r="B1379" s="43" t="n">
        <x:v>46203</x:v>
      </x:c>
      <x:c r="C1379" s="5" t="str">
        <x:v>CUST-0267</x:v>
      </x:c>
      <x:c r="D1379" s="5" t="str">
        <x:v>FD008</x:v>
      </x:c>
      <x:c r="E1379" s="5" t="str">
        <x:v>Pounded Yam &amp; Vegetable Soup</x:v>
      </x:c>
      <x:c r="F1379" s="5" t="str">
        <x:v>Swallow</x:v>
      </x:c>
      <x:c r="G1379" s="44" t="n">
        <x:v>2</x:v>
      </x:c>
      <x:c r="H1379" s="45" t="n">
        <x:v>3200</x:v>
      </x:c>
      <x:c r="I1379" s="46" t="n">
        <x:v>0</x:v>
      </x:c>
      <x:c r="J1379" s="47" t="n">
        <x:f>G1379*H1379*(1-I1379)</x:f>
        <x:v>6400</x:v>
      </x:c>
      <x:c r="K1379" s="47" t="n">
        <x:v>1710</x:v>
      </x:c>
      <x:c r="L1379" s="47" t="n">
        <x:f>G1379*K1379</x:f>
        <x:v>3420</x:v>
      </x:c>
      <x:c r="M1379" s="47" t="n">
        <x:f>J1379-L1379</x:f>
        <x:v>2980</x:v>
      </x:c>
      <x:c r="N1379" s="5" t="str">
        <x:v>Walk-in</x:v>
      </x:c>
      <x:c r="O1379" s="5" t="str">
        <x:v>Transfer</x:v>
      </x:c>
      <x:c r="P1379" s="5" t="str">
        <x:v>Breakfast</x:v>
      </x:c>
      <x:c r="Q1379" s="48" t="n">
        <x:v>9</x:v>
      </x:c>
      <x:c r="R1379" s="5" t="n">
        <x:v>5</x:v>
      </x:c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5" t="str">
        <x:v>ORD-01029</x:v>
      </x:c>
      <x:c r="B1380" s="43" t="n">
        <x:v>46203</x:v>
      </x:c>
      <x:c r="C1380" s="5" t="str">
        <x:v>CUST-0579</x:v>
      </x:c>
      <x:c r="D1380" s="5" t="str">
        <x:v>FD006</x:v>
      </x:c>
      <x:c r="E1380" s="5" t="str">
        <x:v>Eba &amp; Egusi Soup</x:v>
      </x:c>
      <x:c r="F1380" s="5" t="str">
        <x:v>Swallow</x:v>
      </x:c>
      <x:c r="G1380" s="44" t="n">
        <x:v>2</x:v>
      </x:c>
      <x:c r="H1380" s="45" t="n">
        <x:v>2600</x:v>
      </x:c>
      <x:c r="I1380" s="46" t="n">
        <x:v>0</x:v>
      </x:c>
      <x:c r="J1380" s="47" t="n">
        <x:f>G1380*H1380*(1-I1380)</x:f>
        <x:v>5200</x:v>
      </x:c>
      <x:c r="K1380" s="47" t="n">
        <x:v>1320</x:v>
      </x:c>
      <x:c r="L1380" s="47" t="n">
        <x:f>G1380*K1380</x:f>
        <x:v>2640</x:v>
      </x:c>
      <x:c r="M1380" s="47" t="n">
        <x:f>J1380-L1380</x:f>
        <x:v>2560</x:v>
      </x:c>
      <x:c r="N1380" s="5" t="str">
        <x:v>Delivery</x:v>
      </x:c>
      <x:c r="O1380" s="5" t="str">
        <x:v>POS</x:v>
      </x:c>
      <x:c r="P1380" s="5" t="str">
        <x:v>Lunch</x:v>
      </x:c>
      <x:c r="Q1380" s="48" t="n">
        <x:v>13</x:v>
      </x:c>
      <x:c r="R1380" s="5" t="n">
        <x:v>5</x:v>
      </x:c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5" t="str">
        <x:v>ORD-01149</x:v>
      </x:c>
      <x:c r="B1381" s="43" t="n">
        <x:v>46203</x:v>
      </x:c>
      <x:c r="C1381" s="5" t="str">
        <x:v>CUST-0445</x:v>
      </x:c>
      <x:c r="D1381" s="5" t="str">
        <x:v>FD002</x:v>
      </x:c>
      <x:c r="E1381" s="5" t="str">
        <x:v>Jollof Rice &amp; Chicken</x:v>
      </x:c>
      <x:c r="F1381" s="5" t="str">
        <x:v>Rice Meals</x:v>
      </x:c>
      <x:c r="G1381" s="44" t="n">
        <x:v>4</x:v>
      </x:c>
      <x:c r="H1381" s="45" t="n">
        <x:v>2800</x:v>
      </x:c>
      <x:c r="I1381" s="46" t="n">
        <x:v>0.05</x:v>
      </x:c>
      <x:c r="J1381" s="47" t="n">
        <x:f>G1381*H1381*(1-I1381)</x:f>
        <x:v>10640</x:v>
      </x:c>
      <x:c r="K1381" s="47" t="n">
        <x:v>1450</x:v>
      </x:c>
      <x:c r="L1381" s="47" t="n">
        <x:f>G1381*K1381</x:f>
        <x:v>5800</x:v>
      </x:c>
      <x:c r="M1381" s="47" t="n">
        <x:f>J1381-L1381</x:f>
        <x:v>4840</x:v>
      </x:c>
      <x:c r="N1381" s="5" t="str">
        <x:v>Walk-in</x:v>
      </x:c>
      <x:c r="O1381" s="5" t="str">
        <x:v>Cash</x:v>
      </x:c>
      <x:c r="P1381" s="5" t="str">
        <x:v>Lunch</x:v>
      </x:c>
      <x:c r="Q1381" s="48" t="n">
        <x:v>11</x:v>
      </x:c>
      <x:c r="R1381" s="5" t="n">
        <x:v>5</x:v>
      </x:c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5" t="str">
        <x:v>ORD-00146</x:v>
      </x:c>
      <x:c r="B1382" s="43" t="n">
        <x:v>46204</x:v>
      </x:c>
      <x:c r="C1382" s="5" t="str">
        <x:v>CUST-0148</x:v>
      </x:c>
      <x:c r="D1382" s="5" t="str">
        <x:v>FD005</x:v>
      </x:c>
      <x:c r="E1382" s="5" t="str">
        <x:v>Yam Porridge</x:v>
      </x:c>
      <x:c r="F1382" s="5" t="str">
        <x:v>Traditional Meals</x:v>
      </x:c>
      <x:c r="G1382" s="44" t="n">
        <x:v>1</x:v>
      </x:c>
      <x:c r="H1382" s="45" t="n">
        <x:v>2200</x:v>
      </x:c>
      <x:c r="I1382" s="46" t="n">
        <x:v>0</x:v>
      </x:c>
      <x:c r="J1382" s="47" t="n">
        <x:f>G1382*H1382*(1-I1382)</x:f>
        <x:v>2200</x:v>
      </x:c>
      <x:c r="K1382" s="47" t="n">
        <x:v>1050</x:v>
      </x:c>
      <x:c r="L1382" s="47" t="n">
        <x:f>G1382*K1382</x:f>
        <x:v>1050</x:v>
      </x:c>
      <x:c r="M1382" s="47" t="n">
        <x:f>J1382-L1382</x:f>
        <x:v>1150</x:v>
      </x:c>
      <x:c r="N1382" s="5" t="str">
        <x:v>Walk-in</x:v>
      </x:c>
      <x:c r="O1382" s="5" t="str">
        <x:v>Transfer</x:v>
      </x:c>
      <x:c r="P1382" s="5" t="str">
        <x:v>Dinner</x:v>
      </x:c>
      <x:c r="Q1382" s="48" t="n">
        <x:v>17</x:v>
      </x:c>
      <x:c r="R1382" s="5" t="n">
        <x:v>4</x:v>
      </x:c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5" t="str">
        <x:v>ORD-00176</x:v>
      </x:c>
      <x:c r="B1383" s="43" t="n">
        <x:v>46204</x:v>
      </x:c>
      <x:c r="C1383" s="5" t="str">
        <x:v>CUST-0494</x:v>
      </x:c>
      <x:c r="D1383" s="5" t="str">
        <x:v>FD010</x:v>
      </x:c>
      <x:c r="E1383" s="5" t="str">
        <x:v>Soft Drink</x:v>
      </x:c>
      <x:c r="F1383" s="5" t="str">
        <x:v>Beverages</x:v>
      </x:c>
      <x:c r="G1383" s="44" t="n">
        <x:v>4</x:v>
      </x:c>
      <x:c r="H1383" s="45" t="n">
        <x:v>600</x:v>
      </x:c>
      <x:c r="I1383" s="46" t="n">
        <x:v>0</x:v>
      </x:c>
      <x:c r="J1383" s="47" t="n">
        <x:f>G1383*H1383*(1-I1383)</x:f>
        <x:v>2400</x:v>
      </x:c>
      <x:c r="K1383" s="47" t="n">
        <x:v>280</x:v>
      </x:c>
      <x:c r="L1383" s="47" t="n">
        <x:f>G1383*K1383</x:f>
        <x:v>1120</x:v>
      </x:c>
      <x:c r="M1383" s="47" t="n">
        <x:f>J1383-L1383</x:f>
        <x:v>1280</x:v>
      </x:c>
      <x:c r="N1383" s="5" t="str">
        <x:v>Takeaway</x:v>
      </x:c>
      <x:c r="O1383" s="5" t="str">
        <x:v>Cash</x:v>
      </x:c>
      <x:c r="P1383" s="5" t="str">
        <x:v>Breakfast</x:v>
      </x:c>
      <x:c r="Q1383" s="48" t="n">
        <x:v>8</x:v>
      </x:c>
      <x:c r="R1383" s="5" t="n">
        <x:v>5</x:v>
      </x:c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5" t="str">
        <x:v>ORD-00663</x:v>
      </x:c>
      <x:c r="B1384" s="43" t="n">
        <x:v>46204</x:v>
      </x:c>
      <x:c r="C1384" s="5" t="str">
        <x:v>CUST-0381</x:v>
      </x:c>
      <x:c r="D1384" s="5" t="str">
        <x:v>FD001</x:v>
      </x:c>
      <x:c r="E1384" s="5" t="str">
        <x:v>White Rice &amp; Stew</x:v>
      </x:c>
      <x:c r="F1384" s="5" t="str">
        <x:v>Rice Meals</x:v>
      </x:c>
      <x:c r="G1384" s="44" t="n">
        <x:v>1</x:v>
      </x:c>
      <x:c r="H1384" s="45" t="n">
        <x:v>1800</x:v>
      </x:c>
      <x:c r="I1384" s="46" t="n">
        <x:v>0</x:v>
      </x:c>
      <x:c r="J1384" s="47" t="n">
        <x:f>G1384*H1384*(1-I1384)</x:f>
        <x:v>1800</x:v>
      </x:c>
      <x:c r="K1384" s="47" t="n">
        <x:v>820</x:v>
      </x:c>
      <x:c r="L1384" s="47" t="n">
        <x:f>G1384*K1384</x:f>
        <x:v>820</x:v>
      </x:c>
      <x:c r="M1384" s="47" t="n">
        <x:f>J1384-L1384</x:f>
        <x:v>980</x:v>
      </x:c>
      <x:c r="N1384" s="5" t="str">
        <x:v>Walk-in</x:v>
      </x:c>
      <x:c r="O1384" s="5" t="str">
        <x:v>POS</x:v>
      </x:c>
      <x:c r="P1384" s="5" t="str">
        <x:v>Lunch</x:v>
      </x:c>
      <x:c r="Q1384" s="48" t="n">
        <x:v>13</x:v>
      </x:c>
      <x:c r="R1384" s="5" t="n">
        <x:v>4</x:v>
      </x:c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5" t="str">
        <x:v>ORD-00988</x:v>
      </x:c>
      <x:c r="B1385" s="43" t="n">
        <x:v>46204</x:v>
      </x:c>
      <x:c r="C1385" s="5" t="str">
        <x:v>CUST-0352</x:v>
      </x:c>
      <x:c r="D1385" s="5" t="str">
        <x:v>FD006</x:v>
      </x:c>
      <x:c r="E1385" s="5" t="str">
        <x:v>Eba &amp; Egusi Soup</x:v>
      </x:c>
      <x:c r="F1385" s="5" t="str">
        <x:v>Swallow</x:v>
      </x:c>
      <x:c r="G1385" s="44" t="n">
        <x:v>1</x:v>
      </x:c>
      <x:c r="H1385" s="45" t="n">
        <x:v>2600</x:v>
      </x:c>
      <x:c r="I1385" s="46" t="n">
        <x:v>0</x:v>
      </x:c>
      <x:c r="J1385" s="47" t="n">
        <x:f>G1385*H1385*(1-I1385)</x:f>
        <x:v>2600</x:v>
      </x:c>
      <x:c r="K1385" s="47" t="n">
        <x:v>1320</x:v>
      </x:c>
      <x:c r="L1385" s="47" t="n">
        <x:f>G1385*K1385</x:f>
        <x:v>1320</x:v>
      </x:c>
      <x:c r="M1385" s="47" t="n">
        <x:f>J1385-L1385</x:f>
        <x:v>1280</x:v>
      </x:c>
      <x:c r="N1385" s="5" t="str">
        <x:v>Delivery</x:v>
      </x:c>
      <x:c r="O1385" s="5" t="str">
        <x:v>POS</x:v>
      </x:c>
      <x:c r="P1385" s="5" t="str">
        <x:v>Lunch</x:v>
      </x:c>
      <x:c r="Q1385" s="48" t="n">
        <x:v>12</x:v>
      </x:c>
      <x:c r="R1385" s="5" t="n">
        <x:v>4</x:v>
      </x:c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5" t="str">
        <x:v>ORD-01192</x:v>
      </x:c>
      <x:c r="B1386" s="43" t="n">
        <x:v>46204</x:v>
      </x:c>
      <x:c r="C1386" s="5" t="str">
        <x:v>CUST-0167</x:v>
      </x:c>
      <x:c r="D1386" s="5" t="str">
        <x:v>FD003</x:v>
      </x:c>
      <x:c r="E1386" s="5" t="str">
        <x:v>Fried Rice &amp; Chicken</x:v>
      </x:c>
      <x:c r="F1386" s="5" t="str">
        <x:v>Rice Meals</x:v>
      </x:c>
      <x:c r="G1386" s="44" t="n">
        <x:v>3</x:v>
      </x:c>
      <x:c r="H1386" s="45" t="n">
        <x:v>3000</x:v>
      </x:c>
      <x:c r="I1386" s="46" t="n">
        <x:v>0</x:v>
      </x:c>
      <x:c r="J1386" s="47" t="n">
        <x:f>G1386*H1386*(1-I1386)</x:f>
        <x:v>9000</x:v>
      </x:c>
      <x:c r="K1386" s="47" t="n">
        <x:v>1580</x:v>
      </x:c>
      <x:c r="L1386" s="47" t="n">
        <x:f>G1386*K1386</x:f>
        <x:v>4740</x:v>
      </x:c>
      <x:c r="M1386" s="47" t="n">
        <x:f>J1386-L1386</x:f>
        <x:v>4260</x:v>
      </x:c>
      <x:c r="N1386" s="5" t="str">
        <x:v>Takeaway</x:v>
      </x:c>
      <x:c r="O1386" s="5" t="str">
        <x:v>POS</x:v>
      </x:c>
      <x:c r="P1386" s="5" t="str">
        <x:v>Lunch</x:v>
      </x:c>
      <x:c r="Q1386" s="48" t="n">
        <x:v>15</x:v>
      </x:c>
      <x:c r="R1386" s="5" t="n">
        <x:v>4</x:v>
      </x:c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5" t="str">
        <x:v>ORD-01447</x:v>
      </x:c>
      <x:c r="B1387" s="43" t="n">
        <x:v>46204</x:v>
      </x:c>
      <x:c r="C1387" s="5" t="str">
        <x:v>CUST-0137</x:v>
      </x:c>
      <x:c r="D1387" s="5" t="str">
        <x:v>FD009</x:v>
      </x:c>
      <x:c r="E1387" s="5" t="str">
        <x:v>Moi Moi</x:v>
      </x:c>
      <x:c r="F1387" s="5" t="str">
        <x:v>Sides</x:v>
      </x:c>
      <x:c r="G1387" s="44" t="n">
        <x:v>4</x:v>
      </x:c>
      <x:c r="H1387" s="45" t="n">
        <x:v>900</x:v>
      </x:c>
      <x:c r="I1387" s="46" t="n">
        <x:v>0</x:v>
      </x:c>
      <x:c r="J1387" s="47" t="n">
        <x:f>G1387*H1387*(1-I1387)</x:f>
        <x:v>3600</x:v>
      </x:c>
      <x:c r="K1387" s="47" t="n">
        <x:v>380</x:v>
      </x:c>
      <x:c r="L1387" s="47" t="n">
        <x:f>G1387*K1387</x:f>
        <x:v>1520</x:v>
      </x:c>
      <x:c r="M1387" s="47" t="n">
        <x:f>J1387-L1387</x:f>
        <x:v>2080</x:v>
      </x:c>
      <x:c r="N1387" s="5" t="str">
        <x:v>Walk-in</x:v>
      </x:c>
      <x:c r="O1387" s="5" t="str">
        <x:v>Transfer</x:v>
      </x:c>
      <x:c r="P1387" s="5" t="str">
        <x:v>Lunch</x:v>
      </x:c>
      <x:c r="Q1387" s="48" t="n">
        <x:v>15</x:v>
      </x:c>
      <x:c r="R1387" s="5" t="n">
        <x:v>4</x:v>
      </x:c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5" t="str">
        <x:v>ORD-00131</x:v>
      </x:c>
      <x:c r="B1388" s="43" t="n">
        <x:v>46205</x:v>
      </x:c>
      <x:c r="C1388" s="5" t="str">
        <x:v>CUST-0488</x:v>
      </x:c>
      <x:c r="D1388" s="5" t="str">
        <x:v>FD001</x:v>
      </x:c>
      <x:c r="E1388" s="5" t="str">
        <x:v>White Rice &amp; Stew</x:v>
      </x:c>
      <x:c r="F1388" s="5" t="str">
        <x:v>Rice Meals</x:v>
      </x:c>
      <x:c r="G1388" s="44" t="n">
        <x:v>2</x:v>
      </x:c>
      <x:c r="H1388" s="45" t="n">
        <x:v>1800</x:v>
      </x:c>
      <x:c r="I1388" s="46" t="n">
        <x:v>0</x:v>
      </x:c>
      <x:c r="J1388" s="47" t="n">
        <x:f>G1388*H1388*(1-I1388)</x:f>
        <x:v>3600</x:v>
      </x:c>
      <x:c r="K1388" s="47" t="n">
        <x:v>820</x:v>
      </x:c>
      <x:c r="L1388" s="47" t="n">
        <x:f>G1388*K1388</x:f>
        <x:v>1640</x:v>
      </x:c>
      <x:c r="M1388" s="47" t="n">
        <x:f>J1388-L1388</x:f>
        <x:v>1960</x:v>
      </x:c>
      <x:c r="N1388" s="5" t="str">
        <x:v>Walk-in</x:v>
      </x:c>
      <x:c r="O1388" s="5" t="str">
        <x:v>Transfer</x:v>
      </x:c>
      <x:c r="P1388" s="5" t="str">
        <x:v>Dinner</x:v>
      </x:c>
      <x:c r="Q1388" s="48" t="n">
        <x:v>18</x:v>
      </x:c>
      <x:c r="R1388" s="5" t="n">
        <x:v>4</x:v>
      </x:c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5" t="str">
        <x:v>ORD-00219</x:v>
      </x:c>
      <x:c r="B1389" s="43" t="n">
        <x:v>46205</x:v>
      </x:c>
      <x:c r="C1389" s="5" t="str">
        <x:v>CUST-0294</x:v>
      </x:c>
      <x:c r="D1389" s="5" t="str">
        <x:v>FD005</x:v>
      </x:c>
      <x:c r="E1389" s="5" t="str">
        <x:v>Yam Porridge</x:v>
      </x:c>
      <x:c r="F1389" s="5" t="str">
        <x:v>Traditional Meals</x:v>
      </x:c>
      <x:c r="G1389" s="44" t="n">
        <x:v>3</x:v>
      </x:c>
      <x:c r="H1389" s="45" t="n">
        <x:v>2200</x:v>
      </x:c>
      <x:c r="I1389" s="46" t="n">
        <x:v>0</x:v>
      </x:c>
      <x:c r="J1389" s="47" t="n">
        <x:f>G1389*H1389*(1-I1389)</x:f>
        <x:v>6600</x:v>
      </x:c>
      <x:c r="K1389" s="47" t="n">
        <x:v>1050</x:v>
      </x:c>
      <x:c r="L1389" s="47" t="n">
        <x:f>G1389*K1389</x:f>
        <x:v>3150</x:v>
      </x:c>
      <x:c r="M1389" s="47" t="n">
        <x:f>J1389-L1389</x:f>
        <x:v>3450</x:v>
      </x:c>
      <x:c r="N1389" s="5" t="str">
        <x:v>Walk-in</x:v>
      </x:c>
      <x:c r="O1389" s="5" t="str">
        <x:v>POS</x:v>
      </x:c>
      <x:c r="P1389" s="5" t="str">
        <x:v>Dinner</x:v>
      </x:c>
      <x:c r="Q1389" s="48" t="n">
        <x:v>20</x:v>
      </x:c>
      <x:c r="R1389" s="5" t="n">
        <x:v>4</x:v>
      </x:c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5" t="str">
        <x:v>ORD-00561</x:v>
      </x:c>
      <x:c r="B1390" s="43" t="n">
        <x:v>46205</x:v>
      </x:c>
      <x:c r="C1390" s="5" t="str">
        <x:v>CUST-0044</x:v>
      </x:c>
      <x:c r="D1390" s="5" t="str">
        <x:v>FD004</x:v>
      </x:c>
      <x:c r="E1390" s="5" t="str">
        <x:v>Beans &amp; Plantain</x:v>
      </x:c>
      <x:c r="F1390" s="5" t="str">
        <x:v>Traditional Meals</x:v>
      </x:c>
      <x:c r="G1390" s="44" t="n">
        <x:v>3</x:v>
      </x:c>
      <x:c r="H1390" s="45" t="n">
        <x:v>2000</x:v>
      </x:c>
      <x:c r="I1390" s="46" t="n">
        <x:v>0</x:v>
      </x:c>
      <x:c r="J1390" s="47" t="n">
        <x:f>G1390*H1390*(1-I1390)</x:f>
        <x:v>6000</x:v>
      </x:c>
      <x:c r="K1390" s="47" t="n">
        <x:v>960</x:v>
      </x:c>
      <x:c r="L1390" s="47" t="n">
        <x:f>G1390*K1390</x:f>
        <x:v>2880</x:v>
      </x:c>
      <x:c r="M1390" s="47" t="n">
        <x:f>J1390-L1390</x:f>
        <x:v>3120</x:v>
      </x:c>
      <x:c r="N1390" s="5" t="str">
        <x:v>Walk-in</x:v>
      </x:c>
      <x:c r="O1390" s="5" t="str">
        <x:v>Transfer</x:v>
      </x:c>
      <x:c r="P1390" s="5" t="str">
        <x:v>Lunch</x:v>
      </x:c>
      <x:c r="Q1390" s="48" t="n">
        <x:v>14</x:v>
      </x:c>
      <x:c r="R1390" s="5" t="n">
        <x:v>5</x:v>
      </x:c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5" t="str">
        <x:v>ORD-00919</x:v>
      </x:c>
      <x:c r="B1391" s="43" t="n">
        <x:v>46205</x:v>
      </x:c>
      <x:c r="C1391" s="5" t="str">
        <x:v>CUST-0571</x:v>
      </x:c>
      <x:c r="D1391" s="5" t="str">
        <x:v>FD007</x:v>
      </x:c>
      <x:c r="E1391" s="5" t="str">
        <x:v>Amala &amp; Ewedu</x:v>
      </x:c>
      <x:c r="F1391" s="5" t="str">
        <x:v>Swallow</x:v>
      </x:c>
      <x:c r="G1391" s="44" t="n">
        <x:v>4</x:v>
      </x:c>
      <x:c r="H1391" s="45" t="n">
        <x:v>2500</x:v>
      </x:c>
      <x:c r="I1391" s="46" t="n">
        <x:v>0</x:v>
      </x:c>
      <x:c r="J1391" s="47" t="n">
        <x:f>G1391*H1391*(1-I1391)</x:f>
        <x:v>10000</x:v>
      </x:c>
      <x:c r="K1391" s="47" t="n">
        <x:v>1250</x:v>
      </x:c>
      <x:c r="L1391" s="47" t="n">
        <x:f>G1391*K1391</x:f>
        <x:v>5000</x:v>
      </x:c>
      <x:c r="M1391" s="47" t="n">
        <x:f>J1391-L1391</x:f>
        <x:v>5000</x:v>
      </x:c>
      <x:c r="N1391" s="5" t="str">
        <x:v>Walk-in</x:v>
      </x:c>
      <x:c r="O1391" s="5" t="str">
        <x:v>Transfer</x:v>
      </x:c>
      <x:c r="P1391" s="5" t="str">
        <x:v>Breakfast</x:v>
      </x:c>
      <x:c r="Q1391" s="48" t="n">
        <x:v>8</x:v>
      </x:c>
      <x:c r="R1391" s="5" t="n">
        <x:v>3</x:v>
      </x:c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5" t="str">
        <x:v>ORD-01362</x:v>
      </x:c>
      <x:c r="B1392" s="43" t="n">
        <x:v>46205</x:v>
      </x:c>
      <x:c r="C1392" s="5" t="str">
        <x:v>CUST-0635</x:v>
      </x:c>
      <x:c r="D1392" s="5" t="str">
        <x:v>FD007</x:v>
      </x:c>
      <x:c r="E1392" s="5" t="str">
        <x:v>Amala &amp; Ewedu</x:v>
      </x:c>
      <x:c r="F1392" s="5" t="str">
        <x:v>Swallow</x:v>
      </x:c>
      <x:c r="G1392" s="44" t="n">
        <x:v>1</x:v>
      </x:c>
      <x:c r="H1392" s="45" t="n">
        <x:v>2500</x:v>
      </x:c>
      <x:c r="I1392" s="46" t="n">
        <x:v>0</x:v>
      </x:c>
      <x:c r="J1392" s="47" t="n">
        <x:f>G1392*H1392*(1-I1392)</x:f>
        <x:v>2500</x:v>
      </x:c>
      <x:c r="K1392" s="47" t="n">
        <x:v>1250</x:v>
      </x:c>
      <x:c r="L1392" s="47" t="n">
        <x:f>G1392*K1392</x:f>
        <x:v>1250</x:v>
      </x:c>
      <x:c r="M1392" s="47" t="n">
        <x:f>J1392-L1392</x:f>
        <x:v>1250</x:v>
      </x:c>
      <x:c r="N1392" s="5" t="str">
        <x:v>Walk-in</x:v>
      </x:c>
      <x:c r="O1392" s="5" t="str">
        <x:v>Cash</x:v>
      </x:c>
      <x:c r="P1392" s="5" t="str">
        <x:v>Breakfast</x:v>
      </x:c>
      <x:c r="Q1392" s="48" t="n">
        <x:v>8</x:v>
      </x:c>
      <x:c r="R1392" s="5" t="n">
        <x:v>4</x:v>
      </x:c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5" t="str">
        <x:v>ORD-01452</x:v>
      </x:c>
      <x:c r="B1393" s="43" t="n">
        <x:v>46205</x:v>
      </x:c>
      <x:c r="C1393" s="5" t="str">
        <x:v>CUST-0642</x:v>
      </x:c>
      <x:c r="D1393" s="5" t="str">
        <x:v>FD008</x:v>
      </x:c>
      <x:c r="E1393" s="5" t="str">
        <x:v>Pounded Yam &amp; Vegetable Soup</x:v>
      </x:c>
      <x:c r="F1393" s="5" t="str">
        <x:v>Swallow</x:v>
      </x:c>
      <x:c r="G1393" s="44" t="n">
        <x:v>3</x:v>
      </x:c>
      <x:c r="H1393" s="45" t="n">
        <x:v>3200</x:v>
      </x:c>
      <x:c r="I1393" s="46" t="n">
        <x:v>0</x:v>
      </x:c>
      <x:c r="J1393" s="47" t="n">
        <x:f>G1393*H1393*(1-I1393)</x:f>
        <x:v>9600</x:v>
      </x:c>
      <x:c r="K1393" s="47" t="n">
        <x:v>1710</x:v>
      </x:c>
      <x:c r="L1393" s="47" t="n">
        <x:f>G1393*K1393</x:f>
        <x:v>5130</x:v>
      </x:c>
      <x:c r="M1393" s="47" t="n">
        <x:f>J1393-L1393</x:f>
        <x:v>4470</x:v>
      </x:c>
      <x:c r="N1393" s="5" t="str">
        <x:v>Takeaway</x:v>
      </x:c>
      <x:c r="O1393" s="5" t="str">
        <x:v>Transfer</x:v>
      </x:c>
      <x:c r="P1393" s="5" t="str">
        <x:v>Lunch</x:v>
      </x:c>
      <x:c r="Q1393" s="48" t="n">
        <x:v>12</x:v>
      </x:c>
      <x:c r="R1393" s="5" t="n">
        <x:v>4</x:v>
      </x:c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5" t="str">
        <x:v>ORD-01473</x:v>
      </x:c>
      <x:c r="B1394" s="43" t="n">
        <x:v>46205</x:v>
      </x:c>
      <x:c r="C1394" s="5" t="str">
        <x:v>CUST-0429</x:v>
      </x:c>
      <x:c r="D1394" s="5" t="str">
        <x:v>FD007</x:v>
      </x:c>
      <x:c r="E1394" s="5" t="str">
        <x:v>Amala &amp; Ewedu</x:v>
      </x:c>
      <x:c r="F1394" s="5" t="str">
        <x:v>Swallow</x:v>
      </x:c>
      <x:c r="G1394" s="44" t="n">
        <x:v>2</x:v>
      </x:c>
      <x:c r="H1394" s="45" t="n">
        <x:v>2500</x:v>
      </x:c>
      <x:c r="I1394" s="46" t="n">
        <x:v>0</x:v>
      </x:c>
      <x:c r="J1394" s="47" t="n">
        <x:f>G1394*H1394*(1-I1394)</x:f>
        <x:v>5000</x:v>
      </x:c>
      <x:c r="K1394" s="47" t="n">
        <x:v>1250</x:v>
      </x:c>
      <x:c r="L1394" s="47" t="n">
        <x:f>G1394*K1394</x:f>
        <x:v>2500</x:v>
      </x:c>
      <x:c r="M1394" s="47" t="n">
        <x:f>J1394-L1394</x:f>
        <x:v>2500</x:v>
      </x:c>
      <x:c r="N1394" s="5" t="str">
        <x:v>Walk-in</x:v>
      </x:c>
      <x:c r="O1394" s="5" t="str">
        <x:v>Cash</x:v>
      </x:c>
      <x:c r="P1394" s="5" t="str">
        <x:v>Lunch</x:v>
      </x:c>
      <x:c r="Q1394" s="48" t="n">
        <x:v>12</x:v>
      </x:c>
      <x:c r="R1394" s="5" t="n">
        <x:v>4</x:v>
      </x:c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5" t="str">
        <x:v>ORD-00151</x:v>
      </x:c>
      <x:c r="B1395" s="43" t="n">
        <x:v>46206</x:v>
      </x:c>
      <x:c r="C1395" s="5" t="str">
        <x:v>CUST-0615</x:v>
      </x:c>
      <x:c r="D1395" s="5" t="str">
        <x:v>FD001</x:v>
      </x:c>
      <x:c r="E1395" s="5" t="str">
        <x:v>White Rice &amp; Stew</x:v>
      </x:c>
      <x:c r="F1395" s="5" t="str">
        <x:v>Rice Meals</x:v>
      </x:c>
      <x:c r="G1395" s="44" t="n">
        <x:v>2</x:v>
      </x:c>
      <x:c r="H1395" s="45" t="n">
        <x:v>1800</x:v>
      </x:c>
      <x:c r="I1395" s="46" t="n">
        <x:v>0</x:v>
      </x:c>
      <x:c r="J1395" s="47" t="n">
        <x:f>G1395*H1395*(1-I1395)</x:f>
        <x:v>3600</x:v>
      </x:c>
      <x:c r="K1395" s="47" t="n">
        <x:v>820</x:v>
      </x:c>
      <x:c r="L1395" s="47" t="n">
        <x:f>G1395*K1395</x:f>
        <x:v>1640</x:v>
      </x:c>
      <x:c r="M1395" s="47" t="n">
        <x:f>J1395-L1395</x:f>
        <x:v>1960</x:v>
      </x:c>
      <x:c r="N1395" s="5" t="str">
        <x:v>Walk-in</x:v>
      </x:c>
      <x:c r="O1395" s="5" t="str">
        <x:v>Cash</x:v>
      </x:c>
      <x:c r="P1395" s="5" t="str">
        <x:v>Lunch</x:v>
      </x:c>
      <x:c r="Q1395" s="48" t="n">
        <x:v>13</x:v>
      </x:c>
      <x:c r="R1395" s="5" t="n">
        <x:v>4</x:v>
      </x:c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5" t="str">
        <x:v>ORD-00243</x:v>
      </x:c>
      <x:c r="B1396" s="43" t="n">
        <x:v>46207</x:v>
      </x:c>
      <x:c r="C1396" s="5" t="str">
        <x:v>CUST-0391</x:v>
      </x:c>
      <x:c r="D1396" s="5" t="str">
        <x:v>FD001</x:v>
      </x:c>
      <x:c r="E1396" s="5" t="str">
        <x:v>White Rice &amp; Stew</x:v>
      </x:c>
      <x:c r="F1396" s="5" t="str">
        <x:v>Rice Meals</x:v>
      </x:c>
      <x:c r="G1396" s="44" t="n">
        <x:v>1</x:v>
      </x:c>
      <x:c r="H1396" s="45" t="n">
        <x:v>1800</x:v>
      </x:c>
      <x:c r="I1396" s="46" t="n">
        <x:v>0</x:v>
      </x:c>
      <x:c r="J1396" s="47" t="n">
        <x:f>G1396*H1396*(1-I1396)</x:f>
        <x:v>1800</x:v>
      </x:c>
      <x:c r="K1396" s="47" t="n">
        <x:v>820</x:v>
      </x:c>
      <x:c r="L1396" s="47" t="n">
        <x:f>G1396*K1396</x:f>
        <x:v>820</x:v>
      </x:c>
      <x:c r="M1396" s="47" t="n">
        <x:f>J1396-L1396</x:f>
        <x:v>980</x:v>
      </x:c>
      <x:c r="N1396" s="5" t="str">
        <x:v>Takeaway</x:v>
      </x:c>
      <x:c r="O1396" s="5" t="str">
        <x:v>POS</x:v>
      </x:c>
      <x:c r="P1396" s="5" t="str">
        <x:v>Lunch</x:v>
      </x:c>
      <x:c r="Q1396" s="48" t="n">
        <x:v>12</x:v>
      </x:c>
      <x:c r="R1396" s="5" t="n">
        <x:v>5</x:v>
      </x:c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5" t="str">
        <x:v>ORD-00544</x:v>
      </x:c>
      <x:c r="B1397" s="43" t="n">
        <x:v>46207</x:v>
      </x:c>
      <x:c r="C1397" s="5" t="str">
        <x:v>CUST-0617</x:v>
      </x:c>
      <x:c r="D1397" s="5" t="str">
        <x:v>FD004</x:v>
      </x:c>
      <x:c r="E1397" s="5" t="str">
        <x:v>Beans &amp; Plantain</x:v>
      </x:c>
      <x:c r="F1397" s="5" t="str">
        <x:v>Traditional Meals</x:v>
      </x:c>
      <x:c r="G1397" s="44" t="n">
        <x:v>1</x:v>
      </x:c>
      <x:c r="H1397" s="45" t="n">
        <x:v>2000</x:v>
      </x:c>
      <x:c r="I1397" s="46" t="n">
        <x:v>0</x:v>
      </x:c>
      <x:c r="J1397" s="47" t="n">
        <x:f>G1397*H1397*(1-I1397)</x:f>
        <x:v>2000</x:v>
      </x:c>
      <x:c r="K1397" s="47" t="n">
        <x:v>960</x:v>
      </x:c>
      <x:c r="L1397" s="47" t="n">
        <x:f>G1397*K1397</x:f>
        <x:v>960</x:v>
      </x:c>
      <x:c r="M1397" s="47" t="n">
        <x:f>J1397-L1397</x:f>
        <x:v>1040</x:v>
      </x:c>
      <x:c r="N1397" s="5" t="str">
        <x:v>Delivery</x:v>
      </x:c>
      <x:c r="O1397" s="5" t="str">
        <x:v>Transfer</x:v>
      </x:c>
      <x:c r="P1397" s="5" t="str">
        <x:v>Lunch</x:v>
      </x:c>
      <x:c r="Q1397" s="48" t="n">
        <x:v>14</x:v>
      </x:c>
      <x:c r="R1397" s="5" t="n">
        <x:v>5</x:v>
      </x:c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5" t="str">
        <x:v>ORD-00580</x:v>
      </x:c>
      <x:c r="B1398" s="43" t="n">
        <x:v>46207</x:v>
      </x:c>
      <x:c r="C1398" s="5" t="str">
        <x:v>CUST-0425</x:v>
      </x:c>
      <x:c r="D1398" s="5" t="str">
        <x:v>FD003</x:v>
      </x:c>
      <x:c r="E1398" s="5" t="str">
        <x:v>Fried Rice &amp; Chicken</x:v>
      </x:c>
      <x:c r="F1398" s="5" t="str">
        <x:v>Rice Meals</x:v>
      </x:c>
      <x:c r="G1398" s="44" t="n">
        <x:v>3</x:v>
      </x:c>
      <x:c r="H1398" s="45" t="n">
        <x:v>3000</x:v>
      </x:c>
      <x:c r="I1398" s="46" t="n">
        <x:v>0</x:v>
      </x:c>
      <x:c r="J1398" s="47" t="n">
        <x:f>G1398*H1398*(1-I1398)</x:f>
        <x:v>9000</x:v>
      </x:c>
      <x:c r="K1398" s="47" t="n">
        <x:v>1580</x:v>
      </x:c>
      <x:c r="L1398" s="47" t="n">
        <x:f>G1398*K1398</x:f>
        <x:v>4740</x:v>
      </x:c>
      <x:c r="M1398" s="47" t="n">
        <x:f>J1398-L1398</x:f>
        <x:v>4260</x:v>
      </x:c>
      <x:c r="N1398" s="5" t="str">
        <x:v>Walk-in</x:v>
      </x:c>
      <x:c r="O1398" s="5" t="str">
        <x:v>POS</x:v>
      </x:c>
      <x:c r="P1398" s="5" t="str">
        <x:v>Lunch</x:v>
      </x:c>
      <x:c r="Q1398" s="48" t="n">
        <x:v>12</x:v>
      </x:c>
      <x:c r="R1398" s="5" t="n">
        <x:v>4</x:v>
      </x:c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5" t="str">
        <x:v>ORD-00680</x:v>
      </x:c>
      <x:c r="B1399" s="43" t="n">
        <x:v>46207</x:v>
      </x:c>
      <x:c r="C1399" s="5" t="str">
        <x:v>CUST-0486</x:v>
      </x:c>
      <x:c r="D1399" s="5" t="str">
        <x:v>FD002</x:v>
      </x:c>
      <x:c r="E1399" s="5" t="str">
        <x:v>Jollof Rice &amp; Chicken</x:v>
      </x:c>
      <x:c r="F1399" s="5" t="str">
        <x:v>Rice Meals</x:v>
      </x:c>
      <x:c r="G1399" s="44" t="n">
        <x:v>1</x:v>
      </x:c>
      <x:c r="H1399" s="45" t="n">
        <x:v>2800</x:v>
      </x:c>
      <x:c r="I1399" s="46" t="n">
        <x:v>0</x:v>
      </x:c>
      <x:c r="J1399" s="47" t="n">
        <x:f>G1399*H1399*(1-I1399)</x:f>
        <x:v>2800</x:v>
      </x:c>
      <x:c r="K1399" s="47" t="n">
        <x:v>1450</x:v>
      </x:c>
      <x:c r="L1399" s="47" t="n">
        <x:f>G1399*K1399</x:f>
        <x:v>1450</x:v>
      </x:c>
      <x:c r="M1399" s="47" t="n">
        <x:f>J1399-L1399</x:f>
        <x:v>1350</x:v>
      </x:c>
      <x:c r="N1399" s="5" t="str">
        <x:v>Walk-in</x:v>
      </x:c>
      <x:c r="O1399" s="5" t="str">
        <x:v>POS</x:v>
      </x:c>
      <x:c r="P1399" s="5" t="str">
        <x:v>Dinner</x:v>
      </x:c>
      <x:c r="Q1399" s="48" t="n">
        <x:v>17</x:v>
      </x:c>
      <x:c r="R1399" s="5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5" t="str">
        <x:v>ORD-00736</x:v>
      </x:c>
      <x:c r="B1400" s="43" t="n">
        <x:v>46207</x:v>
      </x:c>
      <x:c r="C1400" s="5" t="str">
        <x:v>CUST-0554</x:v>
      </x:c>
      <x:c r="D1400" s="5" t="str">
        <x:v>FD003</x:v>
      </x:c>
      <x:c r="E1400" s="5" t="str">
        <x:v>Fried Rice &amp; Chicken</x:v>
      </x:c>
      <x:c r="F1400" s="5" t="str">
        <x:v>Rice Meals</x:v>
      </x:c>
      <x:c r="G1400" s="44" t="n">
        <x:v>1</x:v>
      </x:c>
      <x:c r="H1400" s="45" t="n">
        <x:v>3000</x:v>
      </x:c>
      <x:c r="I1400" s="46" t="n">
        <x:v>0</x:v>
      </x:c>
      <x:c r="J1400" s="47" t="n">
        <x:f>G1400*H1400*(1-I1400)</x:f>
        <x:v>3000</x:v>
      </x:c>
      <x:c r="K1400" s="47" t="n">
        <x:v>1580</x:v>
      </x:c>
      <x:c r="L1400" s="47" t="n">
        <x:f>G1400*K1400</x:f>
        <x:v>1580</x:v>
      </x:c>
      <x:c r="M1400" s="47" t="n">
        <x:f>J1400-L1400</x:f>
        <x:v>1420</x:v>
      </x:c>
      <x:c r="N1400" s="5" t="str">
        <x:v>Walk-in</x:v>
      </x:c>
      <x:c r="O1400" s="5" t="str">
        <x:v>POS</x:v>
      </x:c>
      <x:c r="P1400" s="5" t="str">
        <x:v>Lunch</x:v>
      </x:c>
      <x:c r="Q1400" s="48" t="n">
        <x:v>12</x:v>
      </x:c>
      <x:c r="R1400" s="5" t="n">
        <x:v>5</x:v>
      </x:c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5" t="str">
        <x:v>ORD-00810</x:v>
      </x:c>
      <x:c r="B1401" s="43" t="n">
        <x:v>46207</x:v>
      </x:c>
      <x:c r="C1401" s="5" t="str">
        <x:v>CUST-0218</x:v>
      </x:c>
      <x:c r="D1401" s="5" t="str">
        <x:v>FD001</x:v>
      </x:c>
      <x:c r="E1401" s="5" t="str">
        <x:v>White Rice &amp; Stew</x:v>
      </x:c>
      <x:c r="F1401" s="5" t="str">
        <x:v>Rice Meals</x:v>
      </x:c>
      <x:c r="G1401" s="44" t="n">
        <x:v>2</x:v>
      </x:c>
      <x:c r="H1401" s="45" t="n">
        <x:v>1800</x:v>
      </x:c>
      <x:c r="I1401" s="46" t="n">
        <x:v>0</x:v>
      </x:c>
      <x:c r="J1401" s="47" t="n">
        <x:f>G1401*H1401*(1-I1401)</x:f>
        <x:v>3600</x:v>
      </x:c>
      <x:c r="K1401" s="47" t="n">
        <x:v>820</x:v>
      </x:c>
      <x:c r="L1401" s="47" t="n">
        <x:f>G1401*K1401</x:f>
        <x:v>1640</x:v>
      </x:c>
      <x:c r="M1401" s="47" t="n">
        <x:f>J1401-L1401</x:f>
        <x:v>1960</x:v>
      </x:c>
      <x:c r="N1401" s="5" t="str">
        <x:v>Walk-in</x:v>
      </x:c>
      <x:c r="O1401" s="5" t="str">
        <x:v>Transfer</x:v>
      </x:c>
      <x:c r="P1401" s="5" t="str">
        <x:v>Lunch</x:v>
      </x:c>
      <x:c r="Q1401" s="48" t="n">
        <x:v>15</x:v>
      </x:c>
      <x:c r="R1401" s="5" t="n">
        <x:v>4</x:v>
      </x:c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5" t="str">
        <x:v>ORD-01361</x:v>
      </x:c>
      <x:c r="B1402" s="43" t="n">
        <x:v>46207</x:v>
      </x:c>
      <x:c r="C1402" s="5" t="str">
        <x:v>CUST-0181</x:v>
      </x:c>
      <x:c r="D1402" s="5" t="str">
        <x:v>FD002</x:v>
      </x:c>
      <x:c r="E1402" s="5" t="str">
        <x:v>Jollof Rice &amp; Chicken</x:v>
      </x:c>
      <x:c r="F1402" s="5" t="str">
        <x:v>Rice Meals</x:v>
      </x:c>
      <x:c r="G1402" s="44" t="n">
        <x:v>3</x:v>
      </x:c>
      <x:c r="H1402" s="45" t="n">
        <x:v>2800</x:v>
      </x:c>
      <x:c r="I1402" s="46" t="n">
        <x:v>0</x:v>
      </x:c>
      <x:c r="J1402" s="47" t="n">
        <x:f>G1402*H1402*(1-I1402)</x:f>
        <x:v>8400</x:v>
      </x:c>
      <x:c r="K1402" s="47" t="n">
        <x:v>1450</x:v>
      </x:c>
      <x:c r="L1402" s="47" t="n">
        <x:f>G1402*K1402</x:f>
        <x:v>4350</x:v>
      </x:c>
      <x:c r="M1402" s="47" t="n">
        <x:f>J1402-L1402</x:f>
        <x:v>4050</x:v>
      </x:c>
      <x:c r="N1402" s="5" t="str">
        <x:v>Takeaway</x:v>
      </x:c>
      <x:c r="O1402" s="5" t="str">
        <x:v>Transfer</x:v>
      </x:c>
      <x:c r="P1402" s="5" t="str">
        <x:v>Lunch</x:v>
      </x:c>
      <x:c r="Q1402" s="48" t="n">
        <x:v>13</x:v>
      </x:c>
      <x:c r="R1402" s="5" t="n">
        <x:v>5</x:v>
      </x:c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5" t="str">
        <x:v>ORD-01371</x:v>
      </x:c>
      <x:c r="B1403" s="43" t="n">
        <x:v>46207</x:v>
      </x:c>
      <x:c r="C1403" s="5" t="str">
        <x:v>CUST-0431</x:v>
      </x:c>
      <x:c r="D1403" s="5" t="str">
        <x:v>FD002</x:v>
      </x:c>
      <x:c r="E1403" s="5" t="str">
        <x:v>Jollof Rice &amp; Chicken</x:v>
      </x:c>
      <x:c r="F1403" s="5" t="str">
        <x:v>Rice Meals</x:v>
      </x:c>
      <x:c r="G1403" s="44" t="n">
        <x:v>4</x:v>
      </x:c>
      <x:c r="H1403" s="45" t="n">
        <x:v>2800</x:v>
      </x:c>
      <x:c r="I1403" s="46" t="n">
        <x:v>0</x:v>
      </x:c>
      <x:c r="J1403" s="47" t="n">
        <x:f>G1403*H1403*(1-I1403)</x:f>
        <x:v>11200</x:v>
      </x:c>
      <x:c r="K1403" s="47" t="n">
        <x:v>1450</x:v>
      </x:c>
      <x:c r="L1403" s="47" t="n">
        <x:f>G1403*K1403</x:f>
        <x:v>5800</x:v>
      </x:c>
      <x:c r="M1403" s="47" t="n">
        <x:f>J1403-L1403</x:f>
        <x:v>5400</x:v>
      </x:c>
      <x:c r="N1403" s="5" t="str">
        <x:v>Takeaway</x:v>
      </x:c>
      <x:c r="O1403" s="5" t="str">
        <x:v>Transfer</x:v>
      </x:c>
      <x:c r="P1403" s="5" t="str">
        <x:v>Lunch</x:v>
      </x:c>
      <x:c r="Q1403" s="48" t="n">
        <x:v>14</x:v>
      </x:c>
      <x:c r="R1403" s="5" t="n">
        <x:v>4</x:v>
      </x:c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5" t="str">
        <x:v>ORD-01578</x:v>
      </x:c>
      <x:c r="B1404" s="43" t="n">
        <x:v>46207</x:v>
      </x:c>
      <x:c r="C1404" s="5" t="str">
        <x:v>CUST-0184</x:v>
      </x:c>
      <x:c r="D1404" s="5" t="str">
        <x:v>FD006</x:v>
      </x:c>
      <x:c r="E1404" s="5" t="str">
        <x:v>Eba &amp; Egusi Soup</x:v>
      </x:c>
      <x:c r="F1404" s="5" t="str">
        <x:v>Swallow</x:v>
      </x:c>
      <x:c r="G1404" s="44" t="n">
        <x:v>3</x:v>
      </x:c>
      <x:c r="H1404" s="45" t="n">
        <x:v>2600</x:v>
      </x:c>
      <x:c r="I1404" s="46" t="n">
        <x:v>0</x:v>
      </x:c>
      <x:c r="J1404" s="47" t="n">
        <x:f>G1404*H1404*(1-I1404)</x:f>
        <x:v>7800</x:v>
      </x:c>
      <x:c r="K1404" s="47" t="n">
        <x:v>1320</x:v>
      </x:c>
      <x:c r="L1404" s="47" t="n">
        <x:f>G1404*K1404</x:f>
        <x:v>3960</x:v>
      </x:c>
      <x:c r="M1404" s="47" t="n">
        <x:f>J1404-L1404</x:f>
        <x:v>3840</x:v>
      </x:c>
      <x:c r="N1404" s="5" t="str">
        <x:v>Walk-in</x:v>
      </x:c>
      <x:c r="O1404" s="5" t="str">
        <x:v>Transfer</x:v>
      </x:c>
      <x:c r="P1404" s="5" t="str">
        <x:v>Lunch</x:v>
      </x:c>
      <x:c r="Q1404" s="48" t="n">
        <x:v>12</x:v>
      </x:c>
      <x:c r="R1404" s="5" t="n">
        <x:v>4</x:v>
      </x:c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5" t="str">
        <x:v>ORD-00298</x:v>
      </x:c>
      <x:c r="B1405" s="43" t="n">
        <x:v>46208</x:v>
      </x:c>
      <x:c r="C1405" s="5" t="str">
        <x:v>CUST-0391</x:v>
      </x:c>
      <x:c r="D1405" s="5" t="str">
        <x:v>FD002</x:v>
      </x:c>
      <x:c r="E1405" s="5" t="str">
        <x:v>Jollof Rice &amp; Chicken</x:v>
      </x:c>
      <x:c r="F1405" s="5" t="str">
        <x:v>Rice Meals</x:v>
      </x:c>
      <x:c r="G1405" s="44" t="n">
        <x:v>1</x:v>
      </x:c>
      <x:c r="H1405" s="45" t="n">
        <x:v>2800</x:v>
      </x:c>
      <x:c r="I1405" s="46" t="n">
        <x:v>0</x:v>
      </x:c>
      <x:c r="J1405" s="47" t="n">
        <x:f>G1405*H1405*(1-I1405)</x:f>
        <x:v>2800</x:v>
      </x:c>
      <x:c r="K1405" s="47" t="n">
        <x:v>1450</x:v>
      </x:c>
      <x:c r="L1405" s="47" t="n">
        <x:f>G1405*K1405</x:f>
        <x:v>1450</x:v>
      </x:c>
      <x:c r="M1405" s="47" t="n">
        <x:f>J1405-L1405</x:f>
        <x:v>1350</x:v>
      </x:c>
      <x:c r="N1405" s="5" t="str">
        <x:v>Delivery</x:v>
      </x:c>
      <x:c r="O1405" s="5" t="str">
        <x:v>POS</x:v>
      </x:c>
      <x:c r="P1405" s="5" t="str">
        <x:v>Lunch</x:v>
      </x:c>
      <x:c r="Q1405" s="48" t="n">
        <x:v>13</x:v>
      </x:c>
      <x:c r="R1405" s="5" t="n">
        <x:v>4</x:v>
      </x:c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5" t="str">
        <x:v>ORD-00385</x:v>
      </x:c>
      <x:c r="B1406" s="43" t="n">
        <x:v>46208</x:v>
      </x:c>
      <x:c r="C1406" s="5" t="str">
        <x:v>CUST-0443</x:v>
      </x:c>
      <x:c r="D1406" s="5" t="str">
        <x:v>FD001</x:v>
      </x:c>
      <x:c r="E1406" s="5" t="str">
        <x:v>White Rice &amp; Stew</x:v>
      </x:c>
      <x:c r="F1406" s="5" t="str">
        <x:v>Rice Meals</x:v>
      </x:c>
      <x:c r="G1406" s="44" t="n">
        <x:v>1</x:v>
      </x:c>
      <x:c r="H1406" s="45" t="n">
        <x:v>1800</x:v>
      </x:c>
      <x:c r="I1406" s="46" t="n">
        <x:v>0</x:v>
      </x:c>
      <x:c r="J1406" s="47" t="n">
        <x:f>G1406*H1406*(1-I1406)</x:f>
        <x:v>1800</x:v>
      </x:c>
      <x:c r="K1406" s="47" t="n">
        <x:v>820</x:v>
      </x:c>
      <x:c r="L1406" s="47" t="n">
        <x:f>G1406*K1406</x:f>
        <x:v>820</x:v>
      </x:c>
      <x:c r="M1406" s="47" t="n">
        <x:f>J1406-L1406</x:f>
        <x:v>980</x:v>
      </x:c>
      <x:c r="N1406" s="5" t="str">
        <x:v>Walk-in</x:v>
      </x:c>
      <x:c r="O1406" s="5" t="str">
        <x:v>POS</x:v>
      </x:c>
      <x:c r="P1406" s="5" t="str">
        <x:v>Lunch</x:v>
      </x:c>
      <x:c r="Q1406" s="48" t="n">
        <x:v>11</x:v>
      </x:c>
      <x:c r="R1406" s="5" t="n">
        <x:v>4</x:v>
      </x:c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5" t="str">
        <x:v>ORD-00573</x:v>
      </x:c>
      <x:c r="B1407" s="43" t="n">
        <x:v>46208</x:v>
      </x:c>
      <x:c r="C1407" s="5" t="str">
        <x:v>CUST-0629</x:v>
      </x:c>
      <x:c r="D1407" s="5" t="str">
        <x:v>FD002</x:v>
      </x:c>
      <x:c r="E1407" s="5" t="str">
        <x:v>Jollof Rice &amp; Chicken</x:v>
      </x:c>
      <x:c r="F1407" s="5" t="str">
        <x:v>Rice Meals</x:v>
      </x:c>
      <x:c r="G1407" s="44" t="n">
        <x:v>2</x:v>
      </x:c>
      <x:c r="H1407" s="45" t="n">
        <x:v>2800</x:v>
      </x:c>
      <x:c r="I1407" s="46" t="n">
        <x:v>0</x:v>
      </x:c>
      <x:c r="J1407" s="47" t="n">
        <x:f>G1407*H1407*(1-I1407)</x:f>
        <x:v>5600</x:v>
      </x:c>
      <x:c r="K1407" s="47" t="n">
        <x:v>1450</x:v>
      </x:c>
      <x:c r="L1407" s="47" t="n">
        <x:f>G1407*K1407</x:f>
        <x:v>2900</x:v>
      </x:c>
      <x:c r="M1407" s="47" t="n">
        <x:f>J1407-L1407</x:f>
        <x:v>2700</x:v>
      </x:c>
      <x:c r="N1407" s="5" t="str">
        <x:v>Walk-in</x:v>
      </x:c>
      <x:c r="O1407" s="5" t="str">
        <x:v>Transfer</x:v>
      </x:c>
      <x:c r="P1407" s="5" t="str">
        <x:v>Lunch</x:v>
      </x:c>
      <x:c r="Q1407" s="48" t="n">
        <x:v>13</x:v>
      </x:c>
      <x:c r="R1407" s="5" t="n">
        <x:v>4</x:v>
      </x:c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5" t="str">
        <x:v>ORD-00668</x:v>
      </x:c>
      <x:c r="B1408" s="43" t="n">
        <x:v>46208</x:v>
      </x:c>
      <x:c r="C1408" s="5" t="str">
        <x:v>CUST-0225</x:v>
      </x:c>
      <x:c r="D1408" s="5" t="str">
        <x:v>FD010</x:v>
      </x:c>
      <x:c r="E1408" s="5" t="str">
        <x:v>Soft Drink</x:v>
      </x:c>
      <x:c r="F1408" s="5" t="str">
        <x:v>Beverages</x:v>
      </x:c>
      <x:c r="G1408" s="44" t="n">
        <x:v>1</x:v>
      </x:c>
      <x:c r="H1408" s="45" t="n">
        <x:v>600</x:v>
      </x:c>
      <x:c r="I1408" s="46" t="n">
        <x:v>0</x:v>
      </x:c>
      <x:c r="J1408" s="47" t="n">
        <x:f>G1408*H1408*(1-I1408)</x:f>
        <x:v>600</x:v>
      </x:c>
      <x:c r="K1408" s="47" t="n">
        <x:v>280</x:v>
      </x:c>
      <x:c r="L1408" s="47" t="n">
        <x:f>G1408*K1408</x:f>
        <x:v>280</x:v>
      </x:c>
      <x:c r="M1408" s="47" t="n">
        <x:f>J1408-L1408</x:f>
        <x:v>320</x:v>
      </x:c>
      <x:c r="N1408" s="5" t="str">
        <x:v>Walk-in</x:v>
      </x:c>
      <x:c r="O1408" s="5" t="str">
        <x:v>Transfer</x:v>
      </x:c>
      <x:c r="P1408" s="5" t="str">
        <x:v>Lunch</x:v>
      </x:c>
      <x:c r="Q1408" s="48" t="n">
        <x:v>13</x:v>
      </x:c>
      <x:c r="R1408" s="5" t="n">
        <x:v>4</x:v>
      </x:c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5" t="str">
        <x:v>ORD-00778</x:v>
      </x:c>
      <x:c r="B1409" s="43" t="n">
        <x:v>46208</x:v>
      </x:c>
      <x:c r="C1409" s="5" t="str">
        <x:v>CUST-0176</x:v>
      </x:c>
      <x:c r="D1409" s="5" t="str">
        <x:v>FD007</x:v>
      </x:c>
      <x:c r="E1409" s="5" t="str">
        <x:v>Amala &amp; Ewedu</x:v>
      </x:c>
      <x:c r="F1409" s="5" t="str">
        <x:v>Swallow</x:v>
      </x:c>
      <x:c r="G1409" s="44" t="n">
        <x:v>1</x:v>
      </x:c>
      <x:c r="H1409" s="45" t="n">
        <x:v>2500</x:v>
      </x:c>
      <x:c r="I1409" s="46" t="n">
        <x:v>0</x:v>
      </x:c>
      <x:c r="J1409" s="47" t="n">
        <x:f>G1409*H1409*(1-I1409)</x:f>
        <x:v>2500</x:v>
      </x:c>
      <x:c r="K1409" s="47" t="n">
        <x:v>1250</x:v>
      </x:c>
      <x:c r="L1409" s="47" t="n">
        <x:f>G1409*K1409</x:f>
        <x:v>1250</x:v>
      </x:c>
      <x:c r="M1409" s="47" t="n">
        <x:f>J1409-L1409</x:f>
        <x:v>1250</x:v>
      </x:c>
      <x:c r="N1409" s="5" t="str">
        <x:v>Takeaway</x:v>
      </x:c>
      <x:c r="O1409" s="5" t="str">
        <x:v>Cash</x:v>
      </x:c>
      <x:c r="P1409" s="5" t="str">
        <x:v>Dinner</x:v>
      </x:c>
      <x:c r="Q1409" s="48" t="n">
        <x:v>18</x:v>
      </x:c>
      <x:c r="R1409" s="5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5" t="str">
        <x:v>ORD-00850</x:v>
      </x:c>
      <x:c r="B1410" s="43" t="n">
        <x:v>46208</x:v>
      </x:c>
      <x:c r="C1410" s="5" t="str">
        <x:v>CUST-0199</x:v>
      </x:c>
      <x:c r="D1410" s="5" t="str">
        <x:v>FD003</x:v>
      </x:c>
      <x:c r="E1410" s="5" t="str">
        <x:v>Fried Rice &amp; Chicken</x:v>
      </x:c>
      <x:c r="F1410" s="5" t="str">
        <x:v>Rice Meals</x:v>
      </x:c>
      <x:c r="G1410" s="44" t="n">
        <x:v>3</x:v>
      </x:c>
      <x:c r="H1410" s="45" t="n">
        <x:v>3000</x:v>
      </x:c>
      <x:c r="I1410" s="46" t="n">
        <x:v>0</x:v>
      </x:c>
      <x:c r="J1410" s="47" t="n">
        <x:f>G1410*H1410*(1-I1410)</x:f>
        <x:v>9000</x:v>
      </x:c>
      <x:c r="K1410" s="47" t="n">
        <x:v>1580</x:v>
      </x:c>
      <x:c r="L1410" s="47" t="n">
        <x:f>G1410*K1410</x:f>
        <x:v>4740</x:v>
      </x:c>
      <x:c r="M1410" s="47" t="n">
        <x:f>J1410-L1410</x:f>
        <x:v>4260</x:v>
      </x:c>
      <x:c r="N1410" s="5" t="str">
        <x:v>Walk-in</x:v>
      </x:c>
      <x:c r="O1410" s="5" t="str">
        <x:v>POS</x:v>
      </x:c>
      <x:c r="P1410" s="5" t="str">
        <x:v>Breakfast</x:v>
      </x:c>
      <x:c r="Q1410" s="48" t="n">
        <x:v>9</x:v>
      </x:c>
      <x:c r="R1410" s="5" t="n">
        <x:v>4</x:v>
      </x:c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5" t="str">
        <x:v>ORD-01416</x:v>
      </x:c>
      <x:c r="B1411" s="43" t="n">
        <x:v>46208</x:v>
      </x:c>
      <x:c r="C1411" s="5" t="str">
        <x:v>CUST-0383</x:v>
      </x:c>
      <x:c r="D1411" s="5" t="str">
        <x:v>FD004</x:v>
      </x:c>
      <x:c r="E1411" s="5" t="str">
        <x:v>Beans &amp; Plantain</x:v>
      </x:c>
      <x:c r="F1411" s="5" t="str">
        <x:v>Traditional Meals</x:v>
      </x:c>
      <x:c r="G1411" s="44" t="n">
        <x:v>3</x:v>
      </x:c>
      <x:c r="H1411" s="45" t="n">
        <x:v>2000</x:v>
      </x:c>
      <x:c r="I1411" s="46" t="n">
        <x:v>0.05</x:v>
      </x:c>
      <x:c r="J1411" s="47" t="n">
        <x:f>G1411*H1411*(1-I1411)</x:f>
        <x:v>5700</x:v>
      </x:c>
      <x:c r="K1411" s="47" t="n">
        <x:v>960</x:v>
      </x:c>
      <x:c r="L1411" s="47" t="n">
        <x:f>G1411*K1411</x:f>
        <x:v>2880</x:v>
      </x:c>
      <x:c r="M1411" s="47" t="n">
        <x:f>J1411-L1411</x:f>
        <x:v>2820</x:v>
      </x:c>
      <x:c r="N1411" s="5" t="str">
        <x:v>Walk-in</x:v>
      </x:c>
      <x:c r="O1411" s="5" t="str">
        <x:v>POS</x:v>
      </x:c>
      <x:c r="P1411" s="5" t="str">
        <x:v>Lunch</x:v>
      </x:c>
      <x:c r="Q1411" s="48" t="n">
        <x:v>13</x:v>
      </x:c>
      <x:c r="R1411" s="5" t="n">
        <x:v>4</x:v>
      </x:c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5" t="str">
        <x:v>ORD-00084</x:v>
      </x:c>
      <x:c r="B1412" s="43" t="n">
        <x:v>46209</x:v>
      </x:c>
      <x:c r="C1412" s="5" t="str">
        <x:v>CUST-0229</x:v>
      </x:c>
      <x:c r="D1412" s="5" t="str">
        <x:v>FD006</x:v>
      </x:c>
      <x:c r="E1412" s="5" t="str">
        <x:v>Eba &amp; Egusi Soup</x:v>
      </x:c>
      <x:c r="F1412" s="5" t="str">
        <x:v>Swallow</x:v>
      </x:c>
      <x:c r="G1412" s="44" t="n">
        <x:v>3</x:v>
      </x:c>
      <x:c r="H1412" s="45" t="n">
        <x:v>2600</x:v>
      </x:c>
      <x:c r="I1412" s="46" t="n">
        <x:v>0</x:v>
      </x:c>
      <x:c r="J1412" s="47" t="n">
        <x:f>G1412*H1412*(1-I1412)</x:f>
        <x:v>7800</x:v>
      </x:c>
      <x:c r="K1412" s="47" t="n">
        <x:v>1320</x:v>
      </x:c>
      <x:c r="L1412" s="47" t="n">
        <x:f>G1412*K1412</x:f>
        <x:v>3960</x:v>
      </x:c>
      <x:c r="M1412" s="47" t="n">
        <x:f>J1412-L1412</x:f>
        <x:v>3840</x:v>
      </x:c>
      <x:c r="N1412" s="5" t="str">
        <x:v>Walk-in</x:v>
      </x:c>
      <x:c r="O1412" s="5" t="str">
        <x:v>Transfer</x:v>
      </x:c>
      <x:c r="P1412" s="5" t="str">
        <x:v>Dinner</x:v>
      </x:c>
      <x:c r="Q1412" s="48" t="n">
        <x:v>16</x:v>
      </x:c>
      <x:c r="R1412" s="5" t="n">
        <x:v>5</x:v>
      </x:c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5" t="str">
        <x:v>ORD-00149</x:v>
      </x:c>
      <x:c r="B1413" s="43" t="n">
        <x:v>46209</x:v>
      </x:c>
      <x:c r="C1413" s="5" t="str">
        <x:v>CUST-0092</x:v>
      </x:c>
      <x:c r="D1413" s="5" t="str">
        <x:v>FD004</x:v>
      </x:c>
      <x:c r="E1413" s="5" t="str">
        <x:v>Beans &amp; Plantain</x:v>
      </x:c>
      <x:c r="F1413" s="5" t="str">
        <x:v>Traditional Meals</x:v>
      </x:c>
      <x:c r="G1413" s="44" t="n">
        <x:v>1</x:v>
      </x:c>
      <x:c r="H1413" s="45" t="n">
        <x:v>2000</x:v>
      </x:c>
      <x:c r="I1413" s="46" t="n">
        <x:v>0</x:v>
      </x:c>
      <x:c r="J1413" s="47" t="n">
        <x:f>G1413*H1413*(1-I1413)</x:f>
        <x:v>2000</x:v>
      </x:c>
      <x:c r="K1413" s="47" t="n">
        <x:v>960</x:v>
      </x:c>
      <x:c r="L1413" s="47" t="n">
        <x:f>G1413*K1413</x:f>
        <x:v>960</x:v>
      </x:c>
      <x:c r="M1413" s="47" t="n">
        <x:f>J1413-L1413</x:f>
        <x:v>1040</x:v>
      </x:c>
      <x:c r="N1413" s="5" t="str">
        <x:v>Walk-in</x:v>
      </x:c>
      <x:c r="O1413" s="5" t="str">
        <x:v>Cash</x:v>
      </x:c>
      <x:c r="P1413" s="5" t="str">
        <x:v>Dinner</x:v>
      </x:c>
      <x:c r="Q1413" s="48" t="n">
        <x:v>17</x:v>
      </x:c>
      <x:c r="R1413" s="5" t="n">
        <x:v>4</x:v>
      </x:c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5" t="str">
        <x:v>ORD-00271</x:v>
      </x:c>
      <x:c r="B1414" s="43" t="n">
        <x:v>46209</x:v>
      </x:c>
      <x:c r="C1414" s="5" t="str">
        <x:v>CUST-0588</x:v>
      </x:c>
      <x:c r="D1414" s="5" t="str">
        <x:v>FD009</x:v>
      </x:c>
      <x:c r="E1414" s="5" t="str">
        <x:v>Moi Moi</x:v>
      </x:c>
      <x:c r="F1414" s="5" t="str">
        <x:v>Sides</x:v>
      </x:c>
      <x:c r="G1414" s="44" t="n">
        <x:v>3</x:v>
      </x:c>
      <x:c r="H1414" s="45" t="n">
        <x:v>900</x:v>
      </x:c>
      <x:c r="I1414" s="46" t="n">
        <x:v>0</x:v>
      </x:c>
      <x:c r="J1414" s="47" t="n">
        <x:f>G1414*H1414*(1-I1414)</x:f>
        <x:v>2700</x:v>
      </x:c>
      <x:c r="K1414" s="47" t="n">
        <x:v>380</x:v>
      </x:c>
      <x:c r="L1414" s="47" t="n">
        <x:f>G1414*K1414</x:f>
        <x:v>1140</x:v>
      </x:c>
      <x:c r="M1414" s="47" t="n">
        <x:f>J1414-L1414</x:f>
        <x:v>1560</x:v>
      </x:c>
      <x:c r="N1414" s="5" t="str">
        <x:v>Delivery</x:v>
      </x:c>
      <x:c r="O1414" s="5" t="str">
        <x:v>Transfer</x:v>
      </x:c>
      <x:c r="P1414" s="5" t="str">
        <x:v>Lunch</x:v>
      </x:c>
      <x:c r="Q1414" s="48" t="n">
        <x:v>11</x:v>
      </x:c>
      <x:c r="R1414" s="5" t="n">
        <x:v>5</x:v>
      </x:c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5" t="str">
        <x:v>ORD-00902</x:v>
      </x:c>
      <x:c r="B1415" s="43" t="n">
        <x:v>46209</x:v>
      </x:c>
      <x:c r="C1415" s="5" t="str">
        <x:v>CUST-0055</x:v>
      </x:c>
      <x:c r="D1415" s="5" t="str">
        <x:v>FD002</x:v>
      </x:c>
      <x:c r="E1415" s="5" t="str">
        <x:v>Jollof Rice &amp; Chicken</x:v>
      </x:c>
      <x:c r="F1415" s="5" t="str">
        <x:v>Rice Meals</x:v>
      </x:c>
      <x:c r="G1415" s="44" t="n">
        <x:v>2</x:v>
      </x:c>
      <x:c r="H1415" s="45" t="n">
        <x:v>2800</x:v>
      </x:c>
      <x:c r="I1415" s="46" t="n">
        <x:v>0.1</x:v>
      </x:c>
      <x:c r="J1415" s="47" t="n">
        <x:f>G1415*H1415*(1-I1415)</x:f>
        <x:v>5040</x:v>
      </x:c>
      <x:c r="K1415" s="47" t="n">
        <x:v>1450</x:v>
      </x:c>
      <x:c r="L1415" s="47" t="n">
        <x:f>G1415*K1415</x:f>
        <x:v>2900</x:v>
      </x:c>
      <x:c r="M1415" s="47" t="n">
        <x:f>J1415-L1415</x:f>
        <x:v>2140</x:v>
      </x:c>
      <x:c r="N1415" s="5" t="str">
        <x:v>Takeaway</x:v>
      </x:c>
      <x:c r="O1415" s="5" t="str">
        <x:v>Cash</x:v>
      </x:c>
      <x:c r="P1415" s="5" t="str">
        <x:v>Lunch</x:v>
      </x:c>
      <x:c r="Q1415" s="48" t="n">
        <x:v>11</x:v>
      </x:c>
      <x:c r="R1415" s="5" t="n">
        <x:v>4</x:v>
      </x:c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5" t="str">
        <x:v>ORD-00625</x:v>
      </x:c>
      <x:c r="B1416" s="43" t="n">
        <x:v>46210</x:v>
      </x:c>
      <x:c r="C1416" s="5" t="str">
        <x:v>CUST-0099</x:v>
      </x:c>
      <x:c r="D1416" s="5" t="str">
        <x:v>FD001</x:v>
      </x:c>
      <x:c r="E1416" s="5" t="str">
        <x:v>White Rice &amp; Stew</x:v>
      </x:c>
      <x:c r="F1416" s="5" t="str">
        <x:v>Rice Meals</x:v>
      </x:c>
      <x:c r="G1416" s="44" t="n">
        <x:v>1</x:v>
      </x:c>
      <x:c r="H1416" s="45" t="n">
        <x:v>1800</x:v>
      </x:c>
      <x:c r="I1416" s="46" t="n">
        <x:v>0</x:v>
      </x:c>
      <x:c r="J1416" s="47" t="n">
        <x:f>G1416*H1416*(1-I1416)</x:f>
        <x:v>1800</x:v>
      </x:c>
      <x:c r="K1416" s="47" t="n">
        <x:v>820</x:v>
      </x:c>
      <x:c r="L1416" s="47" t="n">
        <x:f>G1416*K1416</x:f>
        <x:v>820</x:v>
      </x:c>
      <x:c r="M1416" s="47" t="n">
        <x:f>J1416-L1416</x:f>
        <x:v>980</x:v>
      </x:c>
      <x:c r="N1416" s="5" t="str">
        <x:v>Walk-in</x:v>
      </x:c>
      <x:c r="O1416" s="5" t="str">
        <x:v>POS</x:v>
      </x:c>
      <x:c r="P1416" s="5" t="str">
        <x:v>Lunch</x:v>
      </x:c>
      <x:c r="Q1416" s="48" t="n">
        <x:v>12</x:v>
      </x:c>
      <x:c r="R1416" s="5" t="n">
        <x:v>5</x:v>
      </x:c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5" t="str">
        <x:v>ORD-00658</x:v>
      </x:c>
      <x:c r="B1417" s="43" t="n">
        <x:v>46210</x:v>
      </x:c>
      <x:c r="C1417" s="5" t="str">
        <x:v>CUST-0073</x:v>
      </x:c>
      <x:c r="D1417" s="5" t="str">
        <x:v>FD002</x:v>
      </x:c>
      <x:c r="E1417" s="5" t="str">
        <x:v>Jollof Rice &amp; Chicken</x:v>
      </x:c>
      <x:c r="F1417" s="5" t="str">
        <x:v>Rice Meals</x:v>
      </x:c>
      <x:c r="G1417" s="44" t="n">
        <x:v>3</x:v>
      </x:c>
      <x:c r="H1417" s="45" t="n">
        <x:v>2800</x:v>
      </x:c>
      <x:c r="I1417" s="46" t="n">
        <x:v>0</x:v>
      </x:c>
      <x:c r="J1417" s="47" t="n">
        <x:f>G1417*H1417*(1-I1417)</x:f>
        <x:v>8400</x:v>
      </x:c>
      <x:c r="K1417" s="47" t="n">
        <x:v>1450</x:v>
      </x:c>
      <x:c r="L1417" s="47" t="n">
        <x:f>G1417*K1417</x:f>
        <x:v>4350</x:v>
      </x:c>
      <x:c r="M1417" s="47" t="n">
        <x:f>J1417-L1417</x:f>
        <x:v>4050</x:v>
      </x:c>
      <x:c r="N1417" s="5" t="str">
        <x:v>Walk-in</x:v>
      </x:c>
      <x:c r="O1417" s="5" t="str">
        <x:v>POS</x:v>
      </x:c>
      <x:c r="P1417" s="5" t="str">
        <x:v>Dinner</x:v>
      </x:c>
      <x:c r="Q1417" s="48" t="n">
        <x:v>19</x:v>
      </x:c>
      <x:c r="R1417" s="5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5" t="str">
        <x:v>ORD-00750</x:v>
      </x:c>
      <x:c r="B1418" s="43" t="n">
        <x:v>46210</x:v>
      </x:c>
      <x:c r="C1418" s="5" t="str">
        <x:v>CUST-0407</x:v>
      </x:c>
      <x:c r="D1418" s="5" t="str">
        <x:v>FD007</x:v>
      </x:c>
      <x:c r="E1418" s="5" t="str">
        <x:v>Amala &amp; Ewedu</x:v>
      </x:c>
      <x:c r="F1418" s="5" t="str">
        <x:v>Swallow</x:v>
      </x:c>
      <x:c r="G1418" s="44" t="n">
        <x:v>3</x:v>
      </x:c>
      <x:c r="H1418" s="45" t="n">
        <x:v>2500</x:v>
      </x:c>
      <x:c r="I1418" s="46" t="n">
        <x:v>0</x:v>
      </x:c>
      <x:c r="J1418" s="47" t="n">
        <x:f>G1418*H1418*(1-I1418)</x:f>
        <x:v>7500</x:v>
      </x:c>
      <x:c r="K1418" s="47" t="n">
        <x:v>1250</x:v>
      </x:c>
      <x:c r="L1418" s="47" t="n">
        <x:f>G1418*K1418</x:f>
        <x:v>3750</x:v>
      </x:c>
      <x:c r="M1418" s="47" t="n">
        <x:f>J1418-L1418</x:f>
        <x:v>3750</x:v>
      </x:c>
      <x:c r="N1418" s="5" t="str">
        <x:v>Walk-in</x:v>
      </x:c>
      <x:c r="O1418" s="5" t="str">
        <x:v>Transfer</x:v>
      </x:c>
      <x:c r="P1418" s="5" t="str">
        <x:v>Lunch</x:v>
      </x:c>
      <x:c r="Q1418" s="48" t="n">
        <x:v>15</x:v>
      </x:c>
      <x:c r="R1418" s="5" t="n">
        <x:v>5</x:v>
      </x:c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5" t="str">
        <x:v>ORD-00975</x:v>
      </x:c>
      <x:c r="B1419" s="43" t="n">
        <x:v>46210</x:v>
      </x:c>
      <x:c r="C1419" s="5" t="str">
        <x:v>CUST-0126</x:v>
      </x:c>
      <x:c r="D1419" s="5" t="str">
        <x:v>FD001</x:v>
      </x:c>
      <x:c r="E1419" s="5" t="str">
        <x:v>White Rice &amp; Stew</x:v>
      </x:c>
      <x:c r="F1419" s="5" t="str">
        <x:v>Rice Meals</x:v>
      </x:c>
      <x:c r="G1419" s="44" t="n">
        <x:v>1</x:v>
      </x:c>
      <x:c r="H1419" s="45" t="n">
        <x:v>1800</x:v>
      </x:c>
      <x:c r="I1419" s="46" t="n">
        <x:v>0</x:v>
      </x:c>
      <x:c r="J1419" s="47" t="n">
        <x:f>G1419*H1419*(1-I1419)</x:f>
        <x:v>1800</x:v>
      </x:c>
      <x:c r="K1419" s="47" t="n">
        <x:v>820</x:v>
      </x:c>
      <x:c r="L1419" s="47" t="n">
        <x:f>G1419*K1419</x:f>
        <x:v>820</x:v>
      </x:c>
      <x:c r="M1419" s="47" t="n">
        <x:f>J1419-L1419</x:f>
        <x:v>980</x:v>
      </x:c>
      <x:c r="N1419" s="5" t="str">
        <x:v>Walk-in</x:v>
      </x:c>
      <x:c r="O1419" s="5" t="str">
        <x:v>Transfer</x:v>
      </x:c>
      <x:c r="P1419" s="5" t="str">
        <x:v>Lunch</x:v>
      </x:c>
      <x:c r="Q1419" s="48" t="n">
        <x:v>11</x:v>
      </x:c>
      <x:c r="R1419" s="5" t="n">
        <x:v>5</x:v>
      </x:c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5" t="str">
        <x:v>ORD-01156</x:v>
      </x:c>
      <x:c r="B1420" s="43" t="n">
        <x:v>46210</x:v>
      </x:c>
      <x:c r="C1420" s="5" t="str">
        <x:v>CUST-0047</x:v>
      </x:c>
      <x:c r="D1420" s="5" t="str">
        <x:v>FD002</x:v>
      </x:c>
      <x:c r="E1420" s="5" t="str">
        <x:v>Jollof Rice &amp; Chicken</x:v>
      </x:c>
      <x:c r="F1420" s="5" t="str">
        <x:v>Rice Meals</x:v>
      </x:c>
      <x:c r="G1420" s="44" t="n">
        <x:v>3</x:v>
      </x:c>
      <x:c r="H1420" s="45" t="n">
        <x:v>2800</x:v>
      </x:c>
      <x:c r="I1420" s="46" t="n">
        <x:v>0</x:v>
      </x:c>
      <x:c r="J1420" s="47" t="n">
        <x:f>G1420*H1420*(1-I1420)</x:f>
        <x:v>8400</x:v>
      </x:c>
      <x:c r="K1420" s="47" t="n">
        <x:v>1450</x:v>
      </x:c>
      <x:c r="L1420" s="47" t="n">
        <x:f>G1420*K1420</x:f>
        <x:v>4350</x:v>
      </x:c>
      <x:c r="M1420" s="47" t="n">
        <x:f>J1420-L1420</x:f>
        <x:v>4050</x:v>
      </x:c>
      <x:c r="N1420" s="5" t="str">
        <x:v>Takeaway</x:v>
      </x:c>
      <x:c r="O1420" s="5" t="str">
        <x:v>Cash</x:v>
      </x:c>
      <x:c r="P1420" s="5" t="str">
        <x:v>Lunch</x:v>
      </x:c>
      <x:c r="Q1420" s="48" t="n">
        <x:v>15</x:v>
      </x:c>
      <x:c r="R1420" s="5" t="n">
        <x:v>4</x:v>
      </x:c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5" t="str">
        <x:v>ORD-01262</x:v>
      </x:c>
      <x:c r="B1421" s="43" t="n">
        <x:v>46210</x:v>
      </x:c>
      <x:c r="C1421" s="5" t="str">
        <x:v>CUST-0039</x:v>
      </x:c>
      <x:c r="D1421" s="5" t="str">
        <x:v>FD010</x:v>
      </x:c>
      <x:c r="E1421" s="5" t="str">
        <x:v>Soft Drink</x:v>
      </x:c>
      <x:c r="F1421" s="5" t="str">
        <x:v>Beverages</x:v>
      </x:c>
      <x:c r="G1421" s="44" t="n">
        <x:v>4</x:v>
      </x:c>
      <x:c r="H1421" s="45" t="n">
        <x:v>600</x:v>
      </x:c>
      <x:c r="I1421" s="46" t="n">
        <x:v>0</x:v>
      </x:c>
      <x:c r="J1421" s="47" t="n">
        <x:f>G1421*H1421*(1-I1421)</x:f>
        <x:v>2400</x:v>
      </x:c>
      <x:c r="K1421" s="47" t="n">
        <x:v>280</x:v>
      </x:c>
      <x:c r="L1421" s="47" t="n">
        <x:f>G1421*K1421</x:f>
        <x:v>1120</x:v>
      </x:c>
      <x:c r="M1421" s="47" t="n">
        <x:f>J1421-L1421</x:f>
        <x:v>1280</x:v>
      </x:c>
      <x:c r="N1421" s="5" t="str">
        <x:v>Walk-in</x:v>
      </x:c>
      <x:c r="O1421" s="5" t="str">
        <x:v>POS</x:v>
      </x:c>
      <x:c r="P1421" s="5" t="str">
        <x:v>Dinner</x:v>
      </x:c>
      <x:c r="Q1421" s="48" t="n">
        <x:v>16</x:v>
      </x:c>
      <x:c r="R1421" s="5" t="n">
        <x:v>3</x:v>
      </x:c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5" t="str">
        <x:v>ORD-00220</x:v>
      </x:c>
      <x:c r="B1422" s="43" t="n">
        <x:v>46211</x:v>
      </x:c>
      <x:c r="C1422" s="5" t="str">
        <x:v>CUST-0528</x:v>
      </x:c>
      <x:c r="D1422" s="5" t="str">
        <x:v>FD001</x:v>
      </x:c>
      <x:c r="E1422" s="5" t="str">
        <x:v>White Rice &amp; Stew</x:v>
      </x:c>
      <x:c r="F1422" s="5" t="str">
        <x:v>Rice Meals</x:v>
      </x:c>
      <x:c r="G1422" s="44" t="n">
        <x:v>4</x:v>
      </x:c>
      <x:c r="H1422" s="45" t="n">
        <x:v>1800</x:v>
      </x:c>
      <x:c r="I1422" s="46" t="n">
        <x:v>0</x:v>
      </x:c>
      <x:c r="J1422" s="47" t="n">
        <x:f>G1422*H1422*(1-I1422)</x:f>
        <x:v>7200</x:v>
      </x:c>
      <x:c r="K1422" s="47" t="n">
        <x:v>820</x:v>
      </x:c>
      <x:c r="L1422" s="47" t="n">
        <x:f>G1422*K1422</x:f>
        <x:v>3280</x:v>
      </x:c>
      <x:c r="M1422" s="47" t="n">
        <x:f>J1422-L1422</x:f>
        <x:v>3920</x:v>
      </x:c>
      <x:c r="N1422" s="5" t="str">
        <x:v>Walk-in</x:v>
      </x:c>
      <x:c r="O1422" s="5" t="str">
        <x:v>POS</x:v>
      </x:c>
      <x:c r="P1422" s="5" t="str">
        <x:v>Dinner</x:v>
      </x:c>
      <x:c r="Q1422" s="48" t="n">
        <x:v>20</x:v>
      </x:c>
      <x:c r="R1422" s="5" t="n">
        <x:v>4</x:v>
      </x:c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5" t="str">
        <x:v>ORD-00447</x:v>
      </x:c>
      <x:c r="B1423" s="43" t="n">
        <x:v>46211</x:v>
      </x:c>
      <x:c r="C1423" s="5" t="str">
        <x:v>CUST-0115</x:v>
      </x:c>
      <x:c r="D1423" s="5" t="str">
        <x:v>FD002</x:v>
      </x:c>
      <x:c r="E1423" s="5" t="str">
        <x:v>Jollof Rice &amp; Chicken</x:v>
      </x:c>
      <x:c r="F1423" s="5" t="str">
        <x:v>Rice Meals</x:v>
      </x:c>
      <x:c r="G1423" s="44" t="n">
        <x:v>3</x:v>
      </x:c>
      <x:c r="H1423" s="45" t="n">
        <x:v>2800</x:v>
      </x:c>
      <x:c r="I1423" s="46" t="n">
        <x:v>0.1</x:v>
      </x:c>
      <x:c r="J1423" s="47" t="n">
        <x:f>G1423*H1423*(1-I1423)</x:f>
        <x:v>7560</x:v>
      </x:c>
      <x:c r="K1423" s="47" t="n">
        <x:v>1450</x:v>
      </x:c>
      <x:c r="L1423" s="47" t="n">
        <x:f>G1423*K1423</x:f>
        <x:v>4350</x:v>
      </x:c>
      <x:c r="M1423" s="47" t="n">
        <x:f>J1423-L1423</x:f>
        <x:v>3210</x:v>
      </x:c>
      <x:c r="N1423" s="5" t="str">
        <x:v>Walk-in</x:v>
      </x:c>
      <x:c r="O1423" s="5" t="str">
        <x:v>POS</x:v>
      </x:c>
      <x:c r="P1423" s="5" t="str">
        <x:v>Lunch</x:v>
      </x:c>
      <x:c r="Q1423" s="48" t="n">
        <x:v>14</x:v>
      </x:c>
      <x:c r="R1423" s="5" t="n">
        <x:v>3</x:v>
      </x:c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5" t="str">
        <x:v>ORD-00862</x:v>
      </x:c>
      <x:c r="B1424" s="43" t="n">
        <x:v>46211</x:v>
      </x:c>
      <x:c r="C1424" s="5" t="str">
        <x:v>CUST-0042</x:v>
      </x:c>
      <x:c r="D1424" s="5" t="str">
        <x:v>FD001</x:v>
      </x:c>
      <x:c r="E1424" s="5" t="str">
        <x:v>White Rice &amp; Stew</x:v>
      </x:c>
      <x:c r="F1424" s="5" t="str">
        <x:v>Rice Meals</x:v>
      </x:c>
      <x:c r="G1424" s="44" t="n">
        <x:v>4</x:v>
      </x:c>
      <x:c r="H1424" s="45" t="n">
        <x:v>1800</x:v>
      </x:c>
      <x:c r="I1424" s="46" t="n">
        <x:v>0</x:v>
      </x:c>
      <x:c r="J1424" s="47" t="n">
        <x:f>G1424*H1424*(1-I1424)</x:f>
        <x:v>7200</x:v>
      </x:c>
      <x:c r="K1424" s="47" t="n">
        <x:v>820</x:v>
      </x:c>
      <x:c r="L1424" s="47" t="n">
        <x:f>G1424*K1424</x:f>
        <x:v>3280</x:v>
      </x:c>
      <x:c r="M1424" s="47" t="n">
        <x:f>J1424-L1424</x:f>
        <x:v>3920</x:v>
      </x:c>
      <x:c r="N1424" s="5" t="str">
        <x:v>Walk-in</x:v>
      </x:c>
      <x:c r="O1424" s="5" t="str">
        <x:v>Transfer</x:v>
      </x:c>
      <x:c r="P1424" s="5" t="str">
        <x:v>Dinner</x:v>
      </x:c>
      <x:c r="Q1424" s="48" t="n">
        <x:v>18</x:v>
      </x:c>
      <x:c r="R1424" s="5" t="n">
        <x:v>5</x:v>
      </x:c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5" t="str">
        <x:v>ORD-00966</x:v>
      </x:c>
      <x:c r="B1425" s="43" t="n">
        <x:v>46211</x:v>
      </x:c>
      <x:c r="C1425" s="5" t="str">
        <x:v>CUST-0190</x:v>
      </x:c>
      <x:c r="D1425" s="5" t="str">
        <x:v>FD006</x:v>
      </x:c>
      <x:c r="E1425" s="5" t="str">
        <x:v>Eba &amp; Egusi Soup</x:v>
      </x:c>
      <x:c r="F1425" s="5" t="str">
        <x:v>Swallow</x:v>
      </x:c>
      <x:c r="G1425" s="44" t="n">
        <x:v>1</x:v>
      </x:c>
      <x:c r="H1425" s="45" t="n">
        <x:v>2600</x:v>
      </x:c>
      <x:c r="I1425" s="46" t="n">
        <x:v>0</x:v>
      </x:c>
      <x:c r="J1425" s="47" t="n">
        <x:f>G1425*H1425*(1-I1425)</x:f>
        <x:v>2600</x:v>
      </x:c>
      <x:c r="K1425" s="47" t="n">
        <x:v>1320</x:v>
      </x:c>
      <x:c r="L1425" s="47" t="n">
        <x:f>G1425*K1425</x:f>
        <x:v>1320</x:v>
      </x:c>
      <x:c r="M1425" s="47" t="n">
        <x:f>J1425-L1425</x:f>
        <x:v>1280</x:v>
      </x:c>
      <x:c r="N1425" s="5" t="str">
        <x:v>Walk-in</x:v>
      </x:c>
      <x:c r="O1425" s="5" t="str">
        <x:v>Cash</x:v>
      </x:c>
      <x:c r="P1425" s="5" t="str">
        <x:v>Lunch</x:v>
      </x:c>
      <x:c r="Q1425" s="48" t="n">
        <x:v>12</x:v>
      </x:c>
      <x:c r="R1425" s="5" t="n">
        <x:v>5</x:v>
      </x:c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5" t="str">
        <x:v>ORD-01275</x:v>
      </x:c>
      <x:c r="B1426" s="43" t="n">
        <x:v>46211</x:v>
      </x:c>
      <x:c r="C1426" s="5" t="str">
        <x:v>CUST-0571</x:v>
      </x:c>
      <x:c r="D1426" s="5" t="str">
        <x:v>FD003</x:v>
      </x:c>
      <x:c r="E1426" s="5" t="str">
        <x:v>Fried Rice &amp; Chicken</x:v>
      </x:c>
      <x:c r="F1426" s="5" t="str">
        <x:v>Rice Meals</x:v>
      </x:c>
      <x:c r="G1426" s="44" t="n">
        <x:v>3</x:v>
      </x:c>
      <x:c r="H1426" s="45" t="n">
        <x:v>3000</x:v>
      </x:c>
      <x:c r="I1426" s="46" t="n">
        <x:v>0</x:v>
      </x:c>
      <x:c r="J1426" s="47" t="n">
        <x:f>G1426*H1426*(1-I1426)</x:f>
        <x:v>9000</x:v>
      </x:c>
      <x:c r="K1426" s="47" t="n">
        <x:v>1580</x:v>
      </x:c>
      <x:c r="L1426" s="47" t="n">
        <x:f>G1426*K1426</x:f>
        <x:v>4740</x:v>
      </x:c>
      <x:c r="M1426" s="47" t="n">
        <x:f>J1426-L1426</x:f>
        <x:v>4260</x:v>
      </x:c>
      <x:c r="N1426" s="5" t="str">
        <x:v>Delivery</x:v>
      </x:c>
      <x:c r="O1426" s="5" t="str">
        <x:v>Transfer</x:v>
      </x:c>
      <x:c r="P1426" s="5" t="str">
        <x:v>Dinner</x:v>
      </x:c>
      <x:c r="Q1426" s="48" t="n">
        <x:v>18</x:v>
      </x:c>
      <x:c r="R1426" s="5" t="n">
        <x:v>5</x:v>
      </x:c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5" t="str">
        <x:v>ORD-01413</x:v>
      </x:c>
      <x:c r="B1427" s="43" t="n">
        <x:v>46211</x:v>
      </x:c>
      <x:c r="C1427" s="5" t="str">
        <x:v>CUST-0041</x:v>
      </x:c>
      <x:c r="D1427" s="5" t="str">
        <x:v>FD005</x:v>
      </x:c>
      <x:c r="E1427" s="5" t="str">
        <x:v>Yam Porridge</x:v>
      </x:c>
      <x:c r="F1427" s="5" t="str">
        <x:v>Traditional Meals</x:v>
      </x:c>
      <x:c r="G1427" s="44" t="n">
        <x:v>2</x:v>
      </x:c>
      <x:c r="H1427" s="45" t="n">
        <x:v>2200</x:v>
      </x:c>
      <x:c r="I1427" s="46" t="n">
        <x:v>0</x:v>
      </x:c>
      <x:c r="J1427" s="47" t="n">
        <x:f>G1427*H1427*(1-I1427)</x:f>
        <x:v>4400</x:v>
      </x:c>
      <x:c r="K1427" s="47" t="n">
        <x:v>1050</x:v>
      </x:c>
      <x:c r="L1427" s="47" t="n">
        <x:f>G1427*K1427</x:f>
        <x:v>2100</x:v>
      </x:c>
      <x:c r="M1427" s="47" t="n">
        <x:f>J1427-L1427</x:f>
        <x:v>2300</x:v>
      </x:c>
      <x:c r="N1427" s="5" t="str">
        <x:v>Walk-in</x:v>
      </x:c>
      <x:c r="O1427" s="5" t="str">
        <x:v>POS</x:v>
      </x:c>
      <x:c r="P1427" s="5" t="str">
        <x:v>Lunch</x:v>
      </x:c>
      <x:c r="Q1427" s="48" t="n">
        <x:v>11</x:v>
      </x:c>
      <x:c r="R1427" s="5" t="n">
        <x:v>5</x:v>
      </x:c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5" t="str">
        <x:v>ORD-00352</x:v>
      </x:c>
      <x:c r="B1428" s="43" t="n">
        <x:v>46212</x:v>
      </x:c>
      <x:c r="C1428" s="5" t="str">
        <x:v>CUST-0153</x:v>
      </x:c>
      <x:c r="D1428" s="5" t="str">
        <x:v>FD001</x:v>
      </x:c>
      <x:c r="E1428" s="5" t="str">
        <x:v>White Rice &amp; Stew</x:v>
      </x:c>
      <x:c r="F1428" s="5" t="str">
        <x:v>Rice Meals</x:v>
      </x:c>
      <x:c r="G1428" s="44" t="n">
        <x:v>3</x:v>
      </x:c>
      <x:c r="H1428" s="45" t="n">
        <x:v>1800</x:v>
      </x:c>
      <x:c r="I1428" s="46" t="n">
        <x:v>0</x:v>
      </x:c>
      <x:c r="J1428" s="47" t="n">
        <x:f>G1428*H1428*(1-I1428)</x:f>
        <x:v>5400</x:v>
      </x:c>
      <x:c r="K1428" s="47" t="n">
        <x:v>820</x:v>
      </x:c>
      <x:c r="L1428" s="47" t="n">
        <x:f>G1428*K1428</x:f>
        <x:v>2460</x:v>
      </x:c>
      <x:c r="M1428" s="47" t="n">
        <x:f>J1428-L1428</x:f>
        <x:v>2940</x:v>
      </x:c>
      <x:c r="N1428" s="5" t="str">
        <x:v>Delivery</x:v>
      </x:c>
      <x:c r="O1428" s="5" t="str">
        <x:v>Transfer</x:v>
      </x:c>
      <x:c r="P1428" s="5" t="str">
        <x:v>Lunch</x:v>
      </x:c>
      <x:c r="Q1428" s="48" t="n">
        <x:v>13</x:v>
      </x:c>
      <x:c r="R1428" s="5" t="n">
        <x:v>5</x:v>
      </x:c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5" t="str">
        <x:v>ORD-00527</x:v>
      </x:c>
      <x:c r="B1429" s="43" t="n">
        <x:v>46212</x:v>
      </x:c>
      <x:c r="C1429" s="5" t="str">
        <x:v>CUST-0377</x:v>
      </x:c>
      <x:c r="D1429" s="5" t="str">
        <x:v>FD002</x:v>
      </x:c>
      <x:c r="E1429" s="5" t="str">
        <x:v>Jollof Rice &amp; Chicken</x:v>
      </x:c>
      <x:c r="F1429" s="5" t="str">
        <x:v>Rice Meals</x:v>
      </x:c>
      <x:c r="G1429" s="44" t="n">
        <x:v>4</x:v>
      </x:c>
      <x:c r="H1429" s="45" t="n">
        <x:v>2800</x:v>
      </x:c>
      <x:c r="I1429" s="46" t="n">
        <x:v>0</x:v>
      </x:c>
      <x:c r="J1429" s="47" t="n">
        <x:f>G1429*H1429*(1-I1429)</x:f>
        <x:v>11200</x:v>
      </x:c>
      <x:c r="K1429" s="47" t="n">
        <x:v>1450</x:v>
      </x:c>
      <x:c r="L1429" s="47" t="n">
        <x:f>G1429*K1429</x:f>
        <x:v>5800</x:v>
      </x:c>
      <x:c r="M1429" s="47" t="n">
        <x:f>J1429-L1429</x:f>
        <x:v>5400</x:v>
      </x:c>
      <x:c r="N1429" s="5" t="str">
        <x:v>Delivery</x:v>
      </x:c>
      <x:c r="O1429" s="5" t="str">
        <x:v>POS</x:v>
      </x:c>
      <x:c r="P1429" s="5" t="str">
        <x:v>Dinner</x:v>
      </x:c>
      <x:c r="Q1429" s="48" t="n">
        <x:v>20</x:v>
      </x:c>
      <x:c r="R1429" s="5" t="n">
        <x:v>3</x:v>
      </x:c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5" t="str">
        <x:v>ORD-00619</x:v>
      </x:c>
      <x:c r="B1430" s="43" t="n">
        <x:v>46212</x:v>
      </x:c>
      <x:c r="C1430" s="5" t="str">
        <x:v>CUST-0373</x:v>
      </x:c>
      <x:c r="D1430" s="5" t="str">
        <x:v>FD002</x:v>
      </x:c>
      <x:c r="E1430" s="5" t="str">
        <x:v>Jollof Rice &amp; Chicken</x:v>
      </x:c>
      <x:c r="F1430" s="5" t="str">
        <x:v>Rice Meals</x:v>
      </x:c>
      <x:c r="G1430" s="44" t="n">
        <x:v>4</x:v>
      </x:c>
      <x:c r="H1430" s="45" t="n">
        <x:v>2800</x:v>
      </x:c>
      <x:c r="I1430" s="46" t="n">
        <x:v>0</x:v>
      </x:c>
      <x:c r="J1430" s="47" t="n">
        <x:f>G1430*H1430*(1-I1430)</x:f>
        <x:v>11200</x:v>
      </x:c>
      <x:c r="K1430" s="47" t="n">
        <x:v>1450</x:v>
      </x:c>
      <x:c r="L1430" s="47" t="n">
        <x:f>G1430*K1430</x:f>
        <x:v>5800</x:v>
      </x:c>
      <x:c r="M1430" s="47" t="n">
        <x:f>J1430-L1430</x:f>
        <x:v>5400</x:v>
      </x:c>
      <x:c r="N1430" s="5" t="str">
        <x:v>Walk-in</x:v>
      </x:c>
      <x:c r="O1430" s="5" t="str">
        <x:v>Cash</x:v>
      </x:c>
      <x:c r="P1430" s="5" t="str">
        <x:v>Lunch</x:v>
      </x:c>
      <x:c r="Q1430" s="48" t="n">
        <x:v>14</x:v>
      </x:c>
      <x:c r="R1430" s="5" t="n">
        <x:v>4</x:v>
      </x:c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5" t="str">
        <x:v>ORD-00670</x:v>
      </x:c>
      <x:c r="B1431" s="43" t="n">
        <x:v>46212</x:v>
      </x:c>
      <x:c r="C1431" s="5" t="str">
        <x:v>CUST-0187</x:v>
      </x:c>
      <x:c r="D1431" s="5" t="str">
        <x:v>FD010</x:v>
      </x:c>
      <x:c r="E1431" s="5" t="str">
        <x:v>Soft Drink</x:v>
      </x:c>
      <x:c r="F1431" s="5" t="str">
        <x:v>Beverages</x:v>
      </x:c>
      <x:c r="G1431" s="44" t="n">
        <x:v>1</x:v>
      </x:c>
      <x:c r="H1431" s="45" t="n">
        <x:v>600</x:v>
      </x:c>
      <x:c r="I1431" s="46" t="n">
        <x:v>0</x:v>
      </x:c>
      <x:c r="J1431" s="47" t="n">
        <x:f>G1431*H1431*(1-I1431)</x:f>
        <x:v>600</x:v>
      </x:c>
      <x:c r="K1431" s="47" t="n">
        <x:v>280</x:v>
      </x:c>
      <x:c r="L1431" s="47" t="n">
        <x:f>G1431*K1431</x:f>
        <x:v>280</x:v>
      </x:c>
      <x:c r="M1431" s="47" t="n">
        <x:f>J1431-L1431</x:f>
        <x:v>320</x:v>
      </x:c>
      <x:c r="N1431" s="5" t="str">
        <x:v>Walk-in</x:v>
      </x:c>
      <x:c r="O1431" s="5" t="str">
        <x:v>Transfer</x:v>
      </x:c>
      <x:c r="P1431" s="5" t="str">
        <x:v>Lunch</x:v>
      </x:c>
      <x:c r="Q1431" s="48" t="n">
        <x:v>14</x:v>
      </x:c>
      <x:c r="R1431" s="5" t="n">
        <x:v>5</x:v>
      </x:c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5" t="str">
        <x:v>ORD-00758</x:v>
      </x:c>
      <x:c r="B1432" s="43" t="n">
        <x:v>46212</x:v>
      </x:c>
      <x:c r="C1432" s="5" t="str">
        <x:v>CUST-0181</x:v>
      </x:c>
      <x:c r="D1432" s="5" t="str">
        <x:v>FD008</x:v>
      </x:c>
      <x:c r="E1432" s="5" t="str">
        <x:v>Pounded Yam &amp; Vegetable Soup</x:v>
      </x:c>
      <x:c r="F1432" s="5" t="str">
        <x:v>Swallow</x:v>
      </x:c>
      <x:c r="G1432" s="44" t="n">
        <x:v>3</x:v>
      </x:c>
      <x:c r="H1432" s="45" t="n">
        <x:v>3200</x:v>
      </x:c>
      <x:c r="I1432" s="46" t="n">
        <x:v>0</x:v>
      </x:c>
      <x:c r="J1432" s="47" t="n">
        <x:f>G1432*H1432*(1-I1432)</x:f>
        <x:v>9600</x:v>
      </x:c>
      <x:c r="K1432" s="47" t="n">
        <x:v>1710</x:v>
      </x:c>
      <x:c r="L1432" s="47" t="n">
        <x:f>G1432*K1432</x:f>
        <x:v>5130</x:v>
      </x:c>
      <x:c r="M1432" s="47" t="n">
        <x:f>J1432-L1432</x:f>
        <x:v>4470</x:v>
      </x:c>
      <x:c r="N1432" s="5" t="str">
        <x:v>Walk-in</x:v>
      </x:c>
      <x:c r="O1432" s="5" t="str">
        <x:v>POS</x:v>
      </x:c>
      <x:c r="P1432" s="5" t="str">
        <x:v>Dinner</x:v>
      </x:c>
      <x:c r="Q1432" s="48" t="n">
        <x:v>16</x:v>
      </x:c>
      <x:c r="R1432" s="5" t="n">
        <x:v>3</x:v>
      </x:c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5" t="str">
        <x:v>ORD-01774</x:v>
      </x:c>
      <x:c r="B1433" s="43" t="n">
        <x:v>46212</x:v>
      </x:c>
      <x:c r="C1433" s="5" t="str">
        <x:v>CUST-0231</x:v>
      </x:c>
      <x:c r="D1433" s="5" t="str">
        <x:v>FD002</x:v>
      </x:c>
      <x:c r="E1433" s="5" t="str">
        <x:v>Jollof Rice &amp; Chicken</x:v>
      </x:c>
      <x:c r="F1433" s="5" t="str">
        <x:v>Rice Meals</x:v>
      </x:c>
      <x:c r="G1433" s="44" t="n">
        <x:v>2</x:v>
      </x:c>
      <x:c r="H1433" s="45" t="n">
        <x:v>2800</x:v>
      </x:c>
      <x:c r="I1433" s="46" t="n">
        <x:v>0</x:v>
      </x:c>
      <x:c r="J1433" s="47" t="n">
        <x:f>G1433*H1433*(1-I1433)</x:f>
        <x:v>5600</x:v>
      </x:c>
      <x:c r="K1433" s="47" t="n">
        <x:v>1450</x:v>
      </x:c>
      <x:c r="L1433" s="47" t="n">
        <x:f>G1433*K1433</x:f>
        <x:v>2900</x:v>
      </x:c>
      <x:c r="M1433" s="47" t="n">
        <x:f>J1433-L1433</x:f>
        <x:v>2700</x:v>
      </x:c>
      <x:c r="N1433" s="5" t="str">
        <x:v>Walk-in</x:v>
      </x:c>
      <x:c r="O1433" s="5" t="str">
        <x:v>Cash</x:v>
      </x:c>
      <x:c r="P1433" s="5" t="str">
        <x:v>Lunch</x:v>
      </x:c>
      <x:c r="Q1433" s="48" t="n">
        <x:v>11</x:v>
      </x:c>
      <x:c r="R1433" s="5" t="n">
        <x:v>5</x:v>
      </x:c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5" t="str">
        <x:v>ORD-01786</x:v>
      </x:c>
      <x:c r="B1434" s="43" t="n">
        <x:v>46212</x:v>
      </x:c>
      <x:c r="C1434" s="5" t="str">
        <x:v>CUST-0279</x:v>
      </x:c>
      <x:c r="D1434" s="5" t="str">
        <x:v>FD004</x:v>
      </x:c>
      <x:c r="E1434" s="5" t="str">
        <x:v>Beans &amp; Plantain</x:v>
      </x:c>
      <x:c r="F1434" s="5" t="str">
        <x:v>Traditional Meals</x:v>
      </x:c>
      <x:c r="G1434" s="44" t="n">
        <x:v>4</x:v>
      </x:c>
      <x:c r="H1434" s="45" t="n">
        <x:v>2000</x:v>
      </x:c>
      <x:c r="I1434" s="46" t="n">
        <x:v>0</x:v>
      </x:c>
      <x:c r="J1434" s="47" t="n">
        <x:f>G1434*H1434*(1-I1434)</x:f>
        <x:v>8000</x:v>
      </x:c>
      <x:c r="K1434" s="47" t="n">
        <x:v>960</x:v>
      </x:c>
      <x:c r="L1434" s="47" t="n">
        <x:f>G1434*K1434</x:f>
        <x:v>3840</x:v>
      </x:c>
      <x:c r="M1434" s="47" t="n">
        <x:f>J1434-L1434</x:f>
        <x:v>4160</x:v>
      </x:c>
      <x:c r="N1434" s="5" t="str">
        <x:v>Walk-in</x:v>
      </x:c>
      <x:c r="O1434" s="5" t="str">
        <x:v>Cash</x:v>
      </x:c>
      <x:c r="P1434" s="5" t="str">
        <x:v>Breakfast</x:v>
      </x:c>
      <x:c r="Q1434" s="48" t="n">
        <x:v>10</x:v>
      </x:c>
      <x:c r="R1434" s="5" t="n">
        <x:v>4</x:v>
      </x:c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5" t="str">
        <x:v>ORD-00137</x:v>
      </x:c>
      <x:c r="B1435" s="43" t="n">
        <x:v>46213</x:v>
      </x:c>
      <x:c r="C1435" s="5" t="str">
        <x:v>CUST-0326</x:v>
      </x:c>
      <x:c r="D1435" s="5" t="str">
        <x:v>FD006</x:v>
      </x:c>
      <x:c r="E1435" s="5" t="str">
        <x:v>Eba &amp; Egusi Soup</x:v>
      </x:c>
      <x:c r="F1435" s="5" t="str">
        <x:v>Swallow</x:v>
      </x:c>
      <x:c r="G1435" s="44" t="n">
        <x:v>4</x:v>
      </x:c>
      <x:c r="H1435" s="45" t="n">
        <x:v>2600</x:v>
      </x:c>
      <x:c r="I1435" s="46" t="n">
        <x:v>0</x:v>
      </x:c>
      <x:c r="J1435" s="47" t="n">
        <x:f>G1435*H1435*(1-I1435)</x:f>
        <x:v>10400</x:v>
      </x:c>
      <x:c r="K1435" s="47" t="n">
        <x:v>1320</x:v>
      </x:c>
      <x:c r="L1435" s="47" t="n">
        <x:f>G1435*K1435</x:f>
        <x:v>5280</x:v>
      </x:c>
      <x:c r="M1435" s="47" t="n">
        <x:f>J1435-L1435</x:f>
        <x:v>5120</x:v>
      </x:c>
      <x:c r="N1435" s="5" t="str">
        <x:v>Takeaway</x:v>
      </x:c>
      <x:c r="O1435" s="5" t="str">
        <x:v>Cash</x:v>
      </x:c>
      <x:c r="P1435" s="5" t="str">
        <x:v>Lunch</x:v>
      </x:c>
      <x:c r="Q1435" s="48" t="n">
        <x:v>15</x:v>
      </x:c>
      <x:c r="R1435" s="5" t="n">
        <x:v>5</x:v>
      </x:c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5" t="str">
        <x:v>ORD-00389</x:v>
      </x:c>
      <x:c r="B1436" s="43" t="n">
        <x:v>46213</x:v>
      </x:c>
      <x:c r="C1436" s="5" t="str">
        <x:v>CUST-0312</x:v>
      </x:c>
      <x:c r="D1436" s="5" t="str">
        <x:v>FD006</x:v>
      </x:c>
      <x:c r="E1436" s="5" t="str">
        <x:v>Eba &amp; Egusi Soup</x:v>
      </x:c>
      <x:c r="F1436" s="5" t="str">
        <x:v>Swallow</x:v>
      </x:c>
      <x:c r="G1436" s="44" t="n">
        <x:v>2</x:v>
      </x:c>
      <x:c r="H1436" s="45" t="n">
        <x:v>2600</x:v>
      </x:c>
      <x:c r="I1436" s="46" t="n">
        <x:v>0</x:v>
      </x:c>
      <x:c r="J1436" s="47" t="n">
        <x:f>G1436*H1436*(1-I1436)</x:f>
        <x:v>5200</x:v>
      </x:c>
      <x:c r="K1436" s="47" t="n">
        <x:v>1320</x:v>
      </x:c>
      <x:c r="L1436" s="47" t="n">
        <x:f>G1436*K1436</x:f>
        <x:v>2640</x:v>
      </x:c>
      <x:c r="M1436" s="47" t="n">
        <x:f>J1436-L1436</x:f>
        <x:v>2560</x:v>
      </x:c>
      <x:c r="N1436" s="5" t="str">
        <x:v>Walk-in</x:v>
      </x:c>
      <x:c r="O1436" s="5" t="str">
        <x:v>Cash</x:v>
      </x:c>
      <x:c r="P1436" s="5" t="str">
        <x:v>Lunch</x:v>
      </x:c>
      <x:c r="Q1436" s="48" t="n">
        <x:v>14</x:v>
      </x:c>
      <x:c r="R1436" s="5" t="n">
        <x:v>3</x:v>
      </x:c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5" t="str">
        <x:v>ORD-01460</x:v>
      </x:c>
      <x:c r="B1437" s="43" t="n">
        <x:v>46213</x:v>
      </x:c>
      <x:c r="C1437" s="5" t="str">
        <x:v>CUST-0527</x:v>
      </x:c>
      <x:c r="D1437" s="5" t="str">
        <x:v>FD010</x:v>
      </x:c>
      <x:c r="E1437" s="5" t="str">
        <x:v>Soft Drink</x:v>
      </x:c>
      <x:c r="F1437" s="5" t="str">
        <x:v>Beverages</x:v>
      </x:c>
      <x:c r="G1437" s="44" t="n">
        <x:v>2</x:v>
      </x:c>
      <x:c r="H1437" s="45" t="n">
        <x:v>600</x:v>
      </x:c>
      <x:c r="I1437" s="46" t="n">
        <x:v>0</x:v>
      </x:c>
      <x:c r="J1437" s="47" t="n">
        <x:f>G1437*H1437*(1-I1437)</x:f>
        <x:v>1200</x:v>
      </x:c>
      <x:c r="K1437" s="47" t="n">
        <x:v>280</x:v>
      </x:c>
      <x:c r="L1437" s="47" t="n">
        <x:f>G1437*K1437</x:f>
        <x:v>560</x:v>
      </x:c>
      <x:c r="M1437" s="47" t="n">
        <x:f>J1437-L1437</x:f>
        <x:v>640</x:v>
      </x:c>
      <x:c r="N1437" s="5" t="str">
        <x:v>Walk-in</x:v>
      </x:c>
      <x:c r="O1437" s="5" t="str">
        <x:v>Cash</x:v>
      </x:c>
      <x:c r="P1437" s="5" t="str">
        <x:v>Lunch</x:v>
      </x:c>
      <x:c r="Q1437" s="48" t="n">
        <x:v>15</x:v>
      </x:c>
      <x:c r="R1437" s="5" t="n">
        <x:v>3</x:v>
      </x:c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5" t="str">
        <x:v>ORD-00171</x:v>
      </x:c>
      <x:c r="B1438" s="43" t="n">
        <x:v>46214</x:v>
      </x:c>
      <x:c r="C1438" s="5" t="str">
        <x:v>CUST-0331</x:v>
      </x:c>
      <x:c r="D1438" s="5" t="str">
        <x:v>FD001</x:v>
      </x:c>
      <x:c r="E1438" s="5" t="str">
        <x:v>White Rice &amp; Stew</x:v>
      </x:c>
      <x:c r="F1438" s="5" t="str">
        <x:v>Rice Meals</x:v>
      </x:c>
      <x:c r="G1438" s="44" t="n">
        <x:v>4</x:v>
      </x:c>
      <x:c r="H1438" s="45" t="n">
        <x:v>1800</x:v>
      </x:c>
      <x:c r="I1438" s="46" t="n">
        <x:v>0</x:v>
      </x:c>
      <x:c r="J1438" s="47" t="n">
        <x:f>G1438*H1438*(1-I1438)</x:f>
        <x:v>7200</x:v>
      </x:c>
      <x:c r="K1438" s="47" t="n">
        <x:v>820</x:v>
      </x:c>
      <x:c r="L1438" s="47" t="n">
        <x:f>G1438*K1438</x:f>
        <x:v>3280</x:v>
      </x:c>
      <x:c r="M1438" s="47" t="n">
        <x:f>J1438-L1438</x:f>
        <x:v>3920</x:v>
      </x:c>
      <x:c r="N1438" s="5" t="str">
        <x:v>Walk-in</x:v>
      </x:c>
      <x:c r="O1438" s="5" t="str">
        <x:v>Transfer</x:v>
      </x:c>
      <x:c r="P1438" s="5" t="str">
        <x:v>Dinner</x:v>
      </x:c>
      <x:c r="Q1438" s="48" t="n">
        <x:v>18</x:v>
      </x:c>
      <x:c r="R1438" s="5" t="n">
        <x:v>5</x:v>
      </x:c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5" t="str">
        <x:v>ORD-00507</x:v>
      </x:c>
      <x:c r="B1439" s="43" t="n">
        <x:v>46214</x:v>
      </x:c>
      <x:c r="C1439" s="5" t="str">
        <x:v>CUST-0042</x:v>
      </x:c>
      <x:c r="D1439" s="5" t="str">
        <x:v>FD004</x:v>
      </x:c>
      <x:c r="E1439" s="5" t="str">
        <x:v>Beans &amp; Plantain</x:v>
      </x:c>
      <x:c r="F1439" s="5" t="str">
        <x:v>Traditional Meals</x:v>
      </x:c>
      <x:c r="G1439" s="44" t="n">
        <x:v>4</x:v>
      </x:c>
      <x:c r="H1439" s="45" t="n">
        <x:v>2000</x:v>
      </x:c>
      <x:c r="I1439" s="46" t="n">
        <x:v>0</x:v>
      </x:c>
      <x:c r="J1439" s="47" t="n">
        <x:f>G1439*H1439*(1-I1439)</x:f>
        <x:v>8000</x:v>
      </x:c>
      <x:c r="K1439" s="47" t="n">
        <x:v>960</x:v>
      </x:c>
      <x:c r="L1439" s="47" t="n">
        <x:f>G1439*K1439</x:f>
        <x:v>3840</x:v>
      </x:c>
      <x:c r="M1439" s="47" t="n">
        <x:f>J1439-L1439</x:f>
        <x:v>4160</x:v>
      </x:c>
      <x:c r="N1439" s="5" t="str">
        <x:v>Delivery</x:v>
      </x:c>
      <x:c r="O1439" s="5" t="str">
        <x:v>POS</x:v>
      </x:c>
      <x:c r="P1439" s="5" t="str">
        <x:v>Lunch</x:v>
      </x:c>
      <x:c r="Q1439" s="48" t="n">
        <x:v>15</x:v>
      </x:c>
      <x:c r="R1439" s="5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5" t="str">
        <x:v>ORD-00811</x:v>
      </x:c>
      <x:c r="B1440" s="43" t="n">
        <x:v>46214</x:v>
      </x:c>
      <x:c r="C1440" s="5" t="str">
        <x:v>CUST-0159</x:v>
      </x:c>
      <x:c r="D1440" s="5" t="str">
        <x:v>FD008</x:v>
      </x:c>
      <x:c r="E1440" s="5" t="str">
        <x:v>Pounded Yam &amp; Vegetable Soup</x:v>
      </x:c>
      <x:c r="F1440" s="5" t="str">
        <x:v>Swallow</x:v>
      </x:c>
      <x:c r="G1440" s="44" t="n">
        <x:v>2</x:v>
      </x:c>
      <x:c r="H1440" s="45" t="n">
        <x:v>3200</x:v>
      </x:c>
      <x:c r="I1440" s="46" t="n">
        <x:v>0</x:v>
      </x:c>
      <x:c r="J1440" s="47" t="n">
        <x:f>G1440*H1440*(1-I1440)</x:f>
        <x:v>6400</x:v>
      </x:c>
      <x:c r="K1440" s="47" t="n">
        <x:v>1710</x:v>
      </x:c>
      <x:c r="L1440" s="47" t="n">
        <x:f>G1440*K1440</x:f>
        <x:v>3420</x:v>
      </x:c>
      <x:c r="M1440" s="47" t="n">
        <x:f>J1440-L1440</x:f>
        <x:v>2980</x:v>
      </x:c>
      <x:c r="N1440" s="5" t="str">
        <x:v>Takeaway</x:v>
      </x:c>
      <x:c r="O1440" s="5" t="str">
        <x:v>Transfer</x:v>
      </x:c>
      <x:c r="P1440" s="5" t="str">
        <x:v>Lunch</x:v>
      </x:c>
      <x:c r="Q1440" s="48" t="n">
        <x:v>12</x:v>
      </x:c>
      <x:c r="R1440" s="5" t="n">
        <x:v>4</x:v>
      </x:c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5" t="str">
        <x:v>ORD-00856</x:v>
      </x:c>
      <x:c r="B1441" s="43" t="n">
        <x:v>46214</x:v>
      </x:c>
      <x:c r="C1441" s="5" t="str">
        <x:v>CUST-0109</x:v>
      </x:c>
      <x:c r="D1441" s="5" t="str">
        <x:v>FD005</x:v>
      </x:c>
      <x:c r="E1441" s="5" t="str">
        <x:v>Yam Porridge</x:v>
      </x:c>
      <x:c r="F1441" s="5" t="str">
        <x:v>Traditional Meals</x:v>
      </x:c>
      <x:c r="G1441" s="44" t="n">
        <x:v>4</x:v>
      </x:c>
      <x:c r="H1441" s="45" t="n">
        <x:v>2200</x:v>
      </x:c>
      <x:c r="I1441" s="46" t="n">
        <x:v>0</x:v>
      </x:c>
      <x:c r="J1441" s="47" t="n">
        <x:f>G1441*H1441*(1-I1441)</x:f>
        <x:v>8800</x:v>
      </x:c>
      <x:c r="K1441" s="47" t="n">
        <x:v>1050</x:v>
      </x:c>
      <x:c r="L1441" s="47" t="n">
        <x:f>G1441*K1441</x:f>
        <x:v>4200</x:v>
      </x:c>
      <x:c r="M1441" s="47" t="n">
        <x:f>J1441-L1441</x:f>
        <x:v>4600</x:v>
      </x:c>
      <x:c r="N1441" s="5" t="str">
        <x:v>Takeaway</x:v>
      </x:c>
      <x:c r="O1441" s="5" t="str">
        <x:v>Transfer</x:v>
      </x:c>
      <x:c r="P1441" s="5" t="str">
        <x:v>Lunch</x:v>
      </x:c>
      <x:c r="Q1441" s="48" t="n">
        <x:v>14</x:v>
      </x:c>
      <x:c r="R1441" s="5" t="n">
        <x:v>4</x:v>
      </x:c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5" t="str">
        <x:v>ORD-01049</x:v>
      </x:c>
      <x:c r="B1442" s="43" t="n">
        <x:v>46214</x:v>
      </x:c>
      <x:c r="C1442" s="5" t="str">
        <x:v>CUST-0139</x:v>
      </x:c>
      <x:c r="D1442" s="5" t="str">
        <x:v>FD002</x:v>
      </x:c>
      <x:c r="E1442" s="5" t="str">
        <x:v>Jollof Rice &amp; Chicken</x:v>
      </x:c>
      <x:c r="F1442" s="5" t="str">
        <x:v>Rice Meals</x:v>
      </x:c>
      <x:c r="G1442" s="44" t="n">
        <x:v>2</x:v>
      </x:c>
      <x:c r="H1442" s="45" t="n">
        <x:v>2800</x:v>
      </x:c>
      <x:c r="I1442" s="46" t="n">
        <x:v>0</x:v>
      </x:c>
      <x:c r="J1442" s="47" t="n">
        <x:f>G1442*H1442*(1-I1442)</x:f>
        <x:v>5600</x:v>
      </x:c>
      <x:c r="K1442" s="47" t="n">
        <x:v>1450</x:v>
      </x:c>
      <x:c r="L1442" s="47" t="n">
        <x:f>G1442*K1442</x:f>
        <x:v>2900</x:v>
      </x:c>
      <x:c r="M1442" s="47" t="n">
        <x:f>J1442-L1442</x:f>
        <x:v>2700</x:v>
      </x:c>
      <x:c r="N1442" s="5" t="str">
        <x:v>Walk-in</x:v>
      </x:c>
      <x:c r="O1442" s="5" t="str">
        <x:v>Cash</x:v>
      </x:c>
      <x:c r="P1442" s="5" t="str">
        <x:v>Dinner</x:v>
      </x:c>
      <x:c r="Q1442" s="48" t="n">
        <x:v>19</x:v>
      </x:c>
      <x:c r="R1442" s="5" t="n">
        <x:v>4</x:v>
      </x:c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5" t="str">
        <x:v>ORD-01087</x:v>
      </x:c>
      <x:c r="B1443" s="43" t="n">
        <x:v>46214</x:v>
      </x:c>
      <x:c r="C1443" s="5" t="str">
        <x:v>CUST-0439</x:v>
      </x:c>
      <x:c r="D1443" s="5" t="str">
        <x:v>FD005</x:v>
      </x:c>
      <x:c r="E1443" s="5" t="str">
        <x:v>Yam Porridge</x:v>
      </x:c>
      <x:c r="F1443" s="5" t="str">
        <x:v>Traditional Meals</x:v>
      </x:c>
      <x:c r="G1443" s="44" t="n">
        <x:v>1</x:v>
      </x:c>
      <x:c r="H1443" s="45" t="n">
        <x:v>2200</x:v>
      </x:c>
      <x:c r="I1443" s="46" t="n">
        <x:v>0</x:v>
      </x:c>
      <x:c r="J1443" s="47" t="n">
        <x:f>G1443*H1443*(1-I1443)</x:f>
        <x:v>2200</x:v>
      </x:c>
      <x:c r="K1443" s="47" t="n">
        <x:v>1050</x:v>
      </x:c>
      <x:c r="L1443" s="47" t="n">
        <x:f>G1443*K1443</x:f>
        <x:v>1050</x:v>
      </x:c>
      <x:c r="M1443" s="47" t="n">
        <x:f>J1443-L1443</x:f>
        <x:v>1150</x:v>
      </x:c>
      <x:c r="N1443" s="5" t="str">
        <x:v>Walk-in</x:v>
      </x:c>
      <x:c r="O1443" s="5" t="str">
        <x:v>POS</x:v>
      </x:c>
      <x:c r="P1443" s="5" t="str">
        <x:v>Breakfast</x:v>
      </x:c>
      <x:c r="Q1443" s="48" t="n">
        <x:v>8</x:v>
      </x:c>
      <x:c r="R1443" s="5" t="n">
        <x:v>4</x:v>
      </x:c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5" t="str">
        <x:v>ORD-01089</x:v>
      </x:c>
      <x:c r="B1444" s="43" t="n">
        <x:v>46214</x:v>
      </x:c>
      <x:c r="C1444" s="5" t="str">
        <x:v>CUST-0434</x:v>
      </x:c>
      <x:c r="D1444" s="5" t="str">
        <x:v>FD004</x:v>
      </x:c>
      <x:c r="E1444" s="5" t="str">
        <x:v>Beans &amp; Plantain</x:v>
      </x:c>
      <x:c r="F1444" s="5" t="str">
        <x:v>Traditional Meals</x:v>
      </x:c>
      <x:c r="G1444" s="44" t="n">
        <x:v>3</x:v>
      </x:c>
      <x:c r="H1444" s="45" t="n">
        <x:v>2000</x:v>
      </x:c>
      <x:c r="I1444" s="46" t="n">
        <x:v>0</x:v>
      </x:c>
      <x:c r="J1444" s="47" t="n">
        <x:f>G1444*H1444*(1-I1444)</x:f>
        <x:v>6000</x:v>
      </x:c>
      <x:c r="K1444" s="47" t="n">
        <x:v>960</x:v>
      </x:c>
      <x:c r="L1444" s="47" t="n">
        <x:f>G1444*K1444</x:f>
        <x:v>2880</x:v>
      </x:c>
      <x:c r="M1444" s="47" t="n">
        <x:f>J1444-L1444</x:f>
        <x:v>3120</x:v>
      </x:c>
      <x:c r="N1444" s="5" t="str">
        <x:v>Walk-in</x:v>
      </x:c>
      <x:c r="O1444" s="5" t="str">
        <x:v>Transfer</x:v>
      </x:c>
      <x:c r="P1444" s="5" t="str">
        <x:v>Breakfast</x:v>
      </x:c>
      <x:c r="Q1444" s="48" t="n">
        <x:v>8</x:v>
      </x:c>
      <x:c r="R1444" s="5" t="n">
        <x:v>5</x:v>
      </x:c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5" t="str">
        <x:v>ORD-01728</x:v>
      </x:c>
      <x:c r="B1445" s="43" t="n">
        <x:v>46214</x:v>
      </x:c>
      <x:c r="C1445" s="5" t="str">
        <x:v>CUST-0196</x:v>
      </x:c>
      <x:c r="D1445" s="5" t="str">
        <x:v>FD001</x:v>
      </x:c>
      <x:c r="E1445" s="5" t="str">
        <x:v>White Rice &amp; Stew</x:v>
      </x:c>
      <x:c r="F1445" s="5" t="str">
        <x:v>Rice Meals</x:v>
      </x:c>
      <x:c r="G1445" s="44" t="n">
        <x:v>3</x:v>
      </x:c>
      <x:c r="H1445" s="45" t="n">
        <x:v>1800</x:v>
      </x:c>
      <x:c r="I1445" s="46" t="n">
        <x:v>0</x:v>
      </x:c>
      <x:c r="J1445" s="47" t="n">
        <x:f>G1445*H1445*(1-I1445)</x:f>
        <x:v>5400</x:v>
      </x:c>
      <x:c r="K1445" s="47" t="n">
        <x:v>820</x:v>
      </x:c>
      <x:c r="L1445" s="47" t="n">
        <x:f>G1445*K1445</x:f>
        <x:v>2460</x:v>
      </x:c>
      <x:c r="M1445" s="47" t="n">
        <x:f>J1445-L1445</x:f>
        <x:v>2940</x:v>
      </x:c>
      <x:c r="N1445" s="5" t="str">
        <x:v>Walk-in</x:v>
      </x:c>
      <x:c r="O1445" s="5" t="str">
        <x:v>Transfer</x:v>
      </x:c>
      <x:c r="P1445" s="5" t="str">
        <x:v>Lunch</x:v>
      </x:c>
      <x:c r="Q1445" s="48" t="n">
        <x:v>13</x:v>
      </x:c>
      <x:c r="R1445" s="5" t="n">
        <x:v>3</x:v>
      </x:c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5" t="str">
        <x:v>ORD-00277</x:v>
      </x:c>
      <x:c r="B1446" s="43" t="n">
        <x:v>46215</x:v>
      </x:c>
      <x:c r="C1446" s="5" t="str">
        <x:v>CUST-0528</x:v>
      </x:c>
      <x:c r="D1446" s="5" t="str">
        <x:v>FD007</x:v>
      </x:c>
      <x:c r="E1446" s="5" t="str">
        <x:v>Amala &amp; Ewedu</x:v>
      </x:c>
      <x:c r="F1446" s="5" t="str">
        <x:v>Swallow</x:v>
      </x:c>
      <x:c r="G1446" s="44" t="n">
        <x:v>1</x:v>
      </x:c>
      <x:c r="H1446" s="45" t="n">
        <x:v>2500</x:v>
      </x:c>
      <x:c r="I1446" s="46" t="n">
        <x:v>0</x:v>
      </x:c>
      <x:c r="J1446" s="47" t="n">
        <x:f>G1446*H1446*(1-I1446)</x:f>
        <x:v>2500</x:v>
      </x:c>
      <x:c r="K1446" s="47" t="n">
        <x:v>1250</x:v>
      </x:c>
      <x:c r="L1446" s="47" t="n">
        <x:f>G1446*K1446</x:f>
        <x:v>1250</x:v>
      </x:c>
      <x:c r="M1446" s="47" t="n">
        <x:f>J1446-L1446</x:f>
        <x:v>1250</x:v>
      </x:c>
      <x:c r="N1446" s="5" t="str">
        <x:v>Takeaway</x:v>
      </x:c>
      <x:c r="O1446" s="5" t="str">
        <x:v>POS</x:v>
      </x:c>
      <x:c r="P1446" s="5" t="str">
        <x:v>Breakfast</x:v>
      </x:c>
      <x:c r="Q1446" s="48" t="n">
        <x:v>10</x:v>
      </x:c>
      <x:c r="R1446" s="5" t="n">
        <x:v>3</x:v>
      </x:c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5" t="str">
        <x:v>ORD-00504</x:v>
      </x:c>
      <x:c r="B1447" s="43" t="n">
        <x:v>46215</x:v>
      </x:c>
      <x:c r="C1447" s="5" t="str">
        <x:v>CUST-0470</x:v>
      </x:c>
      <x:c r="D1447" s="5" t="str">
        <x:v>FD002</x:v>
      </x:c>
      <x:c r="E1447" s="5" t="str">
        <x:v>Jollof Rice &amp; Chicken</x:v>
      </x:c>
      <x:c r="F1447" s="5" t="str">
        <x:v>Rice Meals</x:v>
      </x:c>
      <x:c r="G1447" s="44" t="n">
        <x:v>4</x:v>
      </x:c>
      <x:c r="H1447" s="45" t="n">
        <x:v>2800</x:v>
      </x:c>
      <x:c r="I1447" s="46" t="n">
        <x:v>0</x:v>
      </x:c>
      <x:c r="J1447" s="47" t="n">
        <x:f>G1447*H1447*(1-I1447)</x:f>
        <x:v>11200</x:v>
      </x:c>
      <x:c r="K1447" s="47" t="n">
        <x:v>1450</x:v>
      </x:c>
      <x:c r="L1447" s="47" t="n">
        <x:f>G1447*K1447</x:f>
        <x:v>5800</x:v>
      </x:c>
      <x:c r="M1447" s="47" t="n">
        <x:f>J1447-L1447</x:f>
        <x:v>5400</x:v>
      </x:c>
      <x:c r="N1447" s="5" t="str">
        <x:v>Takeaway</x:v>
      </x:c>
      <x:c r="O1447" s="5" t="str">
        <x:v>Transfer</x:v>
      </x:c>
      <x:c r="P1447" s="5" t="str">
        <x:v>Lunch</x:v>
      </x:c>
      <x:c r="Q1447" s="48" t="n">
        <x:v>15</x:v>
      </x:c>
      <x:c r="R1447" s="5" t="n">
        <x:v>5</x:v>
      </x:c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5" t="str">
        <x:v>ORD-00569</x:v>
      </x:c>
      <x:c r="B1448" s="43" t="n">
        <x:v>46215</x:v>
      </x:c>
      <x:c r="C1448" s="5" t="str">
        <x:v>CUST-0600</x:v>
      </x:c>
      <x:c r="D1448" s="5" t="str">
        <x:v>FD010</x:v>
      </x:c>
      <x:c r="E1448" s="5" t="str">
        <x:v>Soft Drink</x:v>
      </x:c>
      <x:c r="F1448" s="5" t="str">
        <x:v>Beverages</x:v>
      </x:c>
      <x:c r="G1448" s="44" t="n">
        <x:v>4</x:v>
      </x:c>
      <x:c r="H1448" s="45" t="n">
        <x:v>600</x:v>
      </x:c>
      <x:c r="I1448" s="46" t="n">
        <x:v>0</x:v>
      </x:c>
      <x:c r="J1448" s="47" t="n">
        <x:f>G1448*H1448*(1-I1448)</x:f>
        <x:v>2400</x:v>
      </x:c>
      <x:c r="K1448" s="47" t="n">
        <x:v>280</x:v>
      </x:c>
      <x:c r="L1448" s="47" t="n">
        <x:f>G1448*K1448</x:f>
        <x:v>1120</x:v>
      </x:c>
      <x:c r="M1448" s="47" t="n">
        <x:f>J1448-L1448</x:f>
        <x:v>1280</x:v>
      </x:c>
      <x:c r="N1448" s="5" t="str">
        <x:v>Takeaway</x:v>
      </x:c>
      <x:c r="O1448" s="5" t="str">
        <x:v>Transfer</x:v>
      </x:c>
      <x:c r="P1448" s="5" t="str">
        <x:v>Lunch</x:v>
      </x:c>
      <x:c r="Q1448" s="48" t="n">
        <x:v>12</x:v>
      </x:c>
      <x:c r="R1448" s="5" t="n">
        <x:v>4</x:v>
      </x:c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5" t="str">
        <x:v>ORD-01761</x:v>
      </x:c>
      <x:c r="B1449" s="43" t="n">
        <x:v>46215</x:v>
      </x:c>
      <x:c r="C1449" s="5" t="str">
        <x:v>CUST-0542</x:v>
      </x:c>
      <x:c r="D1449" s="5" t="str">
        <x:v>FD002</x:v>
      </x:c>
      <x:c r="E1449" s="5" t="str">
        <x:v>Jollof Rice &amp; Chicken</x:v>
      </x:c>
      <x:c r="F1449" s="5" t="str">
        <x:v>Rice Meals</x:v>
      </x:c>
      <x:c r="G1449" s="44" t="n">
        <x:v>1</x:v>
      </x:c>
      <x:c r="H1449" s="45" t="n">
        <x:v>2800</x:v>
      </x:c>
      <x:c r="I1449" s="46" t="n">
        <x:v>0</x:v>
      </x:c>
      <x:c r="J1449" s="47" t="n">
        <x:f>G1449*H1449*(1-I1449)</x:f>
        <x:v>2800</x:v>
      </x:c>
      <x:c r="K1449" s="47" t="n">
        <x:v>1450</x:v>
      </x:c>
      <x:c r="L1449" s="47" t="n">
        <x:f>G1449*K1449</x:f>
        <x:v>1450</x:v>
      </x:c>
      <x:c r="M1449" s="47" t="n">
        <x:f>J1449-L1449</x:f>
        <x:v>1350</x:v>
      </x:c>
      <x:c r="N1449" s="5" t="str">
        <x:v>Takeaway</x:v>
      </x:c>
      <x:c r="O1449" s="5" t="str">
        <x:v>Transfer</x:v>
      </x:c>
      <x:c r="P1449" s="5" t="str">
        <x:v>Dinner</x:v>
      </x:c>
      <x:c r="Q1449" s="48" t="n">
        <x:v>18</x:v>
      </x:c>
      <x:c r="R1449" s="5" t="n">
        <x:v>3</x:v>
      </x:c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5" t="str">
        <x:v>ORD-01767</x:v>
      </x:c>
      <x:c r="B1450" s="43" t="n">
        <x:v>46215</x:v>
      </x:c>
      <x:c r="C1450" s="5" t="str">
        <x:v>CUST-0092</x:v>
      </x:c>
      <x:c r="D1450" s="5" t="str">
        <x:v>FD001</x:v>
      </x:c>
      <x:c r="E1450" s="5" t="str">
        <x:v>White Rice &amp; Stew</x:v>
      </x:c>
      <x:c r="F1450" s="5" t="str">
        <x:v>Rice Meals</x:v>
      </x:c>
      <x:c r="G1450" s="44" t="n">
        <x:v>3</x:v>
      </x:c>
      <x:c r="H1450" s="45" t="n">
        <x:v>1800</x:v>
      </x:c>
      <x:c r="I1450" s="46" t="n">
        <x:v>0</x:v>
      </x:c>
      <x:c r="J1450" s="47" t="n">
        <x:f>G1450*H1450*(1-I1450)</x:f>
        <x:v>5400</x:v>
      </x:c>
      <x:c r="K1450" s="47" t="n">
        <x:v>820</x:v>
      </x:c>
      <x:c r="L1450" s="47" t="n">
        <x:f>G1450*K1450</x:f>
        <x:v>2460</x:v>
      </x:c>
      <x:c r="M1450" s="47" t="n">
        <x:f>J1450-L1450</x:f>
        <x:v>2940</x:v>
      </x:c>
      <x:c r="N1450" s="5" t="str">
        <x:v>Walk-in</x:v>
      </x:c>
      <x:c r="O1450" s="5" t="str">
        <x:v>Transfer</x:v>
      </x:c>
      <x:c r="P1450" s="5" t="str">
        <x:v>Lunch</x:v>
      </x:c>
      <x:c r="Q1450" s="48" t="n">
        <x:v>12</x:v>
      </x:c>
      <x:c r="R1450" s="5" t="n">
        <x:v>4</x:v>
      </x:c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5" t="str">
        <x:v>ORD-00002</x:v>
      </x:c>
      <x:c r="B1451" s="43" t="n">
        <x:v>46216</x:v>
      </x:c>
      <x:c r="C1451" s="5" t="str">
        <x:v>CUST-0019</x:v>
      </x:c>
      <x:c r="D1451" s="5" t="str">
        <x:v>FD001</x:v>
      </x:c>
      <x:c r="E1451" s="5" t="str">
        <x:v>White Rice &amp; Stew</x:v>
      </x:c>
      <x:c r="F1451" s="5" t="str">
        <x:v>Rice Meals</x:v>
      </x:c>
      <x:c r="G1451" s="44" t="n">
        <x:v>1</x:v>
      </x:c>
      <x:c r="H1451" s="45" t="n">
        <x:v>1800</x:v>
      </x:c>
      <x:c r="I1451" s="46" t="n">
        <x:v>0</x:v>
      </x:c>
      <x:c r="J1451" s="47" t="n">
        <x:f>G1451*H1451*(1-I1451)</x:f>
        <x:v>1800</x:v>
      </x:c>
      <x:c r="K1451" s="47" t="n">
        <x:v>820</x:v>
      </x:c>
      <x:c r="L1451" s="47" t="n">
        <x:f>G1451*K1451</x:f>
        <x:v>820</x:v>
      </x:c>
      <x:c r="M1451" s="47" t="n">
        <x:f>J1451-L1451</x:f>
        <x:v>980</x:v>
      </x:c>
      <x:c r="N1451" s="5" t="str">
        <x:v>Walk-in</x:v>
      </x:c>
      <x:c r="O1451" s="5" t="str">
        <x:v>POS</x:v>
      </x:c>
      <x:c r="P1451" s="5" t="str">
        <x:v>Lunch</x:v>
      </x:c>
      <x:c r="Q1451" s="48" t="n">
        <x:v>13</x:v>
      </x:c>
      <x:c r="R1451" s="5" t="n">
        <x:v>4</x:v>
      </x:c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5" t="str">
        <x:v>ORD-00050</x:v>
      </x:c>
      <x:c r="B1452" s="43" t="n">
        <x:v>46216</x:v>
      </x:c>
      <x:c r="C1452" s="5" t="str">
        <x:v>CUST-0490</x:v>
      </x:c>
      <x:c r="D1452" s="5" t="str">
        <x:v>FD006</x:v>
      </x:c>
      <x:c r="E1452" s="5" t="str">
        <x:v>Eba &amp; Egusi Soup</x:v>
      </x:c>
      <x:c r="F1452" s="5" t="str">
        <x:v>Swallow</x:v>
      </x:c>
      <x:c r="G1452" s="44" t="n">
        <x:v>2</x:v>
      </x:c>
      <x:c r="H1452" s="45" t="n">
        <x:v>2600</x:v>
      </x:c>
      <x:c r="I1452" s="46" t="n">
        <x:v>0</x:v>
      </x:c>
      <x:c r="J1452" s="47" t="n">
        <x:f>G1452*H1452*(1-I1452)</x:f>
        <x:v>5200</x:v>
      </x:c>
      <x:c r="K1452" s="47" t="n">
        <x:v>1320</x:v>
      </x:c>
      <x:c r="L1452" s="47" t="n">
        <x:f>G1452*K1452</x:f>
        <x:v>2640</x:v>
      </x:c>
      <x:c r="M1452" s="47" t="n">
        <x:f>J1452-L1452</x:f>
        <x:v>2560</x:v>
      </x:c>
      <x:c r="N1452" s="5" t="str">
        <x:v>Walk-in</x:v>
      </x:c>
      <x:c r="O1452" s="5" t="str">
        <x:v>POS</x:v>
      </x:c>
      <x:c r="P1452" s="5" t="str">
        <x:v>Lunch</x:v>
      </x:c>
      <x:c r="Q1452" s="48" t="n">
        <x:v>12</x:v>
      </x:c>
      <x:c r="R1452" s="5" t="n">
        <x:v>4</x:v>
      </x:c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5" t="str">
        <x:v>ORD-00259</x:v>
      </x:c>
      <x:c r="B1453" s="43" t="n">
        <x:v>46216</x:v>
      </x:c>
      <x:c r="C1453" s="5" t="str">
        <x:v>CUST-0144</x:v>
      </x:c>
      <x:c r="D1453" s="5" t="str">
        <x:v>FD010</x:v>
      </x:c>
      <x:c r="E1453" s="5" t="str">
        <x:v>Soft Drink</x:v>
      </x:c>
      <x:c r="F1453" s="5" t="str">
        <x:v>Beverages</x:v>
      </x:c>
      <x:c r="G1453" s="44" t="n">
        <x:v>4</x:v>
      </x:c>
      <x:c r="H1453" s="45" t="n">
        <x:v>600</x:v>
      </x:c>
      <x:c r="I1453" s="46" t="n">
        <x:v>0</x:v>
      </x:c>
      <x:c r="J1453" s="47" t="n">
        <x:f>G1453*H1453*(1-I1453)</x:f>
        <x:v>2400</x:v>
      </x:c>
      <x:c r="K1453" s="47" t="n">
        <x:v>280</x:v>
      </x:c>
      <x:c r="L1453" s="47" t="n">
        <x:f>G1453*K1453</x:f>
        <x:v>1120</x:v>
      </x:c>
      <x:c r="M1453" s="47" t="n">
        <x:f>J1453-L1453</x:f>
        <x:v>1280</x:v>
      </x:c>
      <x:c r="N1453" s="5" t="str">
        <x:v>Walk-in</x:v>
      </x:c>
      <x:c r="O1453" s="5" t="str">
        <x:v>POS</x:v>
      </x:c>
      <x:c r="P1453" s="5" t="str">
        <x:v>Lunch</x:v>
      </x:c>
      <x:c r="Q1453" s="48" t="n">
        <x:v>11</x:v>
      </x:c>
      <x:c r="R1453" s="5" t="n">
        <x:v>3</x:v>
      </x:c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5" t="str">
        <x:v>ORD-00337</x:v>
      </x:c>
      <x:c r="B1454" s="43" t="n">
        <x:v>46216</x:v>
      </x:c>
      <x:c r="C1454" s="5" t="str">
        <x:v>CUST-0039</x:v>
      </x:c>
      <x:c r="D1454" s="5" t="str">
        <x:v>FD002</x:v>
      </x:c>
      <x:c r="E1454" s="5" t="str">
        <x:v>Jollof Rice &amp; Chicken</x:v>
      </x:c>
      <x:c r="F1454" s="5" t="str">
        <x:v>Rice Meals</x:v>
      </x:c>
      <x:c r="G1454" s="44" t="n">
        <x:v>4</x:v>
      </x:c>
      <x:c r="H1454" s="45" t="n">
        <x:v>2800</x:v>
      </x:c>
      <x:c r="I1454" s="46" t="n">
        <x:v>0</x:v>
      </x:c>
      <x:c r="J1454" s="47" t="n">
        <x:f>G1454*H1454*(1-I1454)</x:f>
        <x:v>11200</x:v>
      </x:c>
      <x:c r="K1454" s="47" t="n">
        <x:v>1450</x:v>
      </x:c>
      <x:c r="L1454" s="47" t="n">
        <x:f>G1454*K1454</x:f>
        <x:v>5800</x:v>
      </x:c>
      <x:c r="M1454" s="47" t="n">
        <x:f>J1454-L1454</x:f>
        <x:v>5400</x:v>
      </x:c>
      <x:c r="N1454" s="5" t="str">
        <x:v>Takeaway</x:v>
      </x:c>
      <x:c r="O1454" s="5" t="str">
        <x:v>Transfer</x:v>
      </x:c>
      <x:c r="P1454" s="5" t="str">
        <x:v>Lunch</x:v>
      </x:c>
      <x:c r="Q1454" s="48" t="n">
        <x:v>12</x:v>
      </x:c>
      <x:c r="R1454" s="5" t="n">
        <x:v>4</x:v>
      </x:c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5" t="str">
        <x:v>ORD-00461</x:v>
      </x:c>
      <x:c r="B1455" s="43" t="n">
        <x:v>46216</x:v>
      </x:c>
      <x:c r="C1455" s="5" t="str">
        <x:v>CUST-0534</x:v>
      </x:c>
      <x:c r="D1455" s="5" t="str">
        <x:v>FD003</x:v>
      </x:c>
      <x:c r="E1455" s="5" t="str">
        <x:v>Fried Rice &amp; Chicken</x:v>
      </x:c>
      <x:c r="F1455" s="5" t="str">
        <x:v>Rice Meals</x:v>
      </x:c>
      <x:c r="G1455" s="44" t="n">
        <x:v>3</x:v>
      </x:c>
      <x:c r="H1455" s="45" t="n">
        <x:v>3000</x:v>
      </x:c>
      <x:c r="I1455" s="46" t="n">
        <x:v>0</x:v>
      </x:c>
      <x:c r="J1455" s="47" t="n">
        <x:f>G1455*H1455*(1-I1455)</x:f>
        <x:v>9000</x:v>
      </x:c>
      <x:c r="K1455" s="47" t="n">
        <x:v>1580</x:v>
      </x:c>
      <x:c r="L1455" s="47" t="n">
        <x:f>G1455*K1455</x:f>
        <x:v>4740</x:v>
      </x:c>
      <x:c r="M1455" s="47" t="n">
        <x:f>J1455-L1455</x:f>
        <x:v>4260</x:v>
      </x:c>
      <x:c r="N1455" s="5" t="str">
        <x:v>Walk-in</x:v>
      </x:c>
      <x:c r="O1455" s="5" t="str">
        <x:v>POS</x:v>
      </x:c>
      <x:c r="P1455" s="5" t="str">
        <x:v>Lunch</x:v>
      </x:c>
      <x:c r="Q1455" s="48" t="n">
        <x:v>14</x:v>
      </x:c>
      <x:c r="R1455" s="5" t="n">
        <x:v>5</x:v>
      </x:c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5" t="str">
        <x:v>ORD-00673</x:v>
      </x:c>
      <x:c r="B1456" s="43" t="n">
        <x:v>46216</x:v>
      </x:c>
      <x:c r="C1456" s="5" t="str">
        <x:v>CUST-0001</x:v>
      </x:c>
      <x:c r="D1456" s="5" t="str">
        <x:v>FD006</x:v>
      </x:c>
      <x:c r="E1456" s="5" t="str">
        <x:v>Eba &amp; Egusi Soup</x:v>
      </x:c>
      <x:c r="F1456" s="5" t="str">
        <x:v>Swallow</x:v>
      </x:c>
      <x:c r="G1456" s="44" t="n">
        <x:v>2</x:v>
      </x:c>
      <x:c r="H1456" s="45" t="n">
        <x:v>2600</x:v>
      </x:c>
      <x:c r="I1456" s="46" t="n">
        <x:v>0</x:v>
      </x:c>
      <x:c r="J1456" s="47" t="n">
        <x:f>G1456*H1456*(1-I1456)</x:f>
        <x:v>5200</x:v>
      </x:c>
      <x:c r="K1456" s="47" t="n">
        <x:v>1320</x:v>
      </x:c>
      <x:c r="L1456" s="47" t="n">
        <x:f>G1456*K1456</x:f>
        <x:v>2640</x:v>
      </x:c>
      <x:c r="M1456" s="47" t="n">
        <x:f>J1456-L1456</x:f>
        <x:v>2560</x:v>
      </x:c>
      <x:c r="N1456" s="5" t="str">
        <x:v>Takeaway</x:v>
      </x:c>
      <x:c r="O1456" s="5" t="str">
        <x:v>POS</x:v>
      </x:c>
      <x:c r="P1456" s="5" t="str">
        <x:v>Breakfast</x:v>
      </x:c>
      <x:c r="Q1456" s="48" t="n">
        <x:v>8</x:v>
      </x:c>
      <x:c r="R1456" s="5" t="n">
        <x:v>5</x:v>
      </x:c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5" t="str">
        <x:v>ORD-00787</x:v>
      </x:c>
      <x:c r="B1457" s="43" t="n">
        <x:v>46216</x:v>
      </x:c>
      <x:c r="C1457" s="5" t="str">
        <x:v>CUST-0157</x:v>
      </x:c>
      <x:c r="D1457" s="5" t="str">
        <x:v>FD005</x:v>
      </x:c>
      <x:c r="E1457" s="5" t="str">
        <x:v>Yam Porridge</x:v>
      </x:c>
      <x:c r="F1457" s="5" t="str">
        <x:v>Traditional Meals</x:v>
      </x:c>
      <x:c r="G1457" s="44" t="n">
        <x:v>4</x:v>
      </x:c>
      <x:c r="H1457" s="45" t="n">
        <x:v>2200</x:v>
      </x:c>
      <x:c r="I1457" s="46" t="n">
        <x:v>0</x:v>
      </x:c>
      <x:c r="J1457" s="47" t="n">
        <x:f>G1457*H1457*(1-I1457)</x:f>
        <x:v>8800</x:v>
      </x:c>
      <x:c r="K1457" s="47" t="n">
        <x:v>1050</x:v>
      </x:c>
      <x:c r="L1457" s="47" t="n">
        <x:f>G1457*K1457</x:f>
        <x:v>4200</x:v>
      </x:c>
      <x:c r="M1457" s="47" t="n">
        <x:f>J1457-L1457</x:f>
        <x:v>4600</x:v>
      </x:c>
      <x:c r="N1457" s="5" t="str">
        <x:v>Walk-in</x:v>
      </x:c>
      <x:c r="O1457" s="5" t="str">
        <x:v>POS</x:v>
      </x:c>
      <x:c r="P1457" s="5" t="str">
        <x:v>Breakfast</x:v>
      </x:c>
      <x:c r="Q1457" s="48" t="n">
        <x:v>8</x:v>
      </x:c>
      <x:c r="R1457" s="5" t="n">
        <x:v>5</x:v>
      </x:c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5" t="str">
        <x:v>ORD-00933</x:v>
      </x:c>
      <x:c r="B1458" s="43" t="n">
        <x:v>46216</x:v>
      </x:c>
      <x:c r="C1458" s="5" t="str">
        <x:v>CUST-0506</x:v>
      </x:c>
      <x:c r="D1458" s="5" t="str">
        <x:v>FD003</x:v>
      </x:c>
      <x:c r="E1458" s="5" t="str">
        <x:v>Fried Rice &amp; Chicken</x:v>
      </x:c>
      <x:c r="F1458" s="5" t="str">
        <x:v>Rice Meals</x:v>
      </x:c>
      <x:c r="G1458" s="44" t="n">
        <x:v>2</x:v>
      </x:c>
      <x:c r="H1458" s="45" t="n">
        <x:v>3000</x:v>
      </x:c>
      <x:c r="I1458" s="46" t="n">
        <x:v>0</x:v>
      </x:c>
      <x:c r="J1458" s="47" t="n">
        <x:f>G1458*H1458*(1-I1458)</x:f>
        <x:v>6000</x:v>
      </x:c>
      <x:c r="K1458" s="47" t="n">
        <x:v>1580</x:v>
      </x:c>
      <x:c r="L1458" s="47" t="n">
        <x:f>G1458*K1458</x:f>
        <x:v>3160</x:v>
      </x:c>
      <x:c r="M1458" s="47" t="n">
        <x:f>J1458-L1458</x:f>
        <x:v>2840</x:v>
      </x:c>
      <x:c r="N1458" s="5" t="str">
        <x:v>Walk-in</x:v>
      </x:c>
      <x:c r="O1458" s="5" t="str">
        <x:v>POS</x:v>
      </x:c>
      <x:c r="P1458" s="5" t="str">
        <x:v>Dinner</x:v>
      </x:c>
      <x:c r="Q1458" s="48" t="n">
        <x:v>20</x:v>
      </x:c>
      <x:c r="R1458" s="5" t="n">
        <x:v>5</x:v>
      </x:c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5" t="str">
        <x:v>ORD-01347</x:v>
      </x:c>
      <x:c r="B1459" s="43" t="n">
        <x:v>46216</x:v>
      </x:c>
      <x:c r="C1459" s="5" t="str">
        <x:v>CUST-0538</x:v>
      </x:c>
      <x:c r="D1459" s="5" t="str">
        <x:v>FD012</x:v>
      </x:c>
      <x:c r="E1459" s="5" t="str">
        <x:v>Fried Plantain</x:v>
      </x:c>
      <x:c r="F1459" s="5" t="str">
        <x:v>Sides</x:v>
      </x:c>
      <x:c r="G1459" s="44" t="n">
        <x:v>4</x:v>
      </x:c>
      <x:c r="H1459" s="45" t="n">
        <x:v>700</x:v>
      </x:c>
      <x:c r="I1459" s="46" t="n">
        <x:v>0</x:v>
      </x:c>
      <x:c r="J1459" s="47" t="n">
        <x:f>G1459*H1459*(1-I1459)</x:f>
        <x:v>2800</x:v>
      </x:c>
      <x:c r="K1459" s="47" t="n">
        <x:v>300</x:v>
      </x:c>
      <x:c r="L1459" s="47" t="n">
        <x:f>G1459*K1459</x:f>
        <x:v>1200</x:v>
      </x:c>
      <x:c r="M1459" s="47" t="n">
        <x:f>J1459-L1459</x:f>
        <x:v>1600</x:v>
      </x:c>
      <x:c r="N1459" s="5" t="str">
        <x:v>Takeaway</x:v>
      </x:c>
      <x:c r="O1459" s="5" t="str">
        <x:v>Cash</x:v>
      </x:c>
      <x:c r="P1459" s="5" t="str">
        <x:v>Breakfast</x:v>
      </x:c>
      <x:c r="Q1459" s="48" t="n">
        <x:v>10</x:v>
      </x:c>
      <x:c r="R1459" s="5" t="n">
        <x:v>3</x:v>
      </x:c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5" t="str">
        <x:v>ORD-01478</x:v>
      </x:c>
      <x:c r="B1460" s="43" t="n">
        <x:v>46216</x:v>
      </x:c>
      <x:c r="C1460" s="5" t="str">
        <x:v>CUST-0075</x:v>
      </x:c>
      <x:c r="D1460" s="5" t="str">
        <x:v>FD003</x:v>
      </x:c>
      <x:c r="E1460" s="5" t="str">
        <x:v>Fried Rice &amp; Chicken</x:v>
      </x:c>
      <x:c r="F1460" s="5" t="str">
        <x:v>Rice Meals</x:v>
      </x:c>
      <x:c r="G1460" s="44" t="n">
        <x:v>3</x:v>
      </x:c>
      <x:c r="H1460" s="45" t="n">
        <x:v>3000</x:v>
      </x:c>
      <x:c r="I1460" s="46" t="n">
        <x:v>0.1</x:v>
      </x:c>
      <x:c r="J1460" s="47" t="n">
        <x:f>G1460*H1460*(1-I1460)</x:f>
        <x:v>8100</x:v>
      </x:c>
      <x:c r="K1460" s="47" t="n">
        <x:v>1580</x:v>
      </x:c>
      <x:c r="L1460" s="47" t="n">
        <x:f>G1460*K1460</x:f>
        <x:v>4740</x:v>
      </x:c>
      <x:c r="M1460" s="47" t="n">
        <x:f>J1460-L1460</x:f>
        <x:v>3360</x:v>
      </x:c>
      <x:c r="N1460" s="5" t="str">
        <x:v>Takeaway</x:v>
      </x:c>
      <x:c r="O1460" s="5" t="str">
        <x:v>Cash</x:v>
      </x:c>
      <x:c r="P1460" s="5" t="str">
        <x:v>Lunch</x:v>
      </x:c>
      <x:c r="Q1460" s="48" t="n">
        <x:v>14</x:v>
      </x:c>
      <x:c r="R1460" s="5" t="n">
        <x:v>3</x:v>
      </x:c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5" t="str">
        <x:v>ORD-01563</x:v>
      </x:c>
      <x:c r="B1461" s="43" t="n">
        <x:v>46216</x:v>
      </x:c>
      <x:c r="C1461" s="5" t="str">
        <x:v>CUST-0286</x:v>
      </x:c>
      <x:c r="D1461" s="5" t="str">
        <x:v>FD005</x:v>
      </x:c>
      <x:c r="E1461" s="5" t="str">
        <x:v>Yam Porridge</x:v>
      </x:c>
      <x:c r="F1461" s="5" t="str">
        <x:v>Traditional Meals</x:v>
      </x:c>
      <x:c r="G1461" s="44" t="n">
        <x:v>2</x:v>
      </x:c>
      <x:c r="H1461" s="45" t="n">
        <x:v>2200</x:v>
      </x:c>
      <x:c r="I1461" s="46" t="n">
        <x:v>0</x:v>
      </x:c>
      <x:c r="J1461" s="47" t="n">
        <x:f>G1461*H1461*(1-I1461)</x:f>
        <x:v>4400</x:v>
      </x:c>
      <x:c r="K1461" s="47" t="n">
        <x:v>1050</x:v>
      </x:c>
      <x:c r="L1461" s="47" t="n">
        <x:f>G1461*K1461</x:f>
        <x:v>2100</x:v>
      </x:c>
      <x:c r="M1461" s="47" t="n">
        <x:f>J1461-L1461</x:f>
        <x:v>2300</x:v>
      </x:c>
      <x:c r="N1461" s="5" t="str">
        <x:v>Walk-in</x:v>
      </x:c>
      <x:c r="O1461" s="5" t="str">
        <x:v>Transfer</x:v>
      </x:c>
      <x:c r="P1461" s="5" t="str">
        <x:v>Breakfast</x:v>
      </x:c>
      <x:c r="Q1461" s="48" t="n">
        <x:v>8</x:v>
      </x:c>
      <x:c r="R1461" s="5" t="n">
        <x:v>5</x:v>
      </x:c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5" t="str">
        <x:v>ORD-01798</x:v>
      </x:c>
      <x:c r="B1462" s="43" t="n">
        <x:v>46216</x:v>
      </x:c>
      <x:c r="C1462" s="5" t="str">
        <x:v>CUST-0188</x:v>
      </x:c>
      <x:c r="D1462" s="5" t="str">
        <x:v>FD006</x:v>
      </x:c>
      <x:c r="E1462" s="5" t="str">
        <x:v>Eba &amp; Egusi Soup</x:v>
      </x:c>
      <x:c r="F1462" s="5" t="str">
        <x:v>Swallow</x:v>
      </x:c>
      <x:c r="G1462" s="44" t="n">
        <x:v>4</x:v>
      </x:c>
      <x:c r="H1462" s="45" t="n">
        <x:v>2600</x:v>
      </x:c>
      <x:c r="I1462" s="46" t="n">
        <x:v>0</x:v>
      </x:c>
      <x:c r="J1462" s="47" t="n">
        <x:f>G1462*H1462*(1-I1462)</x:f>
        <x:v>10400</x:v>
      </x:c>
      <x:c r="K1462" s="47" t="n">
        <x:v>1320</x:v>
      </x:c>
      <x:c r="L1462" s="47" t="n">
        <x:f>G1462*K1462</x:f>
        <x:v>5280</x:v>
      </x:c>
      <x:c r="M1462" s="47" t="n">
        <x:f>J1462-L1462</x:f>
        <x:v>5120</x:v>
      </x:c>
      <x:c r="N1462" s="5" t="str">
        <x:v>Walk-in</x:v>
      </x:c>
      <x:c r="O1462" s="5" t="str">
        <x:v>Transfer</x:v>
      </x:c>
      <x:c r="P1462" s="5" t="str">
        <x:v>Dinner</x:v>
      </x:c>
      <x:c r="Q1462" s="48" t="n">
        <x:v>20</x:v>
      </x:c>
      <x:c r="R1462" s="5" t="n">
        <x:v>4</x:v>
      </x:c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5" t="str">
        <x:v>ORD-00718</x:v>
      </x:c>
      <x:c r="B1463" s="43" t="n">
        <x:v>46217</x:v>
      </x:c>
      <x:c r="C1463" s="5" t="str">
        <x:v>CUST-0562</x:v>
      </x:c>
      <x:c r="D1463" s="5" t="str">
        <x:v>FD006</x:v>
      </x:c>
      <x:c r="E1463" s="5" t="str">
        <x:v>Eba &amp; Egusi Soup</x:v>
      </x:c>
      <x:c r="F1463" s="5" t="str">
        <x:v>Swallow</x:v>
      </x:c>
      <x:c r="G1463" s="44" t="n">
        <x:v>4</x:v>
      </x:c>
      <x:c r="H1463" s="45" t="n">
        <x:v>2600</x:v>
      </x:c>
      <x:c r="I1463" s="46" t="n">
        <x:v>0</x:v>
      </x:c>
      <x:c r="J1463" s="47" t="n">
        <x:f>G1463*H1463*(1-I1463)</x:f>
        <x:v>10400</x:v>
      </x:c>
      <x:c r="K1463" s="47" t="n">
        <x:v>1320</x:v>
      </x:c>
      <x:c r="L1463" s="47" t="n">
        <x:f>G1463*K1463</x:f>
        <x:v>5280</x:v>
      </x:c>
      <x:c r="M1463" s="47" t="n">
        <x:f>J1463-L1463</x:f>
        <x:v>5120</x:v>
      </x:c>
      <x:c r="N1463" s="5" t="str">
        <x:v>Walk-in</x:v>
      </x:c>
      <x:c r="O1463" s="5" t="str">
        <x:v>Cash</x:v>
      </x:c>
      <x:c r="P1463" s="5" t="str">
        <x:v>Lunch</x:v>
      </x:c>
      <x:c r="Q1463" s="48" t="n">
        <x:v>13</x:v>
      </x:c>
      <x:c r="R1463" s="5" t="n">
        <x:v>5</x:v>
      </x:c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5" t="str">
        <x:v>ORD-01616</x:v>
      </x:c>
      <x:c r="B1464" s="43" t="n">
        <x:v>46217</x:v>
      </x:c>
      <x:c r="C1464" s="5" t="str">
        <x:v>CUST-0183</x:v>
      </x:c>
      <x:c r="D1464" s="5" t="str">
        <x:v>FD005</x:v>
      </x:c>
      <x:c r="E1464" s="5" t="str">
        <x:v>Yam Porridge</x:v>
      </x:c>
      <x:c r="F1464" s="5" t="str">
        <x:v>Traditional Meals</x:v>
      </x:c>
      <x:c r="G1464" s="44" t="n">
        <x:v>1</x:v>
      </x:c>
      <x:c r="H1464" s="45" t="n">
        <x:v>2200</x:v>
      </x:c>
      <x:c r="I1464" s="46" t="n">
        <x:v>0</x:v>
      </x:c>
      <x:c r="J1464" s="47" t="n">
        <x:f>G1464*H1464*(1-I1464)</x:f>
        <x:v>2200</x:v>
      </x:c>
      <x:c r="K1464" s="47" t="n">
        <x:v>1050</x:v>
      </x:c>
      <x:c r="L1464" s="47" t="n">
        <x:f>G1464*K1464</x:f>
        <x:v>1050</x:v>
      </x:c>
      <x:c r="M1464" s="47" t="n">
        <x:f>J1464-L1464</x:f>
        <x:v>1150</x:v>
      </x:c>
      <x:c r="N1464" s="5" t="str">
        <x:v>Walk-in</x:v>
      </x:c>
      <x:c r="O1464" s="5" t="str">
        <x:v>POS</x:v>
      </x:c>
      <x:c r="P1464" s="5" t="str">
        <x:v>Lunch</x:v>
      </x:c>
      <x:c r="Q1464" s="48" t="n">
        <x:v>15</x:v>
      </x:c>
      <x:c r="R1464" s="5" t="n">
        <x:v>3</x:v>
      </x:c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5" t="str">
        <x:v>ORD-00855</x:v>
      </x:c>
      <x:c r="B1465" s="43" t="n">
        <x:v>46218</x:v>
      </x:c>
      <x:c r="C1465" s="5" t="str">
        <x:v>CUST-0079</x:v>
      </x:c>
      <x:c r="D1465" s="5" t="str">
        <x:v>FD008</x:v>
      </x:c>
      <x:c r="E1465" s="5" t="str">
        <x:v>Pounded Yam &amp; Vegetable Soup</x:v>
      </x:c>
      <x:c r="F1465" s="5" t="str">
        <x:v>Swallow</x:v>
      </x:c>
      <x:c r="G1465" s="44" t="n">
        <x:v>3</x:v>
      </x:c>
      <x:c r="H1465" s="45" t="n">
        <x:v>3200</x:v>
      </x:c>
      <x:c r="I1465" s="46" t="n">
        <x:v>0.05</x:v>
      </x:c>
      <x:c r="J1465" s="47" t="n">
        <x:f>G1465*H1465*(1-I1465)</x:f>
        <x:v>9120</x:v>
      </x:c>
      <x:c r="K1465" s="47" t="n">
        <x:v>1710</x:v>
      </x:c>
      <x:c r="L1465" s="47" t="n">
        <x:f>G1465*K1465</x:f>
        <x:v>5130</x:v>
      </x:c>
      <x:c r="M1465" s="47" t="n">
        <x:f>J1465-L1465</x:f>
        <x:v>3990</x:v>
      </x:c>
      <x:c r="N1465" s="5" t="str">
        <x:v>Walk-in</x:v>
      </x:c>
      <x:c r="O1465" s="5" t="str">
        <x:v>Transfer</x:v>
      </x:c>
      <x:c r="P1465" s="5" t="str">
        <x:v>Breakfast</x:v>
      </x:c>
      <x:c r="Q1465" s="48" t="n">
        <x:v>10</x:v>
      </x:c>
      <x:c r="R1465" s="5" t="n">
        <x:v>4</x:v>
      </x:c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5" t="str">
        <x:v>ORD-01207</x:v>
      </x:c>
      <x:c r="B1466" s="43" t="n">
        <x:v>46218</x:v>
      </x:c>
      <x:c r="C1466" s="5" t="str">
        <x:v>CUST-0525</x:v>
      </x:c>
      <x:c r="D1466" s="5" t="str">
        <x:v>FD008</x:v>
      </x:c>
      <x:c r="E1466" s="5" t="str">
        <x:v>Pounded Yam &amp; Vegetable Soup</x:v>
      </x:c>
      <x:c r="F1466" s="5" t="str">
        <x:v>Swallow</x:v>
      </x:c>
      <x:c r="G1466" s="44" t="n">
        <x:v>1</x:v>
      </x:c>
      <x:c r="H1466" s="45" t="n">
        <x:v>3200</x:v>
      </x:c>
      <x:c r="I1466" s="46" t="n">
        <x:v>0</x:v>
      </x:c>
      <x:c r="J1466" s="47" t="n">
        <x:f>G1466*H1466*(1-I1466)</x:f>
        <x:v>3200</x:v>
      </x:c>
      <x:c r="K1466" s="47" t="n">
        <x:v>1710</x:v>
      </x:c>
      <x:c r="L1466" s="47" t="n">
        <x:f>G1466*K1466</x:f>
        <x:v>1710</x:v>
      </x:c>
      <x:c r="M1466" s="47" t="n">
        <x:f>J1466-L1466</x:f>
        <x:v>1490</x:v>
      </x:c>
      <x:c r="N1466" s="5" t="str">
        <x:v>Delivery</x:v>
      </x:c>
      <x:c r="O1466" s="5" t="str">
        <x:v>Cash</x:v>
      </x:c>
      <x:c r="P1466" s="5" t="str">
        <x:v>Lunch</x:v>
      </x:c>
      <x:c r="Q1466" s="48" t="n">
        <x:v>15</x:v>
      </x:c>
      <x:c r="R1466" s="5" t="n">
        <x:v>3</x:v>
      </x:c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5" t="str">
        <x:v>ORD-01295</x:v>
      </x:c>
      <x:c r="B1467" s="43" t="n">
        <x:v>46218</x:v>
      </x:c>
      <x:c r="C1467" s="5" t="str">
        <x:v>CUST-0095</x:v>
      </x:c>
      <x:c r="D1467" s="5" t="str">
        <x:v>FD001</x:v>
      </x:c>
      <x:c r="E1467" s="5" t="str">
        <x:v>White Rice &amp; Stew</x:v>
      </x:c>
      <x:c r="F1467" s="5" t="str">
        <x:v>Rice Meals</x:v>
      </x:c>
      <x:c r="G1467" s="44" t="n">
        <x:v>1</x:v>
      </x:c>
      <x:c r="H1467" s="45" t="n">
        <x:v>1800</x:v>
      </x:c>
      <x:c r="I1467" s="46" t="n">
        <x:v>0</x:v>
      </x:c>
      <x:c r="J1467" s="47" t="n">
        <x:f>G1467*H1467*(1-I1467)</x:f>
        <x:v>1800</x:v>
      </x:c>
      <x:c r="K1467" s="47" t="n">
        <x:v>820</x:v>
      </x:c>
      <x:c r="L1467" s="47" t="n">
        <x:f>G1467*K1467</x:f>
        <x:v>820</x:v>
      </x:c>
      <x:c r="M1467" s="47" t="n">
        <x:f>J1467-L1467</x:f>
        <x:v>980</x:v>
      </x:c>
      <x:c r="N1467" s="5" t="str">
        <x:v>Walk-in</x:v>
      </x:c>
      <x:c r="O1467" s="5" t="str">
        <x:v>Cash</x:v>
      </x:c>
      <x:c r="P1467" s="5" t="str">
        <x:v>Lunch</x:v>
      </x:c>
      <x:c r="Q1467" s="48" t="n">
        <x:v>13</x:v>
      </x:c>
      <x:c r="R1467" s="5" t="n">
        <x:v>5</x:v>
      </x:c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5" t="str">
        <x:v>ORD-01474</x:v>
      </x:c>
      <x:c r="B1468" s="43" t="n">
        <x:v>46218</x:v>
      </x:c>
      <x:c r="C1468" s="5" t="str">
        <x:v>CUST-0337</x:v>
      </x:c>
      <x:c r="D1468" s="5" t="str">
        <x:v>FD004</x:v>
      </x:c>
      <x:c r="E1468" s="5" t="str">
        <x:v>Beans &amp; Plantain</x:v>
      </x:c>
      <x:c r="F1468" s="5" t="str">
        <x:v>Traditional Meals</x:v>
      </x:c>
      <x:c r="G1468" s="44" t="n">
        <x:v>2</x:v>
      </x:c>
      <x:c r="H1468" s="45" t="n">
        <x:v>2000</x:v>
      </x:c>
      <x:c r="I1468" s="46" t="n">
        <x:v>0</x:v>
      </x:c>
      <x:c r="J1468" s="47" t="n">
        <x:f>G1468*H1468*(1-I1468)</x:f>
        <x:v>4000</x:v>
      </x:c>
      <x:c r="K1468" s="47" t="n">
        <x:v>960</x:v>
      </x:c>
      <x:c r="L1468" s="47" t="n">
        <x:f>G1468*K1468</x:f>
        <x:v>1920</x:v>
      </x:c>
      <x:c r="M1468" s="47" t="n">
        <x:f>J1468-L1468</x:f>
        <x:v>2080</x:v>
      </x:c>
      <x:c r="N1468" s="5" t="str">
        <x:v>Delivery</x:v>
      </x:c>
      <x:c r="O1468" s="5" t="str">
        <x:v>Cash</x:v>
      </x:c>
      <x:c r="P1468" s="5" t="str">
        <x:v>Dinner</x:v>
      </x:c>
      <x:c r="Q1468" s="48" t="n">
        <x:v>19</x:v>
      </x:c>
      <x:c r="R1468" s="5" t="n">
        <x:v>5</x:v>
      </x:c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5" t="str">
        <x:v>ORD-01597</x:v>
      </x:c>
      <x:c r="B1469" s="43" t="n">
        <x:v>46218</x:v>
      </x:c>
      <x:c r="C1469" s="5" t="str">
        <x:v>CUST-0166</x:v>
      </x:c>
      <x:c r="D1469" s="5" t="str">
        <x:v>FD001</x:v>
      </x:c>
      <x:c r="E1469" s="5" t="str">
        <x:v>White Rice &amp; Stew</x:v>
      </x:c>
      <x:c r="F1469" s="5" t="str">
        <x:v>Rice Meals</x:v>
      </x:c>
      <x:c r="G1469" s="44" t="n">
        <x:v>4</x:v>
      </x:c>
      <x:c r="H1469" s="45" t="n">
        <x:v>1800</x:v>
      </x:c>
      <x:c r="I1469" s="46" t="n">
        <x:v>0</x:v>
      </x:c>
      <x:c r="J1469" s="47" t="n">
        <x:f>G1469*H1469*(1-I1469)</x:f>
        <x:v>7200</x:v>
      </x:c>
      <x:c r="K1469" s="47" t="n">
        <x:v>820</x:v>
      </x:c>
      <x:c r="L1469" s="47" t="n">
        <x:f>G1469*K1469</x:f>
        <x:v>3280</x:v>
      </x:c>
      <x:c r="M1469" s="47" t="n">
        <x:f>J1469-L1469</x:f>
        <x:v>3920</x:v>
      </x:c>
      <x:c r="N1469" s="5" t="str">
        <x:v>Walk-in</x:v>
      </x:c>
      <x:c r="O1469" s="5" t="str">
        <x:v>POS</x:v>
      </x:c>
      <x:c r="P1469" s="5" t="str">
        <x:v>Dinner</x:v>
      </x:c>
      <x:c r="Q1469" s="48" t="n">
        <x:v>17</x:v>
      </x:c>
      <x:c r="R1469" s="5" t="n">
        <x:v>4</x:v>
      </x:c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5" t="str">
        <x:v>ORD-00216</x:v>
      </x:c>
      <x:c r="B1470" s="43" t="n">
        <x:v>46219</x:v>
      </x:c>
      <x:c r="C1470" s="5" t="str">
        <x:v>CUST-0580</x:v>
      </x:c>
      <x:c r="D1470" s="5" t="str">
        <x:v>FD008</x:v>
      </x:c>
      <x:c r="E1470" s="5" t="str">
        <x:v>Pounded Yam &amp; Vegetable Soup</x:v>
      </x:c>
      <x:c r="F1470" s="5" t="str">
        <x:v>Swallow</x:v>
      </x:c>
      <x:c r="G1470" s="44" t="n">
        <x:v>4</x:v>
      </x:c>
      <x:c r="H1470" s="45" t="n">
        <x:v>3200</x:v>
      </x:c>
      <x:c r="I1470" s="46" t="n">
        <x:v>0</x:v>
      </x:c>
      <x:c r="J1470" s="47" t="n">
        <x:f>G1470*H1470*(1-I1470)</x:f>
        <x:v>12800</x:v>
      </x:c>
      <x:c r="K1470" s="47" t="n">
        <x:v>1710</x:v>
      </x:c>
      <x:c r="L1470" s="47" t="n">
        <x:f>G1470*K1470</x:f>
        <x:v>6840</x:v>
      </x:c>
      <x:c r="M1470" s="47" t="n">
        <x:f>J1470-L1470</x:f>
        <x:v>5960</x:v>
      </x:c>
      <x:c r="N1470" s="5" t="str">
        <x:v>Takeaway</x:v>
      </x:c>
      <x:c r="O1470" s="5" t="str">
        <x:v>Transfer</x:v>
      </x:c>
      <x:c r="P1470" s="5" t="str">
        <x:v>Lunch</x:v>
      </x:c>
      <x:c r="Q1470" s="48" t="n">
        <x:v>11</x:v>
      </x:c>
      <x:c r="R1470" s="5" t="n">
        <x:v>4</x:v>
      </x:c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5" t="str">
        <x:v>ORD-00258</x:v>
      </x:c>
      <x:c r="B1471" s="43" t="n">
        <x:v>46219</x:v>
      </x:c>
      <x:c r="C1471" s="5" t="str">
        <x:v>CUST-0334</x:v>
      </x:c>
      <x:c r="D1471" s="5" t="str">
        <x:v>FD006</x:v>
      </x:c>
      <x:c r="E1471" s="5" t="str">
        <x:v>Eba &amp; Egusi Soup</x:v>
      </x:c>
      <x:c r="F1471" s="5" t="str">
        <x:v>Swallow</x:v>
      </x:c>
      <x:c r="G1471" s="44" t="n">
        <x:v>4</x:v>
      </x:c>
      <x:c r="H1471" s="45" t="n">
        <x:v>2600</x:v>
      </x:c>
      <x:c r="I1471" s="46" t="n">
        <x:v>0</x:v>
      </x:c>
      <x:c r="J1471" s="47" t="n">
        <x:f>G1471*H1471*(1-I1471)</x:f>
        <x:v>10400</x:v>
      </x:c>
      <x:c r="K1471" s="47" t="n">
        <x:v>1320</x:v>
      </x:c>
      <x:c r="L1471" s="47" t="n">
        <x:f>G1471*K1471</x:f>
        <x:v>5280</x:v>
      </x:c>
      <x:c r="M1471" s="47" t="n">
        <x:f>J1471-L1471</x:f>
        <x:v>5120</x:v>
      </x:c>
      <x:c r="N1471" s="5" t="str">
        <x:v>Walk-in</x:v>
      </x:c>
      <x:c r="O1471" s="5" t="str">
        <x:v>POS</x:v>
      </x:c>
      <x:c r="P1471" s="5" t="str">
        <x:v>Lunch</x:v>
      </x:c>
      <x:c r="Q1471" s="48" t="n">
        <x:v>11</x:v>
      </x:c>
      <x:c r="R1471" s="5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5" t="str">
        <x:v>ORD-01057</x:v>
      </x:c>
      <x:c r="B1472" s="43" t="n">
        <x:v>46219</x:v>
      </x:c>
      <x:c r="C1472" s="5" t="str">
        <x:v>CUST-0286</x:v>
      </x:c>
      <x:c r="D1472" s="5" t="str">
        <x:v>FD005</x:v>
      </x:c>
      <x:c r="E1472" s="5" t="str">
        <x:v>Yam Porridge</x:v>
      </x:c>
      <x:c r="F1472" s="5" t="str">
        <x:v>Traditional Meals</x:v>
      </x:c>
      <x:c r="G1472" s="44" t="n">
        <x:v>4</x:v>
      </x:c>
      <x:c r="H1472" s="45" t="n">
        <x:v>2200</x:v>
      </x:c>
      <x:c r="I1472" s="46" t="n">
        <x:v>0</x:v>
      </x:c>
      <x:c r="J1472" s="47" t="n">
        <x:f>G1472*H1472*(1-I1472)</x:f>
        <x:v>8800</x:v>
      </x:c>
      <x:c r="K1472" s="47" t="n">
        <x:v>1050</x:v>
      </x:c>
      <x:c r="L1472" s="47" t="n">
        <x:f>G1472*K1472</x:f>
        <x:v>4200</x:v>
      </x:c>
      <x:c r="M1472" s="47" t="n">
        <x:f>J1472-L1472</x:f>
        <x:v>4600</x:v>
      </x:c>
      <x:c r="N1472" s="5" t="str">
        <x:v>Delivery</x:v>
      </x:c>
      <x:c r="O1472" s="5" t="str">
        <x:v>Transfer</x:v>
      </x:c>
      <x:c r="P1472" s="5" t="str">
        <x:v>Breakfast</x:v>
      </x:c>
      <x:c r="Q1472" s="48" t="n">
        <x:v>9</x:v>
      </x:c>
      <x:c r="R1472" s="5" t="n">
        <x:v>5</x:v>
      </x:c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5" t="str">
        <x:v>ORD-01570</x:v>
      </x:c>
      <x:c r="B1473" s="43" t="n">
        <x:v>46219</x:v>
      </x:c>
      <x:c r="C1473" s="5" t="str">
        <x:v>CUST-0081</x:v>
      </x:c>
      <x:c r="D1473" s="5" t="str">
        <x:v>FD001</x:v>
      </x:c>
      <x:c r="E1473" s="5" t="str">
        <x:v>White Rice &amp; Stew</x:v>
      </x:c>
      <x:c r="F1473" s="5" t="str">
        <x:v>Rice Meals</x:v>
      </x:c>
      <x:c r="G1473" s="44" t="n">
        <x:v>4</x:v>
      </x:c>
      <x:c r="H1473" s="45" t="n">
        <x:v>1800</x:v>
      </x:c>
      <x:c r="I1473" s="46" t="n">
        <x:v>0</x:v>
      </x:c>
      <x:c r="J1473" s="47" t="n">
        <x:f>G1473*H1473*(1-I1473)</x:f>
        <x:v>7200</x:v>
      </x:c>
      <x:c r="K1473" s="47" t="n">
        <x:v>820</x:v>
      </x:c>
      <x:c r="L1473" s="47" t="n">
        <x:f>G1473*K1473</x:f>
        <x:v>3280</x:v>
      </x:c>
      <x:c r="M1473" s="47" t="n">
        <x:f>J1473-L1473</x:f>
        <x:v>3920</x:v>
      </x:c>
      <x:c r="N1473" s="5" t="str">
        <x:v>Walk-in</x:v>
      </x:c>
      <x:c r="O1473" s="5" t="str">
        <x:v>Cash</x:v>
      </x:c>
      <x:c r="P1473" s="5" t="str">
        <x:v>Lunch</x:v>
      </x:c>
      <x:c r="Q1473" s="48" t="n">
        <x:v>15</x:v>
      </x:c>
      <x:c r="R1473" s="5" t="n">
        <x:v>5</x:v>
      </x:c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5" t="str">
        <x:v>ORD-00110</x:v>
      </x:c>
      <x:c r="B1474" s="43" t="n">
        <x:v>46220</x:v>
      </x:c>
      <x:c r="C1474" s="5" t="str">
        <x:v>CUST-0236</x:v>
      </x:c>
      <x:c r="D1474" s="5" t="str">
        <x:v>FD005</x:v>
      </x:c>
      <x:c r="E1474" s="5" t="str">
        <x:v>Yam Porridge</x:v>
      </x:c>
      <x:c r="F1474" s="5" t="str">
        <x:v>Traditional Meals</x:v>
      </x:c>
      <x:c r="G1474" s="44" t="n">
        <x:v>1</x:v>
      </x:c>
      <x:c r="H1474" s="45" t="n">
        <x:v>2200</x:v>
      </x:c>
      <x:c r="I1474" s="46" t="n">
        <x:v>0</x:v>
      </x:c>
      <x:c r="J1474" s="47" t="n">
        <x:f>G1474*H1474*(1-I1474)</x:f>
        <x:v>2200</x:v>
      </x:c>
      <x:c r="K1474" s="47" t="n">
        <x:v>1050</x:v>
      </x:c>
      <x:c r="L1474" s="47" t="n">
        <x:f>G1474*K1474</x:f>
        <x:v>1050</x:v>
      </x:c>
      <x:c r="M1474" s="47" t="n">
        <x:f>J1474-L1474</x:f>
        <x:v>1150</x:v>
      </x:c>
      <x:c r="N1474" s="5" t="str">
        <x:v>Delivery</x:v>
      </x:c>
      <x:c r="O1474" s="5" t="str">
        <x:v>POS</x:v>
      </x:c>
      <x:c r="P1474" s="5" t="str">
        <x:v>Lunch</x:v>
      </x:c>
      <x:c r="Q1474" s="48" t="n">
        <x:v>11</x:v>
      </x:c>
      <x:c r="R1474" s="5" t="n">
        <x:v>3</x:v>
      </x:c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5" t="str">
        <x:v>ORD-00406</x:v>
      </x:c>
      <x:c r="B1475" s="43" t="n">
        <x:v>46220</x:v>
      </x:c>
      <x:c r="C1475" s="5" t="str">
        <x:v>CUST-0419</x:v>
      </x:c>
      <x:c r="D1475" s="5" t="str">
        <x:v>FD002</x:v>
      </x:c>
      <x:c r="E1475" s="5" t="str">
        <x:v>Jollof Rice &amp; Chicken</x:v>
      </x:c>
      <x:c r="F1475" s="5" t="str">
        <x:v>Rice Meals</x:v>
      </x:c>
      <x:c r="G1475" s="44" t="n">
        <x:v>4</x:v>
      </x:c>
      <x:c r="H1475" s="45" t="n">
        <x:v>2800</x:v>
      </x:c>
      <x:c r="I1475" s="46" t="n">
        <x:v>0</x:v>
      </x:c>
      <x:c r="J1475" s="47" t="n">
        <x:f>G1475*H1475*(1-I1475)</x:f>
        <x:v>11200</x:v>
      </x:c>
      <x:c r="K1475" s="47" t="n">
        <x:v>1450</x:v>
      </x:c>
      <x:c r="L1475" s="47" t="n">
        <x:f>G1475*K1475</x:f>
        <x:v>5800</x:v>
      </x:c>
      <x:c r="M1475" s="47" t="n">
        <x:f>J1475-L1475</x:f>
        <x:v>5400</x:v>
      </x:c>
      <x:c r="N1475" s="5" t="str">
        <x:v>Takeaway</x:v>
      </x:c>
      <x:c r="O1475" s="5" t="str">
        <x:v>POS</x:v>
      </x:c>
      <x:c r="P1475" s="5" t="str">
        <x:v>Lunch</x:v>
      </x:c>
      <x:c r="Q1475" s="48" t="n">
        <x:v>15</x:v>
      </x:c>
      <x:c r="R1475" s="5" t="n">
        <x:v>4</x:v>
      </x:c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5" t="str">
        <x:v>ORD-00686</x:v>
      </x:c>
      <x:c r="B1476" s="43" t="n">
        <x:v>46220</x:v>
      </x:c>
      <x:c r="C1476" s="5" t="str">
        <x:v>CUST-0628</x:v>
      </x:c>
      <x:c r="D1476" s="5" t="str">
        <x:v>FD005</x:v>
      </x:c>
      <x:c r="E1476" s="5" t="str">
        <x:v>Yam Porridge</x:v>
      </x:c>
      <x:c r="F1476" s="5" t="str">
        <x:v>Traditional Meals</x:v>
      </x:c>
      <x:c r="G1476" s="44" t="n">
        <x:v>1</x:v>
      </x:c>
      <x:c r="H1476" s="45" t="n">
        <x:v>2200</x:v>
      </x:c>
      <x:c r="I1476" s="46" t="n">
        <x:v>0</x:v>
      </x:c>
      <x:c r="J1476" s="47" t="n">
        <x:f>G1476*H1476*(1-I1476)</x:f>
        <x:v>2200</x:v>
      </x:c>
      <x:c r="K1476" s="47" t="n">
        <x:v>1050</x:v>
      </x:c>
      <x:c r="L1476" s="47" t="n">
        <x:f>G1476*K1476</x:f>
        <x:v>1050</x:v>
      </x:c>
      <x:c r="M1476" s="47" t="n">
        <x:f>J1476-L1476</x:f>
        <x:v>1150</x:v>
      </x:c>
      <x:c r="N1476" s="5" t="str">
        <x:v>Walk-in</x:v>
      </x:c>
      <x:c r="O1476" s="5" t="str">
        <x:v>Cash</x:v>
      </x:c>
      <x:c r="P1476" s="5" t="str">
        <x:v>Breakfast</x:v>
      </x:c>
      <x:c r="Q1476" s="48" t="n">
        <x:v>8</x:v>
      </x:c>
      <x:c r="R1476" s="5" t="n">
        <x:v>4</x:v>
      </x:c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5" t="str">
        <x:v>ORD-00936</x:v>
      </x:c>
      <x:c r="B1477" s="43" t="n">
        <x:v>46220</x:v>
      </x:c>
      <x:c r="C1477" s="5" t="str">
        <x:v>CUST-0015</x:v>
      </x:c>
      <x:c r="D1477" s="5" t="str">
        <x:v>FD002</x:v>
      </x:c>
      <x:c r="E1477" s="5" t="str">
        <x:v>Jollof Rice &amp; Chicken</x:v>
      </x:c>
      <x:c r="F1477" s="5" t="str">
        <x:v>Rice Meals</x:v>
      </x:c>
      <x:c r="G1477" s="44" t="n">
        <x:v>1</x:v>
      </x:c>
      <x:c r="H1477" s="45" t="n">
        <x:v>2800</x:v>
      </x:c>
      <x:c r="I1477" s="46" t="n">
        <x:v>0</x:v>
      </x:c>
      <x:c r="J1477" s="47" t="n">
        <x:f>G1477*H1477*(1-I1477)</x:f>
        <x:v>2800</x:v>
      </x:c>
      <x:c r="K1477" s="47" t="n">
        <x:v>1450</x:v>
      </x:c>
      <x:c r="L1477" s="47" t="n">
        <x:f>G1477*K1477</x:f>
        <x:v>1450</x:v>
      </x:c>
      <x:c r="M1477" s="47" t="n">
        <x:f>J1477-L1477</x:f>
        <x:v>1350</x:v>
      </x:c>
      <x:c r="N1477" s="5" t="str">
        <x:v>Delivery</x:v>
      </x:c>
      <x:c r="O1477" s="5" t="str">
        <x:v>Cash</x:v>
      </x:c>
      <x:c r="P1477" s="5" t="str">
        <x:v>Lunch</x:v>
      </x:c>
      <x:c r="Q1477" s="48" t="n">
        <x:v>11</x:v>
      </x:c>
      <x:c r="R1477" s="5" t="n">
        <x:v>5</x:v>
      </x:c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5" t="str">
        <x:v>ORD-01093</x:v>
      </x:c>
      <x:c r="B1478" s="43" t="n">
        <x:v>46220</x:v>
      </x:c>
      <x:c r="C1478" s="5" t="str">
        <x:v>CUST-0138</x:v>
      </x:c>
      <x:c r="D1478" s="5" t="str">
        <x:v>FD002</x:v>
      </x:c>
      <x:c r="E1478" s="5" t="str">
        <x:v>Jollof Rice &amp; Chicken</x:v>
      </x:c>
      <x:c r="F1478" s="5" t="str">
        <x:v>Rice Meals</x:v>
      </x:c>
      <x:c r="G1478" s="44" t="n">
        <x:v>3</x:v>
      </x:c>
      <x:c r="H1478" s="45" t="n">
        <x:v>2800</x:v>
      </x:c>
      <x:c r="I1478" s="46" t="n">
        <x:v>0</x:v>
      </x:c>
      <x:c r="J1478" s="47" t="n">
        <x:f>G1478*H1478*(1-I1478)</x:f>
        <x:v>8400</x:v>
      </x:c>
      <x:c r="K1478" s="47" t="n">
        <x:v>1450</x:v>
      </x:c>
      <x:c r="L1478" s="47" t="n">
        <x:f>G1478*K1478</x:f>
        <x:v>4350</x:v>
      </x:c>
      <x:c r="M1478" s="47" t="n">
        <x:f>J1478-L1478</x:f>
        <x:v>4050</x:v>
      </x:c>
      <x:c r="N1478" s="5" t="str">
        <x:v>Takeaway</x:v>
      </x:c>
      <x:c r="O1478" s="5" t="str">
        <x:v>Transfer</x:v>
      </x:c>
      <x:c r="P1478" s="5" t="str">
        <x:v>Dinner</x:v>
      </x:c>
      <x:c r="Q1478" s="48" t="n">
        <x:v>20</x:v>
      </x:c>
      <x:c r="R1478" s="5" t="n">
        <x:v>4</x:v>
      </x:c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5" t="str">
        <x:v>ORD-01401</x:v>
      </x:c>
      <x:c r="B1479" s="43" t="n">
        <x:v>46220</x:v>
      </x:c>
      <x:c r="C1479" s="5" t="str">
        <x:v>CUST-0183</x:v>
      </x:c>
      <x:c r="D1479" s="5" t="str">
        <x:v>FD008</x:v>
      </x:c>
      <x:c r="E1479" s="5" t="str">
        <x:v>Pounded Yam &amp; Vegetable Soup</x:v>
      </x:c>
      <x:c r="F1479" s="5" t="str">
        <x:v>Swallow</x:v>
      </x:c>
      <x:c r="G1479" s="44" t="n">
        <x:v>3</x:v>
      </x:c>
      <x:c r="H1479" s="45" t="n">
        <x:v>3200</x:v>
      </x:c>
      <x:c r="I1479" s="46" t="n">
        <x:v>0</x:v>
      </x:c>
      <x:c r="J1479" s="47" t="n">
        <x:f>G1479*H1479*(1-I1479)</x:f>
        <x:v>9600</x:v>
      </x:c>
      <x:c r="K1479" s="47" t="n">
        <x:v>1710</x:v>
      </x:c>
      <x:c r="L1479" s="47" t="n">
        <x:f>G1479*K1479</x:f>
        <x:v>5130</x:v>
      </x:c>
      <x:c r="M1479" s="47" t="n">
        <x:f>J1479-L1479</x:f>
        <x:v>4470</x:v>
      </x:c>
      <x:c r="N1479" s="5" t="str">
        <x:v>Delivery</x:v>
      </x:c>
      <x:c r="O1479" s="5" t="str">
        <x:v>POS</x:v>
      </x:c>
      <x:c r="P1479" s="5" t="str">
        <x:v>Lunch</x:v>
      </x:c>
      <x:c r="Q1479" s="48" t="n">
        <x:v>12</x:v>
      </x:c>
      <x:c r="R1479" s="5" t="n">
        <x:v>5</x:v>
      </x:c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5" t="str">
        <x:v>ORD-01403</x:v>
      </x:c>
      <x:c r="B1480" s="43" t="n">
        <x:v>46220</x:v>
      </x:c>
      <x:c r="C1480" s="5" t="str">
        <x:v>CUST-0498</x:v>
      </x:c>
      <x:c r="D1480" s="5" t="str">
        <x:v>FD001</x:v>
      </x:c>
      <x:c r="E1480" s="5" t="str">
        <x:v>White Rice &amp; Stew</x:v>
      </x:c>
      <x:c r="F1480" s="5" t="str">
        <x:v>Rice Meals</x:v>
      </x:c>
      <x:c r="G1480" s="44" t="n">
        <x:v>2</x:v>
      </x:c>
      <x:c r="H1480" s="45" t="n">
        <x:v>1800</x:v>
      </x:c>
      <x:c r="I1480" s="46" t="n">
        <x:v>0</x:v>
      </x:c>
      <x:c r="J1480" s="47" t="n">
        <x:f>G1480*H1480*(1-I1480)</x:f>
        <x:v>3600</x:v>
      </x:c>
      <x:c r="K1480" s="47" t="n">
        <x:v>820</x:v>
      </x:c>
      <x:c r="L1480" s="47" t="n">
        <x:f>G1480*K1480</x:f>
        <x:v>1640</x:v>
      </x:c>
      <x:c r="M1480" s="47" t="n">
        <x:f>J1480-L1480</x:f>
        <x:v>1960</x:v>
      </x:c>
      <x:c r="N1480" s="5" t="str">
        <x:v>Walk-in</x:v>
      </x:c>
      <x:c r="O1480" s="5" t="str">
        <x:v>Cash</x:v>
      </x:c>
      <x:c r="P1480" s="5" t="str">
        <x:v>Lunch</x:v>
      </x:c>
      <x:c r="Q1480" s="48" t="n">
        <x:v>12</x:v>
      </x:c>
      <x:c r="R1480" s="5" t="n">
        <x:v>3</x:v>
      </x:c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5" t="str">
        <x:v>ORD-01645</x:v>
      </x:c>
      <x:c r="B1481" s="43" t="n">
        <x:v>46220</x:v>
      </x:c>
      <x:c r="C1481" s="5" t="str">
        <x:v>CUST-0426</x:v>
      </x:c>
      <x:c r="D1481" s="5" t="str">
        <x:v>FD005</x:v>
      </x:c>
      <x:c r="E1481" s="5" t="str">
        <x:v>Yam Porridge</x:v>
      </x:c>
      <x:c r="F1481" s="5" t="str">
        <x:v>Traditional Meals</x:v>
      </x:c>
      <x:c r="G1481" s="44" t="n">
        <x:v>3</x:v>
      </x:c>
      <x:c r="H1481" s="45" t="n">
        <x:v>2200</x:v>
      </x:c>
      <x:c r="I1481" s="46" t="n">
        <x:v>0</x:v>
      </x:c>
      <x:c r="J1481" s="47" t="n">
        <x:f>G1481*H1481*(1-I1481)</x:f>
        <x:v>6600</x:v>
      </x:c>
      <x:c r="K1481" s="47" t="n">
        <x:v>1050</x:v>
      </x:c>
      <x:c r="L1481" s="47" t="n">
        <x:f>G1481*K1481</x:f>
        <x:v>3150</x:v>
      </x:c>
      <x:c r="M1481" s="47" t="n">
        <x:f>J1481-L1481</x:f>
        <x:v>3450</x:v>
      </x:c>
      <x:c r="N1481" s="5" t="str">
        <x:v>Walk-in</x:v>
      </x:c>
      <x:c r="O1481" s="5" t="str">
        <x:v>Transfer</x:v>
      </x:c>
      <x:c r="P1481" s="5" t="str">
        <x:v>Lunch</x:v>
      </x:c>
      <x:c r="Q1481" s="48" t="n">
        <x:v>15</x:v>
      </x:c>
      <x:c r="R1481" s="5" t="n">
        <x:v>3</x:v>
      </x:c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5" t="str">
        <x:v>ORD-01771</x:v>
      </x:c>
      <x:c r="B1482" s="43" t="n">
        <x:v>46220</x:v>
      </x:c>
      <x:c r="C1482" s="5" t="str">
        <x:v>CUST-0055</x:v>
      </x:c>
      <x:c r="D1482" s="5" t="str">
        <x:v>FD010</x:v>
      </x:c>
      <x:c r="E1482" s="5" t="str">
        <x:v>Soft Drink</x:v>
      </x:c>
      <x:c r="F1482" s="5" t="str">
        <x:v>Beverages</x:v>
      </x:c>
      <x:c r="G1482" s="44" t="n">
        <x:v>2</x:v>
      </x:c>
      <x:c r="H1482" s="45" t="n">
        <x:v>600</x:v>
      </x:c>
      <x:c r="I1482" s="46" t="n">
        <x:v>0.05</x:v>
      </x:c>
      <x:c r="J1482" s="47" t="n">
        <x:f>G1482*H1482*(1-I1482)</x:f>
        <x:v>1140</x:v>
      </x:c>
      <x:c r="K1482" s="47" t="n">
        <x:v>280</x:v>
      </x:c>
      <x:c r="L1482" s="47" t="n">
        <x:f>G1482*K1482</x:f>
        <x:v>560</x:v>
      </x:c>
      <x:c r="M1482" s="47" t="n">
        <x:f>J1482-L1482</x:f>
        <x:v>580</x:v>
      </x:c>
      <x:c r="N1482" s="5" t="str">
        <x:v>Delivery</x:v>
      </x:c>
      <x:c r="O1482" s="5" t="str">
        <x:v>Transfer</x:v>
      </x:c>
      <x:c r="P1482" s="5" t="str">
        <x:v>Lunch</x:v>
      </x:c>
      <x:c r="Q1482" s="48" t="n">
        <x:v>15</x:v>
      </x:c>
      <x:c r="R1482" s="5" t="n">
        <x:v>3</x:v>
      </x:c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5" t="str">
        <x:v>ORD-00184</x:v>
      </x:c>
      <x:c r="B1483" s="43" t="n">
        <x:v>46221</x:v>
      </x:c>
      <x:c r="C1483" s="5" t="str">
        <x:v>CUST-0563</x:v>
      </x:c>
      <x:c r="D1483" s="5" t="str">
        <x:v>FD008</x:v>
      </x:c>
      <x:c r="E1483" s="5" t="str">
        <x:v>Pounded Yam &amp; Vegetable Soup</x:v>
      </x:c>
      <x:c r="F1483" s="5" t="str">
        <x:v>Swallow</x:v>
      </x:c>
      <x:c r="G1483" s="44" t="n">
        <x:v>3</x:v>
      </x:c>
      <x:c r="H1483" s="45" t="n">
        <x:v>3200</x:v>
      </x:c>
      <x:c r="I1483" s="46" t="n">
        <x:v>0</x:v>
      </x:c>
      <x:c r="J1483" s="47" t="n">
        <x:f>G1483*H1483*(1-I1483)</x:f>
        <x:v>9600</x:v>
      </x:c>
      <x:c r="K1483" s="47" t="n">
        <x:v>1710</x:v>
      </x:c>
      <x:c r="L1483" s="47" t="n">
        <x:f>G1483*K1483</x:f>
        <x:v>5130</x:v>
      </x:c>
      <x:c r="M1483" s="47" t="n">
        <x:f>J1483-L1483</x:f>
        <x:v>4470</x:v>
      </x:c>
      <x:c r="N1483" s="5" t="str">
        <x:v>Delivery</x:v>
      </x:c>
      <x:c r="O1483" s="5" t="str">
        <x:v>Transfer</x:v>
      </x:c>
      <x:c r="P1483" s="5" t="str">
        <x:v>Lunch</x:v>
      </x:c>
      <x:c r="Q1483" s="48" t="n">
        <x:v>11</x:v>
      </x:c>
      <x:c r="R1483" s="5" t="n">
        <x:v>5</x:v>
      </x:c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5" t="str">
        <x:v>ORD-00345</x:v>
      </x:c>
      <x:c r="B1484" s="43" t="n">
        <x:v>46221</x:v>
      </x:c>
      <x:c r="C1484" s="5" t="str">
        <x:v>CUST-0404</x:v>
      </x:c>
      <x:c r="D1484" s="5" t="str">
        <x:v>FD001</x:v>
      </x:c>
      <x:c r="E1484" s="5" t="str">
        <x:v>White Rice &amp; Stew</x:v>
      </x:c>
      <x:c r="F1484" s="5" t="str">
        <x:v>Rice Meals</x:v>
      </x:c>
      <x:c r="G1484" s="44" t="n">
        <x:v>2</x:v>
      </x:c>
      <x:c r="H1484" s="45" t="n">
        <x:v>1800</x:v>
      </x:c>
      <x:c r="I1484" s="46" t="n">
        <x:v>0</x:v>
      </x:c>
      <x:c r="J1484" s="47" t="n">
        <x:f>G1484*H1484*(1-I1484)</x:f>
        <x:v>3600</x:v>
      </x:c>
      <x:c r="K1484" s="47" t="n">
        <x:v>820</x:v>
      </x:c>
      <x:c r="L1484" s="47" t="n">
        <x:f>G1484*K1484</x:f>
        <x:v>1640</x:v>
      </x:c>
      <x:c r="M1484" s="47" t="n">
        <x:f>J1484-L1484</x:f>
        <x:v>1960</x:v>
      </x:c>
      <x:c r="N1484" s="5" t="str">
        <x:v>Walk-in</x:v>
      </x:c>
      <x:c r="O1484" s="5" t="str">
        <x:v>Transfer</x:v>
      </x:c>
      <x:c r="P1484" s="5" t="str">
        <x:v>Breakfast</x:v>
      </x:c>
      <x:c r="Q1484" s="48" t="n">
        <x:v>10</x:v>
      </x:c>
      <x:c r="R1484" s="5" t="n">
        <x:v>3</x:v>
      </x:c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5" t="str">
        <x:v>ORD-00440</x:v>
      </x:c>
      <x:c r="B1485" s="43" t="n">
        <x:v>46221</x:v>
      </x:c>
      <x:c r="C1485" s="5" t="str">
        <x:v>CUST-0141</x:v>
      </x:c>
      <x:c r="D1485" s="5" t="str">
        <x:v>FD003</x:v>
      </x:c>
      <x:c r="E1485" s="5" t="str">
        <x:v>Fried Rice &amp; Chicken</x:v>
      </x:c>
      <x:c r="F1485" s="5" t="str">
        <x:v>Rice Meals</x:v>
      </x:c>
      <x:c r="G1485" s="44" t="n">
        <x:v>4</x:v>
      </x:c>
      <x:c r="H1485" s="45" t="n">
        <x:v>3000</x:v>
      </x:c>
      <x:c r="I1485" s="46" t="n">
        <x:v>0</x:v>
      </x:c>
      <x:c r="J1485" s="47" t="n">
        <x:f>G1485*H1485*(1-I1485)</x:f>
        <x:v>12000</x:v>
      </x:c>
      <x:c r="K1485" s="47" t="n">
        <x:v>1580</x:v>
      </x:c>
      <x:c r="L1485" s="47" t="n">
        <x:f>G1485*K1485</x:f>
        <x:v>6320</x:v>
      </x:c>
      <x:c r="M1485" s="47" t="n">
        <x:f>J1485-L1485</x:f>
        <x:v>5680</x:v>
      </x:c>
      <x:c r="N1485" s="5" t="str">
        <x:v>Takeaway</x:v>
      </x:c>
      <x:c r="O1485" s="5" t="str">
        <x:v>Cash</x:v>
      </x:c>
      <x:c r="P1485" s="5" t="str">
        <x:v>Lunch</x:v>
      </x:c>
      <x:c r="Q1485" s="48" t="n">
        <x:v>14</x:v>
      </x:c>
      <x:c r="R1485" s="5" t="n">
        <x:v>5</x:v>
      </x:c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5" t="str">
        <x:v>ORD-00489</x:v>
      </x:c>
      <x:c r="B1486" s="43" t="n">
        <x:v>46221</x:v>
      </x:c>
      <x:c r="C1486" s="5" t="str">
        <x:v>CUST-0509</x:v>
      </x:c>
      <x:c r="D1486" s="5" t="str">
        <x:v>FD002</x:v>
      </x:c>
      <x:c r="E1486" s="5" t="str">
        <x:v>Jollof Rice &amp; Chicken</x:v>
      </x:c>
      <x:c r="F1486" s="5" t="str">
        <x:v>Rice Meals</x:v>
      </x:c>
      <x:c r="G1486" s="44" t="n">
        <x:v>4</x:v>
      </x:c>
      <x:c r="H1486" s="45" t="n">
        <x:v>2800</x:v>
      </x:c>
      <x:c r="I1486" s="46" t="n">
        <x:v>0</x:v>
      </x:c>
      <x:c r="J1486" s="47" t="n">
        <x:f>G1486*H1486*(1-I1486)</x:f>
        <x:v>11200</x:v>
      </x:c>
      <x:c r="K1486" s="47" t="n">
        <x:v>1450</x:v>
      </x:c>
      <x:c r="L1486" s="47" t="n">
        <x:f>G1486*K1486</x:f>
        <x:v>5800</x:v>
      </x:c>
      <x:c r="M1486" s="47" t="n">
        <x:f>J1486-L1486</x:f>
        <x:v>5400</x:v>
      </x:c>
      <x:c r="N1486" s="5" t="str">
        <x:v>Walk-in</x:v>
      </x:c>
      <x:c r="O1486" s="5" t="str">
        <x:v>Cash</x:v>
      </x:c>
      <x:c r="P1486" s="5" t="str">
        <x:v>Lunch</x:v>
      </x:c>
      <x:c r="Q1486" s="48" t="n">
        <x:v>13</x:v>
      </x:c>
      <x:c r="R1486" s="5" t="n">
        <x:v>4</x:v>
      </x:c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5" t="str">
        <x:v>ORD-00886</x:v>
      </x:c>
      <x:c r="B1487" s="43" t="n">
        <x:v>46221</x:v>
      </x:c>
      <x:c r="C1487" s="5" t="str">
        <x:v>CUST-0538</x:v>
      </x:c>
      <x:c r="D1487" s="5" t="str">
        <x:v>FD002</x:v>
      </x:c>
      <x:c r="E1487" s="5" t="str">
        <x:v>Jollof Rice &amp; Chicken</x:v>
      </x:c>
      <x:c r="F1487" s="5" t="str">
        <x:v>Rice Meals</x:v>
      </x:c>
      <x:c r="G1487" s="44" t="n">
        <x:v>3</x:v>
      </x:c>
      <x:c r="H1487" s="45" t="n">
        <x:v>2800</x:v>
      </x:c>
      <x:c r="I1487" s="46" t="n">
        <x:v>0.05</x:v>
      </x:c>
      <x:c r="J1487" s="47" t="n">
        <x:f>G1487*H1487*(1-I1487)</x:f>
        <x:v>7980</x:v>
      </x:c>
      <x:c r="K1487" s="47" t="n">
        <x:v>1450</x:v>
      </x:c>
      <x:c r="L1487" s="47" t="n">
        <x:f>G1487*K1487</x:f>
        <x:v>4350</x:v>
      </x:c>
      <x:c r="M1487" s="47" t="n">
        <x:f>J1487-L1487</x:f>
        <x:v>3630</x:v>
      </x:c>
      <x:c r="N1487" s="5" t="str">
        <x:v>Walk-in</x:v>
      </x:c>
      <x:c r="O1487" s="5" t="str">
        <x:v>Transfer</x:v>
      </x:c>
      <x:c r="P1487" s="5" t="str">
        <x:v>Lunch</x:v>
      </x:c>
      <x:c r="Q1487" s="48" t="n">
        <x:v>11</x:v>
      </x:c>
      <x:c r="R1487" s="5" t="n">
        <x:v>4</x:v>
      </x:c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5" t="str">
        <x:v>ORD-01538</x:v>
      </x:c>
      <x:c r="B1488" s="43" t="n">
        <x:v>46221</x:v>
      </x:c>
      <x:c r="C1488" s="5" t="str">
        <x:v>CUST-0241</x:v>
      </x:c>
      <x:c r="D1488" s="5" t="str">
        <x:v>FD001</x:v>
      </x:c>
      <x:c r="E1488" s="5" t="str">
        <x:v>White Rice &amp; Stew</x:v>
      </x:c>
      <x:c r="F1488" s="5" t="str">
        <x:v>Rice Meals</x:v>
      </x:c>
      <x:c r="G1488" s="44" t="n">
        <x:v>2</x:v>
      </x:c>
      <x:c r="H1488" s="45" t="n">
        <x:v>1800</x:v>
      </x:c>
      <x:c r="I1488" s="46" t="n">
        <x:v>0</x:v>
      </x:c>
      <x:c r="J1488" s="47" t="n">
        <x:f>G1488*H1488*(1-I1488)</x:f>
        <x:v>3600</x:v>
      </x:c>
      <x:c r="K1488" s="47" t="n">
        <x:v>820</x:v>
      </x:c>
      <x:c r="L1488" s="47" t="n">
        <x:f>G1488*K1488</x:f>
        <x:v>1640</x:v>
      </x:c>
      <x:c r="M1488" s="47" t="n">
        <x:f>J1488-L1488</x:f>
        <x:v>1960</x:v>
      </x:c>
      <x:c r="N1488" s="5" t="str">
        <x:v>Walk-in</x:v>
      </x:c>
      <x:c r="O1488" s="5" t="str">
        <x:v>Cash</x:v>
      </x:c>
      <x:c r="P1488" s="5" t="str">
        <x:v>Lunch</x:v>
      </x:c>
      <x:c r="Q1488" s="48" t="n">
        <x:v>12</x:v>
      </x:c>
      <x:c r="R1488" s="5" t="n">
        <x:v>4</x:v>
      </x:c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5" t="str">
        <x:v>ORD-00340</x:v>
      </x:c>
      <x:c r="B1489" s="43" t="n">
        <x:v>46222</x:v>
      </x:c>
      <x:c r="C1489" s="5" t="str">
        <x:v>CUST-0176</x:v>
      </x:c>
      <x:c r="D1489" s="5" t="str">
        <x:v>FD002</x:v>
      </x:c>
      <x:c r="E1489" s="5" t="str">
        <x:v>Jollof Rice &amp; Chicken</x:v>
      </x:c>
      <x:c r="F1489" s="5" t="str">
        <x:v>Rice Meals</x:v>
      </x:c>
      <x:c r="G1489" s="44" t="n">
        <x:v>1</x:v>
      </x:c>
      <x:c r="H1489" s="45" t="n">
        <x:v>2800</x:v>
      </x:c>
      <x:c r="I1489" s="46" t="n">
        <x:v>0</x:v>
      </x:c>
      <x:c r="J1489" s="47" t="n">
        <x:f>G1489*H1489*(1-I1489)</x:f>
        <x:v>2800</x:v>
      </x:c>
      <x:c r="K1489" s="47" t="n">
        <x:v>1450</x:v>
      </x:c>
      <x:c r="L1489" s="47" t="n">
        <x:f>G1489*K1489</x:f>
        <x:v>1450</x:v>
      </x:c>
      <x:c r="M1489" s="47" t="n">
        <x:f>J1489-L1489</x:f>
        <x:v>1350</x:v>
      </x:c>
      <x:c r="N1489" s="5" t="str">
        <x:v>Takeaway</x:v>
      </x:c>
      <x:c r="O1489" s="5" t="str">
        <x:v>Transfer</x:v>
      </x:c>
      <x:c r="P1489" s="5" t="str">
        <x:v>Dinner</x:v>
      </x:c>
      <x:c r="Q1489" s="48" t="n">
        <x:v>17</x:v>
      </x:c>
      <x:c r="R1489" s="5" t="n">
        <x:v>5</x:v>
      </x:c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5" t="str">
        <x:v>ORD-00630</x:v>
      </x:c>
      <x:c r="B1490" s="43" t="n">
        <x:v>46222</x:v>
      </x:c>
      <x:c r="C1490" s="5" t="str">
        <x:v>CUST-0478</x:v>
      </x:c>
      <x:c r="D1490" s="5" t="str">
        <x:v>FD006</x:v>
      </x:c>
      <x:c r="E1490" s="5" t="str">
        <x:v>Eba &amp; Egusi Soup</x:v>
      </x:c>
      <x:c r="F1490" s="5" t="str">
        <x:v>Swallow</x:v>
      </x:c>
      <x:c r="G1490" s="44" t="n">
        <x:v>3</x:v>
      </x:c>
      <x:c r="H1490" s="45" t="n">
        <x:v>2600</x:v>
      </x:c>
      <x:c r="I1490" s="46" t="n">
        <x:v>0</x:v>
      </x:c>
      <x:c r="J1490" s="47" t="n">
        <x:f>G1490*H1490*(1-I1490)</x:f>
        <x:v>7800</x:v>
      </x:c>
      <x:c r="K1490" s="47" t="n">
        <x:v>1320</x:v>
      </x:c>
      <x:c r="L1490" s="47" t="n">
        <x:f>G1490*K1490</x:f>
        <x:v>3960</x:v>
      </x:c>
      <x:c r="M1490" s="47" t="n">
        <x:f>J1490-L1490</x:f>
        <x:v>3840</x:v>
      </x:c>
      <x:c r="N1490" s="5" t="str">
        <x:v>Walk-in</x:v>
      </x:c>
      <x:c r="O1490" s="5" t="str">
        <x:v>Transfer</x:v>
      </x:c>
      <x:c r="P1490" s="5" t="str">
        <x:v>Dinner</x:v>
      </x:c>
      <x:c r="Q1490" s="48" t="n">
        <x:v>18</x:v>
      </x:c>
      <x:c r="R1490" s="5" t="n">
        <x:v>4</x:v>
      </x:c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5" t="str">
        <x:v>ORD-01153</x:v>
      </x:c>
      <x:c r="B1491" s="43" t="n">
        <x:v>46222</x:v>
      </x:c>
      <x:c r="C1491" s="5" t="str">
        <x:v>CUST-0319</x:v>
      </x:c>
      <x:c r="D1491" s="5" t="str">
        <x:v>FD005</x:v>
      </x:c>
      <x:c r="E1491" s="5" t="str">
        <x:v>Yam Porridge</x:v>
      </x:c>
      <x:c r="F1491" s="5" t="str">
        <x:v>Traditional Meals</x:v>
      </x:c>
      <x:c r="G1491" s="44" t="n">
        <x:v>1</x:v>
      </x:c>
      <x:c r="H1491" s="45" t="n">
        <x:v>2200</x:v>
      </x:c>
      <x:c r="I1491" s="46" t="n">
        <x:v>0.1</x:v>
      </x:c>
      <x:c r="J1491" s="47" t="n">
        <x:f>G1491*H1491*(1-I1491)</x:f>
        <x:v>1980</x:v>
      </x:c>
      <x:c r="K1491" s="47" t="n">
        <x:v>1050</x:v>
      </x:c>
      <x:c r="L1491" s="47" t="n">
        <x:f>G1491*K1491</x:f>
        <x:v>1050</x:v>
      </x:c>
      <x:c r="M1491" s="47" t="n">
        <x:f>J1491-L1491</x:f>
        <x:v>930</x:v>
      </x:c>
      <x:c r="N1491" s="5" t="str">
        <x:v>Walk-in</x:v>
      </x:c>
      <x:c r="O1491" s="5" t="str">
        <x:v>POS</x:v>
      </x:c>
      <x:c r="P1491" s="5" t="str">
        <x:v>Lunch</x:v>
      </x:c>
      <x:c r="Q1491" s="48" t="n">
        <x:v>14</x:v>
      </x:c>
      <x:c r="R1491" s="5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5" t="str">
        <x:v>ORD-00035</x:v>
      </x:c>
      <x:c r="B1492" s="43" t="n">
        <x:v>46223</x:v>
      </x:c>
      <x:c r="C1492" s="5" t="str">
        <x:v>CUST-0023</x:v>
      </x:c>
      <x:c r="D1492" s="5" t="str">
        <x:v>FD007</x:v>
      </x:c>
      <x:c r="E1492" s="5" t="str">
        <x:v>Amala &amp; Ewedu</x:v>
      </x:c>
      <x:c r="F1492" s="5" t="str">
        <x:v>Swallow</x:v>
      </x:c>
      <x:c r="G1492" s="44" t="n">
        <x:v>2</x:v>
      </x:c>
      <x:c r="H1492" s="45" t="n">
        <x:v>2500</x:v>
      </x:c>
      <x:c r="I1492" s="46" t="n">
        <x:v>0</x:v>
      </x:c>
      <x:c r="J1492" s="47" t="n">
        <x:f>G1492*H1492*(1-I1492)</x:f>
        <x:v>5000</x:v>
      </x:c>
      <x:c r="K1492" s="47" t="n">
        <x:v>1250</x:v>
      </x:c>
      <x:c r="L1492" s="47" t="n">
        <x:f>G1492*K1492</x:f>
        <x:v>2500</x:v>
      </x:c>
      <x:c r="M1492" s="47" t="n">
        <x:f>J1492-L1492</x:f>
        <x:v>2500</x:v>
      </x:c>
      <x:c r="N1492" s="5" t="str">
        <x:v>Walk-in</x:v>
      </x:c>
      <x:c r="O1492" s="5" t="str">
        <x:v>POS</x:v>
      </x:c>
      <x:c r="P1492" s="5" t="str">
        <x:v>Lunch</x:v>
      </x:c>
      <x:c r="Q1492" s="48" t="n">
        <x:v>11</x:v>
      </x:c>
      <x:c r="R1492" s="5" t="n">
        <x:v>5</x:v>
      </x:c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5" t="str">
        <x:v>ORD-00179</x:v>
      </x:c>
      <x:c r="B1493" s="43" t="n">
        <x:v>46223</x:v>
      </x:c>
      <x:c r="C1493" s="5" t="str">
        <x:v>CUST-0485</x:v>
      </x:c>
      <x:c r="D1493" s="5" t="str">
        <x:v>FD004</x:v>
      </x:c>
      <x:c r="E1493" s="5" t="str">
        <x:v>Beans &amp; Plantain</x:v>
      </x:c>
      <x:c r="F1493" s="5" t="str">
        <x:v>Traditional Meals</x:v>
      </x:c>
      <x:c r="G1493" s="44" t="n">
        <x:v>3</x:v>
      </x:c>
      <x:c r="H1493" s="45" t="n">
        <x:v>2000</x:v>
      </x:c>
      <x:c r="I1493" s="46" t="n">
        <x:v>0</x:v>
      </x:c>
      <x:c r="J1493" s="47" t="n">
        <x:f>G1493*H1493*(1-I1493)</x:f>
        <x:v>6000</x:v>
      </x:c>
      <x:c r="K1493" s="47" t="n">
        <x:v>960</x:v>
      </x:c>
      <x:c r="L1493" s="47" t="n">
        <x:f>G1493*K1493</x:f>
        <x:v>2880</x:v>
      </x:c>
      <x:c r="M1493" s="47" t="n">
        <x:f>J1493-L1493</x:f>
        <x:v>3120</x:v>
      </x:c>
      <x:c r="N1493" s="5" t="str">
        <x:v>Walk-in</x:v>
      </x:c>
      <x:c r="O1493" s="5" t="str">
        <x:v>Cash</x:v>
      </x:c>
      <x:c r="P1493" s="5" t="str">
        <x:v>Dinner</x:v>
      </x:c>
      <x:c r="Q1493" s="48" t="n">
        <x:v>16</x:v>
      </x:c>
      <x:c r="R1493" s="5" t="n">
        <x:v>5</x:v>
      </x:c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5" t="str">
        <x:v>ORD-00519</x:v>
      </x:c>
      <x:c r="B1494" s="43" t="n">
        <x:v>46223</x:v>
      </x:c>
      <x:c r="C1494" s="5" t="str">
        <x:v>CUST-0041</x:v>
      </x:c>
      <x:c r="D1494" s="5" t="str">
        <x:v>FD001</x:v>
      </x:c>
      <x:c r="E1494" s="5" t="str">
        <x:v>White Rice &amp; Stew</x:v>
      </x:c>
      <x:c r="F1494" s="5" t="str">
        <x:v>Rice Meals</x:v>
      </x:c>
      <x:c r="G1494" s="44" t="n">
        <x:v>4</x:v>
      </x:c>
      <x:c r="H1494" s="45" t="n">
        <x:v>1800</x:v>
      </x:c>
      <x:c r="I1494" s="46" t="n">
        <x:v>0</x:v>
      </x:c>
      <x:c r="J1494" s="47" t="n">
        <x:f>G1494*H1494*(1-I1494)</x:f>
        <x:v>7200</x:v>
      </x:c>
      <x:c r="K1494" s="47" t="n">
        <x:v>820</x:v>
      </x:c>
      <x:c r="L1494" s="47" t="n">
        <x:f>G1494*K1494</x:f>
        <x:v>3280</x:v>
      </x:c>
      <x:c r="M1494" s="47" t="n">
        <x:f>J1494-L1494</x:f>
        <x:v>3920</x:v>
      </x:c>
      <x:c r="N1494" s="5" t="str">
        <x:v>Takeaway</x:v>
      </x:c>
      <x:c r="O1494" s="5" t="str">
        <x:v>Cash</x:v>
      </x:c>
      <x:c r="P1494" s="5" t="str">
        <x:v>Lunch</x:v>
      </x:c>
      <x:c r="Q1494" s="48" t="n">
        <x:v>13</x:v>
      </x:c>
      <x:c r="R1494" s="5" t="n">
        <x:v>3</x:v>
      </x:c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5" t="str">
        <x:v>ORD-00734</x:v>
      </x:c>
      <x:c r="B1495" s="43" t="n">
        <x:v>46223</x:v>
      </x:c>
      <x:c r="C1495" s="5" t="str">
        <x:v>CUST-0281</x:v>
      </x:c>
      <x:c r="D1495" s="5" t="str">
        <x:v>FD006</x:v>
      </x:c>
      <x:c r="E1495" s="5" t="str">
        <x:v>Eba &amp; Egusi Soup</x:v>
      </x:c>
      <x:c r="F1495" s="5" t="str">
        <x:v>Swallow</x:v>
      </x:c>
      <x:c r="G1495" s="44" t="n">
        <x:v>1</x:v>
      </x:c>
      <x:c r="H1495" s="45" t="n">
        <x:v>2600</x:v>
      </x:c>
      <x:c r="I1495" s="46" t="n">
        <x:v>0</x:v>
      </x:c>
      <x:c r="J1495" s="47" t="n">
        <x:f>G1495*H1495*(1-I1495)</x:f>
        <x:v>2600</x:v>
      </x:c>
      <x:c r="K1495" s="47" t="n">
        <x:v>1320</x:v>
      </x:c>
      <x:c r="L1495" s="47" t="n">
        <x:f>G1495*K1495</x:f>
        <x:v>1320</x:v>
      </x:c>
      <x:c r="M1495" s="47" t="n">
        <x:f>J1495-L1495</x:f>
        <x:v>1280</x:v>
      </x:c>
      <x:c r="N1495" s="5" t="str">
        <x:v>Walk-in</x:v>
      </x:c>
      <x:c r="O1495" s="5" t="str">
        <x:v>Cash</x:v>
      </x:c>
      <x:c r="P1495" s="5" t="str">
        <x:v>Lunch</x:v>
      </x:c>
      <x:c r="Q1495" s="48" t="n">
        <x:v>15</x:v>
      </x:c>
      <x:c r="R1495" s="5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5" t="str">
        <x:v>ORD-00795</x:v>
      </x:c>
      <x:c r="B1496" s="43" t="n">
        <x:v>46223</x:v>
      </x:c>
      <x:c r="C1496" s="5" t="str">
        <x:v>CUST-0286</x:v>
      </x:c>
      <x:c r="D1496" s="5" t="str">
        <x:v>FD006</x:v>
      </x:c>
      <x:c r="E1496" s="5" t="str">
        <x:v>Eba &amp; Egusi Soup</x:v>
      </x:c>
      <x:c r="F1496" s="5" t="str">
        <x:v>Swallow</x:v>
      </x:c>
      <x:c r="G1496" s="44" t="n">
        <x:v>1</x:v>
      </x:c>
      <x:c r="H1496" s="45" t="n">
        <x:v>2600</x:v>
      </x:c>
      <x:c r="I1496" s="46" t="n">
        <x:v>0</x:v>
      </x:c>
      <x:c r="J1496" s="47" t="n">
        <x:f>G1496*H1496*(1-I1496)</x:f>
        <x:v>2600</x:v>
      </x:c>
      <x:c r="K1496" s="47" t="n">
        <x:v>1320</x:v>
      </x:c>
      <x:c r="L1496" s="47" t="n">
        <x:f>G1496*K1496</x:f>
        <x:v>1320</x:v>
      </x:c>
      <x:c r="M1496" s="47" t="n">
        <x:f>J1496-L1496</x:f>
        <x:v>1280</x:v>
      </x:c>
      <x:c r="N1496" s="5" t="str">
        <x:v>Walk-in</x:v>
      </x:c>
      <x:c r="O1496" s="5" t="str">
        <x:v>Cash</x:v>
      </x:c>
      <x:c r="P1496" s="5" t="str">
        <x:v>Dinner</x:v>
      </x:c>
      <x:c r="Q1496" s="48" t="n">
        <x:v>20</x:v>
      </x:c>
      <x:c r="R1496" s="5" t="n">
        <x:v>3</x:v>
      </x:c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5" t="str">
        <x:v>ORD-01066</x:v>
      </x:c>
      <x:c r="B1497" s="43" t="n">
        <x:v>46223</x:v>
      </x:c>
      <x:c r="C1497" s="5" t="str">
        <x:v>CUST-0100</x:v>
      </x:c>
      <x:c r="D1497" s="5" t="str">
        <x:v>FD006</x:v>
      </x:c>
      <x:c r="E1497" s="5" t="str">
        <x:v>Eba &amp; Egusi Soup</x:v>
      </x:c>
      <x:c r="F1497" s="5" t="str">
        <x:v>Swallow</x:v>
      </x:c>
      <x:c r="G1497" s="44" t="n">
        <x:v>1</x:v>
      </x:c>
      <x:c r="H1497" s="45" t="n">
        <x:v>2600</x:v>
      </x:c>
      <x:c r="I1497" s="46" t="n">
        <x:v>0</x:v>
      </x:c>
      <x:c r="J1497" s="47" t="n">
        <x:f>G1497*H1497*(1-I1497)</x:f>
        <x:v>2600</x:v>
      </x:c>
      <x:c r="K1497" s="47" t="n">
        <x:v>1320</x:v>
      </x:c>
      <x:c r="L1497" s="47" t="n">
        <x:f>G1497*K1497</x:f>
        <x:v>1320</x:v>
      </x:c>
      <x:c r="M1497" s="47" t="n">
        <x:f>J1497-L1497</x:f>
        <x:v>1280</x:v>
      </x:c>
      <x:c r="N1497" s="5" t="str">
        <x:v>Walk-in</x:v>
      </x:c>
      <x:c r="O1497" s="5" t="str">
        <x:v>Cash</x:v>
      </x:c>
      <x:c r="P1497" s="5" t="str">
        <x:v>Lunch</x:v>
      </x:c>
      <x:c r="Q1497" s="48" t="n">
        <x:v>12</x:v>
      </x:c>
      <x:c r="R1497" s="5" t="n">
        <x:v>4</x:v>
      </x:c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5" t="str">
        <x:v>ORD-01189</x:v>
      </x:c>
      <x:c r="B1498" s="43" t="n">
        <x:v>46223</x:v>
      </x:c>
      <x:c r="C1498" s="5" t="str">
        <x:v>CUST-0242</x:v>
      </x:c>
      <x:c r="D1498" s="5" t="str">
        <x:v>FD003</x:v>
      </x:c>
      <x:c r="E1498" s="5" t="str">
        <x:v>Fried Rice &amp; Chicken</x:v>
      </x:c>
      <x:c r="F1498" s="5" t="str">
        <x:v>Rice Meals</x:v>
      </x:c>
      <x:c r="G1498" s="44" t="n">
        <x:v>4</x:v>
      </x:c>
      <x:c r="H1498" s="45" t="n">
        <x:v>3000</x:v>
      </x:c>
      <x:c r="I1498" s="46" t="n">
        <x:v>0</x:v>
      </x:c>
      <x:c r="J1498" s="47" t="n">
        <x:f>G1498*H1498*(1-I1498)</x:f>
        <x:v>12000</x:v>
      </x:c>
      <x:c r="K1498" s="47" t="n">
        <x:v>1580</x:v>
      </x:c>
      <x:c r="L1498" s="47" t="n">
        <x:f>G1498*K1498</x:f>
        <x:v>6320</x:v>
      </x:c>
      <x:c r="M1498" s="47" t="n">
        <x:f>J1498-L1498</x:f>
        <x:v>5680</x:v>
      </x:c>
      <x:c r="N1498" s="5" t="str">
        <x:v>Delivery</x:v>
      </x:c>
      <x:c r="O1498" s="5" t="str">
        <x:v>Cash</x:v>
      </x:c>
      <x:c r="P1498" s="5" t="str">
        <x:v>Lunch</x:v>
      </x:c>
      <x:c r="Q1498" s="48" t="n">
        <x:v>12</x:v>
      </x:c>
      <x:c r="R1498" s="5" t="n">
        <x:v>5</x:v>
      </x:c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5" t="str">
        <x:v>ORD-01279</x:v>
      </x:c>
      <x:c r="B1499" s="43" t="n">
        <x:v>46223</x:v>
      </x:c>
      <x:c r="C1499" s="5" t="str">
        <x:v>CUST-0441</x:v>
      </x:c>
      <x:c r="D1499" s="5" t="str">
        <x:v>FD002</x:v>
      </x:c>
      <x:c r="E1499" s="5" t="str">
        <x:v>Jollof Rice &amp; Chicken</x:v>
      </x:c>
      <x:c r="F1499" s="5" t="str">
        <x:v>Rice Meals</x:v>
      </x:c>
      <x:c r="G1499" s="44" t="n">
        <x:v>1</x:v>
      </x:c>
      <x:c r="H1499" s="45" t="n">
        <x:v>2800</x:v>
      </x:c>
      <x:c r="I1499" s="46" t="n">
        <x:v>0.05</x:v>
      </x:c>
      <x:c r="J1499" s="47" t="n">
        <x:f>G1499*H1499*(1-I1499)</x:f>
        <x:v>2660</x:v>
      </x:c>
      <x:c r="K1499" s="47" t="n">
        <x:v>1450</x:v>
      </x:c>
      <x:c r="L1499" s="47" t="n">
        <x:f>G1499*K1499</x:f>
        <x:v>1450</x:v>
      </x:c>
      <x:c r="M1499" s="47" t="n">
        <x:f>J1499-L1499</x:f>
        <x:v>1210</x:v>
      </x:c>
      <x:c r="N1499" s="5" t="str">
        <x:v>Walk-in</x:v>
      </x:c>
      <x:c r="O1499" s="5" t="str">
        <x:v>Transfer</x:v>
      </x:c>
      <x:c r="P1499" s="5" t="str">
        <x:v>Dinner</x:v>
      </x:c>
      <x:c r="Q1499" s="48" t="n">
        <x:v>17</x:v>
      </x:c>
      <x:c r="R1499" s="5" t="n">
        <x:v>5</x:v>
      </x:c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5" t="str">
        <x:v>ORD-01302</x:v>
      </x:c>
      <x:c r="B1500" s="43" t="n">
        <x:v>46223</x:v>
      </x:c>
      <x:c r="C1500" s="5" t="str">
        <x:v>CUST-0087</x:v>
      </x:c>
      <x:c r="D1500" s="5" t="str">
        <x:v>FD003</x:v>
      </x:c>
      <x:c r="E1500" s="5" t="str">
        <x:v>Fried Rice &amp; Chicken</x:v>
      </x:c>
      <x:c r="F1500" s="5" t="str">
        <x:v>Rice Meals</x:v>
      </x:c>
      <x:c r="G1500" s="44" t="n">
        <x:v>2</x:v>
      </x:c>
      <x:c r="H1500" s="45" t="n">
        <x:v>3000</x:v>
      </x:c>
      <x:c r="I1500" s="46" t="n">
        <x:v>0</x:v>
      </x:c>
      <x:c r="J1500" s="47" t="n">
        <x:f>G1500*H1500*(1-I1500)</x:f>
        <x:v>6000</x:v>
      </x:c>
      <x:c r="K1500" s="47" t="n">
        <x:v>1580</x:v>
      </x:c>
      <x:c r="L1500" s="47" t="n">
        <x:f>G1500*K1500</x:f>
        <x:v>3160</x:v>
      </x:c>
      <x:c r="M1500" s="47" t="n">
        <x:f>J1500-L1500</x:f>
        <x:v>2840</x:v>
      </x:c>
      <x:c r="N1500" s="5" t="str">
        <x:v>Takeaway</x:v>
      </x:c>
      <x:c r="O1500" s="5" t="str">
        <x:v>Transfer</x:v>
      </x:c>
      <x:c r="P1500" s="5" t="str">
        <x:v>Lunch</x:v>
      </x:c>
      <x:c r="Q1500" s="48" t="n">
        <x:v>15</x:v>
      </x:c>
      <x:c r="R1500" s="5" t="n">
        <x:v>5</x:v>
      </x:c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5" t="str">
        <x:v>ORD-01354</x:v>
      </x:c>
      <x:c r="B1501" s="43" t="n">
        <x:v>46223</x:v>
      </x:c>
      <x:c r="C1501" s="5" t="str">
        <x:v>CUST-0551</x:v>
      </x:c>
      <x:c r="D1501" s="5" t="str">
        <x:v>FD009</x:v>
      </x:c>
      <x:c r="E1501" s="5" t="str">
        <x:v>Moi Moi</x:v>
      </x:c>
      <x:c r="F1501" s="5" t="str">
        <x:v>Sides</x:v>
      </x:c>
      <x:c r="G1501" s="44" t="n">
        <x:v>2</x:v>
      </x:c>
      <x:c r="H1501" s="45" t="n">
        <x:v>900</x:v>
      </x:c>
      <x:c r="I1501" s="46" t="n">
        <x:v>0</x:v>
      </x:c>
      <x:c r="J1501" s="47" t="n">
        <x:f>G1501*H1501*(1-I1501)</x:f>
        <x:v>1800</x:v>
      </x:c>
      <x:c r="K1501" s="47" t="n">
        <x:v>380</x:v>
      </x:c>
      <x:c r="L1501" s="47" t="n">
        <x:f>G1501*K1501</x:f>
        <x:v>760</x:v>
      </x:c>
      <x:c r="M1501" s="47" t="n">
        <x:f>J1501-L1501</x:f>
        <x:v>1040</x:v>
      </x:c>
      <x:c r="N1501" s="5" t="str">
        <x:v>Walk-in</x:v>
      </x:c>
      <x:c r="O1501" s="5" t="str">
        <x:v>Transfer</x:v>
      </x:c>
      <x:c r="P1501" s="5" t="str">
        <x:v>Breakfast</x:v>
      </x:c>
      <x:c r="Q1501" s="48" t="n">
        <x:v>8</x:v>
      </x:c>
      <x:c r="R1501" s="5" t="n">
        <x:v>4</x:v>
      </x:c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5" t="str">
        <x:v>ORD-01438</x:v>
      </x:c>
      <x:c r="B1502" s="43" t="n">
        <x:v>46223</x:v>
      </x:c>
      <x:c r="C1502" s="5" t="str">
        <x:v>CUST-0335</x:v>
      </x:c>
      <x:c r="D1502" s="5" t="str">
        <x:v>FD005</x:v>
      </x:c>
      <x:c r="E1502" s="5" t="str">
        <x:v>Yam Porridge</x:v>
      </x:c>
      <x:c r="F1502" s="5" t="str">
        <x:v>Traditional Meals</x:v>
      </x:c>
      <x:c r="G1502" s="44" t="n">
        <x:v>2</x:v>
      </x:c>
      <x:c r="H1502" s="45" t="n">
        <x:v>2200</x:v>
      </x:c>
      <x:c r="I1502" s="46" t="n">
        <x:v>0</x:v>
      </x:c>
      <x:c r="J1502" s="47" t="n">
        <x:f>G1502*H1502*(1-I1502)</x:f>
        <x:v>4400</x:v>
      </x:c>
      <x:c r="K1502" s="47" t="n">
        <x:v>1050</x:v>
      </x:c>
      <x:c r="L1502" s="47" t="n">
        <x:f>G1502*K1502</x:f>
        <x:v>2100</x:v>
      </x:c>
      <x:c r="M1502" s="47" t="n">
        <x:f>J1502-L1502</x:f>
        <x:v>2300</x:v>
      </x:c>
      <x:c r="N1502" s="5" t="str">
        <x:v>Takeaway</x:v>
      </x:c>
      <x:c r="O1502" s="5" t="str">
        <x:v>Cash</x:v>
      </x:c>
      <x:c r="P1502" s="5" t="str">
        <x:v>Dinner</x:v>
      </x:c>
      <x:c r="Q1502" s="48" t="n">
        <x:v>17</x:v>
      </x:c>
      <x:c r="R1502" s="5" t="n">
        <x:v>4</x:v>
      </x:c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5" t="str">
        <x:v>ORD-01562</x:v>
      </x:c>
      <x:c r="B1503" s="43" t="n">
        <x:v>46223</x:v>
      </x:c>
      <x:c r="C1503" s="5" t="str">
        <x:v>CUST-0476</x:v>
      </x:c>
      <x:c r="D1503" s="5" t="str">
        <x:v>FD003</x:v>
      </x:c>
      <x:c r="E1503" s="5" t="str">
        <x:v>Fried Rice &amp; Chicken</x:v>
      </x:c>
      <x:c r="F1503" s="5" t="str">
        <x:v>Rice Meals</x:v>
      </x:c>
      <x:c r="G1503" s="44" t="n">
        <x:v>4</x:v>
      </x:c>
      <x:c r="H1503" s="45" t="n">
        <x:v>3000</x:v>
      </x:c>
      <x:c r="I1503" s="46" t="n">
        <x:v>0</x:v>
      </x:c>
      <x:c r="J1503" s="47" t="n">
        <x:f>G1503*H1503*(1-I1503)</x:f>
        <x:v>12000</x:v>
      </x:c>
      <x:c r="K1503" s="47" t="n">
        <x:v>1580</x:v>
      </x:c>
      <x:c r="L1503" s="47" t="n">
        <x:f>G1503*K1503</x:f>
        <x:v>6320</x:v>
      </x:c>
      <x:c r="M1503" s="47" t="n">
        <x:f>J1503-L1503</x:f>
        <x:v>5680</x:v>
      </x:c>
      <x:c r="N1503" s="5" t="str">
        <x:v>Takeaway</x:v>
      </x:c>
      <x:c r="O1503" s="5" t="str">
        <x:v>POS</x:v>
      </x:c>
      <x:c r="P1503" s="5" t="str">
        <x:v>Breakfast</x:v>
      </x:c>
      <x:c r="Q1503" s="48" t="n">
        <x:v>10</x:v>
      </x:c>
      <x:c r="R1503" s="5" t="n">
        <x:v>4</x:v>
      </x:c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5" t="str">
        <x:v>ORD-00083</x:v>
      </x:c>
      <x:c r="B1504" s="43" t="n">
        <x:v>46224</x:v>
      </x:c>
      <x:c r="C1504" s="5" t="str">
        <x:v>CUST-0557</x:v>
      </x:c>
      <x:c r="D1504" s="5" t="str">
        <x:v>FD003</x:v>
      </x:c>
      <x:c r="E1504" s="5" t="str">
        <x:v>Fried Rice &amp; Chicken</x:v>
      </x:c>
      <x:c r="F1504" s="5" t="str">
        <x:v>Rice Meals</x:v>
      </x:c>
      <x:c r="G1504" s="44" t="n">
        <x:v>1</x:v>
      </x:c>
      <x:c r="H1504" s="45" t="n">
        <x:v>3000</x:v>
      </x:c>
      <x:c r="I1504" s="46" t="n">
        <x:v>0</x:v>
      </x:c>
      <x:c r="J1504" s="47" t="n">
        <x:f>G1504*H1504*(1-I1504)</x:f>
        <x:v>3000</x:v>
      </x:c>
      <x:c r="K1504" s="47" t="n">
        <x:v>1580</x:v>
      </x:c>
      <x:c r="L1504" s="47" t="n">
        <x:f>G1504*K1504</x:f>
        <x:v>1580</x:v>
      </x:c>
      <x:c r="M1504" s="47" t="n">
        <x:f>J1504-L1504</x:f>
        <x:v>1420</x:v>
      </x:c>
      <x:c r="N1504" s="5" t="str">
        <x:v>Walk-in</x:v>
      </x:c>
      <x:c r="O1504" s="5" t="str">
        <x:v>Transfer</x:v>
      </x:c>
      <x:c r="P1504" s="5" t="str">
        <x:v>Lunch</x:v>
      </x:c>
      <x:c r="Q1504" s="48" t="n">
        <x:v>15</x:v>
      </x:c>
      <x:c r="R1504" s="5" t="n">
        <x:v>5</x:v>
      </x:c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5" t="str">
        <x:v>ORD-00181</x:v>
      </x:c>
      <x:c r="B1505" s="43" t="n">
        <x:v>46224</x:v>
      </x:c>
      <x:c r="C1505" s="5" t="str">
        <x:v>CUST-0129</x:v>
      </x:c>
      <x:c r="D1505" s="5" t="str">
        <x:v>FD002</x:v>
      </x:c>
      <x:c r="E1505" s="5" t="str">
        <x:v>Jollof Rice &amp; Chicken</x:v>
      </x:c>
      <x:c r="F1505" s="5" t="str">
        <x:v>Rice Meals</x:v>
      </x:c>
      <x:c r="G1505" s="44" t="n">
        <x:v>4</x:v>
      </x:c>
      <x:c r="H1505" s="45" t="n">
        <x:v>2800</x:v>
      </x:c>
      <x:c r="I1505" s="46" t="n">
        <x:v>0</x:v>
      </x:c>
      <x:c r="J1505" s="47" t="n">
        <x:f>G1505*H1505*(1-I1505)</x:f>
        <x:v>11200</x:v>
      </x:c>
      <x:c r="K1505" s="47" t="n">
        <x:v>1450</x:v>
      </x:c>
      <x:c r="L1505" s="47" t="n">
        <x:f>G1505*K1505</x:f>
        <x:v>5800</x:v>
      </x:c>
      <x:c r="M1505" s="47" t="n">
        <x:f>J1505-L1505</x:f>
        <x:v>5400</x:v>
      </x:c>
      <x:c r="N1505" s="5" t="str">
        <x:v>Walk-in</x:v>
      </x:c>
      <x:c r="O1505" s="5" t="str">
        <x:v>POS</x:v>
      </x:c>
      <x:c r="P1505" s="5" t="str">
        <x:v>Dinner</x:v>
      </x:c>
      <x:c r="Q1505" s="48" t="n">
        <x:v>20</x:v>
      </x:c>
      <x:c r="R1505" s="5" t="n">
        <x:v>5</x:v>
      </x:c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5" t="str">
        <x:v>ORD-00312</x:v>
      </x:c>
      <x:c r="B1506" s="43" t="n">
        <x:v>46224</x:v>
      </x:c>
      <x:c r="C1506" s="5" t="str">
        <x:v>CUST-0495</x:v>
      </x:c>
      <x:c r="D1506" s="5" t="str">
        <x:v>FD001</x:v>
      </x:c>
      <x:c r="E1506" s="5" t="str">
        <x:v>White Rice &amp; Stew</x:v>
      </x:c>
      <x:c r="F1506" s="5" t="str">
        <x:v>Rice Meals</x:v>
      </x:c>
      <x:c r="G1506" s="44" t="n">
        <x:v>2</x:v>
      </x:c>
      <x:c r="H1506" s="45" t="n">
        <x:v>1800</x:v>
      </x:c>
      <x:c r="I1506" s="46" t="n">
        <x:v>0</x:v>
      </x:c>
      <x:c r="J1506" s="47" t="n">
        <x:f>G1506*H1506*(1-I1506)</x:f>
        <x:v>3600</x:v>
      </x:c>
      <x:c r="K1506" s="47" t="n">
        <x:v>820</x:v>
      </x:c>
      <x:c r="L1506" s="47" t="n">
        <x:f>G1506*K1506</x:f>
        <x:v>1640</x:v>
      </x:c>
      <x:c r="M1506" s="47" t="n">
        <x:f>J1506-L1506</x:f>
        <x:v>1960</x:v>
      </x:c>
      <x:c r="N1506" s="5" t="str">
        <x:v>Walk-in</x:v>
      </x:c>
      <x:c r="O1506" s="5" t="str">
        <x:v>Cash</x:v>
      </x:c>
      <x:c r="P1506" s="5" t="str">
        <x:v>Dinner</x:v>
      </x:c>
      <x:c r="Q1506" s="48" t="n">
        <x:v>17</x:v>
      </x:c>
      <x:c r="R1506" s="5" t="n">
        <x:v>5</x:v>
      </x:c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5" t="str">
        <x:v>ORD-00317</x:v>
      </x:c>
      <x:c r="B1507" s="43" t="n">
        <x:v>46224</x:v>
      </x:c>
      <x:c r="C1507" s="5" t="str">
        <x:v>CUST-0378</x:v>
      </x:c>
      <x:c r="D1507" s="5" t="str">
        <x:v>FD002</x:v>
      </x:c>
      <x:c r="E1507" s="5" t="str">
        <x:v>Jollof Rice &amp; Chicken</x:v>
      </x:c>
      <x:c r="F1507" s="5" t="str">
        <x:v>Rice Meals</x:v>
      </x:c>
      <x:c r="G1507" s="44" t="n">
        <x:v>2</x:v>
      </x:c>
      <x:c r="H1507" s="45" t="n">
        <x:v>2800</x:v>
      </x:c>
      <x:c r="I1507" s="46" t="n">
        <x:v>0</x:v>
      </x:c>
      <x:c r="J1507" s="47" t="n">
        <x:f>G1507*H1507*(1-I1507)</x:f>
        <x:v>5600</x:v>
      </x:c>
      <x:c r="K1507" s="47" t="n">
        <x:v>1450</x:v>
      </x:c>
      <x:c r="L1507" s="47" t="n">
        <x:f>G1507*K1507</x:f>
        <x:v>2900</x:v>
      </x:c>
      <x:c r="M1507" s="47" t="n">
        <x:f>J1507-L1507</x:f>
        <x:v>2700</x:v>
      </x:c>
      <x:c r="N1507" s="5" t="str">
        <x:v>Delivery</x:v>
      </x:c>
      <x:c r="O1507" s="5" t="str">
        <x:v>Cash</x:v>
      </x:c>
      <x:c r="P1507" s="5" t="str">
        <x:v>Breakfast</x:v>
      </x:c>
      <x:c r="Q1507" s="48" t="n">
        <x:v>9</x:v>
      </x:c>
      <x:c r="R1507" s="5" t="n">
        <x:v>4</x:v>
      </x:c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5" t="str">
        <x:v>ORD-00476</x:v>
      </x:c>
      <x:c r="B1508" s="43" t="n">
        <x:v>46224</x:v>
      </x:c>
      <x:c r="C1508" s="5" t="str">
        <x:v>CUST-0305</x:v>
      </x:c>
      <x:c r="D1508" s="5" t="str">
        <x:v>FD003</x:v>
      </x:c>
      <x:c r="E1508" s="5" t="str">
        <x:v>Fried Rice &amp; Chicken</x:v>
      </x:c>
      <x:c r="F1508" s="5" t="str">
        <x:v>Rice Meals</x:v>
      </x:c>
      <x:c r="G1508" s="44" t="n">
        <x:v>2</x:v>
      </x:c>
      <x:c r="H1508" s="45" t="n">
        <x:v>3000</x:v>
      </x:c>
      <x:c r="I1508" s="46" t="n">
        <x:v>0</x:v>
      </x:c>
      <x:c r="J1508" s="47" t="n">
        <x:f>G1508*H1508*(1-I1508)</x:f>
        <x:v>6000</x:v>
      </x:c>
      <x:c r="K1508" s="47" t="n">
        <x:v>1580</x:v>
      </x:c>
      <x:c r="L1508" s="47" t="n">
        <x:f>G1508*K1508</x:f>
        <x:v>3160</x:v>
      </x:c>
      <x:c r="M1508" s="47" t="n">
        <x:f>J1508-L1508</x:f>
        <x:v>2840</x:v>
      </x:c>
      <x:c r="N1508" s="5" t="str">
        <x:v>Takeaway</x:v>
      </x:c>
      <x:c r="O1508" s="5" t="str">
        <x:v>POS</x:v>
      </x:c>
      <x:c r="P1508" s="5" t="str">
        <x:v>Breakfast</x:v>
      </x:c>
      <x:c r="Q1508" s="48" t="n">
        <x:v>8</x:v>
      </x:c>
      <x:c r="R1508" s="5" t="n">
        <x:v>5</x:v>
      </x:c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5" t="str">
        <x:v>ORD-00606</x:v>
      </x:c>
      <x:c r="B1509" s="43" t="n">
        <x:v>46224</x:v>
      </x:c>
      <x:c r="C1509" s="5" t="str">
        <x:v>CUST-0238</x:v>
      </x:c>
      <x:c r="D1509" s="5" t="str">
        <x:v>FD009</x:v>
      </x:c>
      <x:c r="E1509" s="5" t="str">
        <x:v>Moi Moi</x:v>
      </x:c>
      <x:c r="F1509" s="5" t="str">
        <x:v>Sides</x:v>
      </x:c>
      <x:c r="G1509" s="44" t="n">
        <x:v>1</x:v>
      </x:c>
      <x:c r="H1509" s="45" t="n">
        <x:v>900</x:v>
      </x:c>
      <x:c r="I1509" s="46" t="n">
        <x:v>0</x:v>
      </x:c>
      <x:c r="J1509" s="47" t="n">
        <x:f>G1509*H1509*(1-I1509)</x:f>
        <x:v>900</x:v>
      </x:c>
      <x:c r="K1509" s="47" t="n">
        <x:v>380</x:v>
      </x:c>
      <x:c r="L1509" s="47" t="n">
        <x:f>G1509*K1509</x:f>
        <x:v>380</x:v>
      </x:c>
      <x:c r="M1509" s="47" t="n">
        <x:f>J1509-L1509</x:f>
        <x:v>520</x:v>
      </x:c>
      <x:c r="N1509" s="5" t="str">
        <x:v>Delivery</x:v>
      </x:c>
      <x:c r="O1509" s="5" t="str">
        <x:v>Cash</x:v>
      </x:c>
      <x:c r="P1509" s="5" t="str">
        <x:v>Lunch</x:v>
      </x:c>
      <x:c r="Q1509" s="48" t="n">
        <x:v>13</x:v>
      </x:c>
      <x:c r="R1509" s="5" t="n">
        <x:v>4</x:v>
      </x:c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5" t="str">
        <x:v>ORD-00649</x:v>
      </x:c>
      <x:c r="B1510" s="43" t="n">
        <x:v>46224</x:v>
      </x:c>
      <x:c r="C1510" s="5" t="str">
        <x:v>CUST-0155</x:v>
      </x:c>
      <x:c r="D1510" s="5" t="str">
        <x:v>FD008</x:v>
      </x:c>
      <x:c r="E1510" s="5" t="str">
        <x:v>Pounded Yam &amp; Vegetable Soup</x:v>
      </x:c>
      <x:c r="F1510" s="5" t="str">
        <x:v>Swallow</x:v>
      </x:c>
      <x:c r="G1510" s="44" t="n">
        <x:v>4</x:v>
      </x:c>
      <x:c r="H1510" s="45" t="n">
        <x:v>3200</x:v>
      </x:c>
      <x:c r="I1510" s="46" t="n">
        <x:v>0</x:v>
      </x:c>
      <x:c r="J1510" s="47" t="n">
        <x:f>G1510*H1510*(1-I1510)</x:f>
        <x:v>12800</x:v>
      </x:c>
      <x:c r="K1510" s="47" t="n">
        <x:v>1710</x:v>
      </x:c>
      <x:c r="L1510" s="47" t="n">
        <x:f>G1510*K1510</x:f>
        <x:v>6840</x:v>
      </x:c>
      <x:c r="M1510" s="47" t="n">
        <x:f>J1510-L1510</x:f>
        <x:v>5960</x:v>
      </x:c>
      <x:c r="N1510" s="5" t="str">
        <x:v>Takeaway</x:v>
      </x:c>
      <x:c r="O1510" s="5" t="str">
        <x:v>POS</x:v>
      </x:c>
      <x:c r="P1510" s="5" t="str">
        <x:v>Lunch</x:v>
      </x:c>
      <x:c r="Q1510" s="48" t="n">
        <x:v>14</x:v>
      </x:c>
      <x:c r="R1510" s="5" t="n">
        <x:v>5</x:v>
      </x:c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5" t="str">
        <x:v>ORD-01301</x:v>
      </x:c>
      <x:c r="B1511" s="43" t="n">
        <x:v>46224</x:v>
      </x:c>
      <x:c r="C1511" s="5" t="str">
        <x:v>CUST-0419</x:v>
      </x:c>
      <x:c r="D1511" s="5" t="str">
        <x:v>FD006</x:v>
      </x:c>
      <x:c r="E1511" s="5" t="str">
        <x:v>Eba &amp; Egusi Soup</x:v>
      </x:c>
      <x:c r="F1511" s="5" t="str">
        <x:v>Swallow</x:v>
      </x:c>
      <x:c r="G1511" s="44" t="n">
        <x:v>4</x:v>
      </x:c>
      <x:c r="H1511" s="45" t="n">
        <x:v>2600</x:v>
      </x:c>
      <x:c r="I1511" s="46" t="n">
        <x:v>0</x:v>
      </x:c>
      <x:c r="J1511" s="47" t="n">
        <x:f>G1511*H1511*(1-I1511)</x:f>
        <x:v>10400</x:v>
      </x:c>
      <x:c r="K1511" s="47" t="n">
        <x:v>1320</x:v>
      </x:c>
      <x:c r="L1511" s="47" t="n">
        <x:f>G1511*K1511</x:f>
        <x:v>5280</x:v>
      </x:c>
      <x:c r="M1511" s="47" t="n">
        <x:f>J1511-L1511</x:f>
        <x:v>5120</x:v>
      </x:c>
      <x:c r="N1511" s="5" t="str">
        <x:v>Takeaway</x:v>
      </x:c>
      <x:c r="O1511" s="5" t="str">
        <x:v>Cash</x:v>
      </x:c>
      <x:c r="P1511" s="5" t="str">
        <x:v>Lunch</x:v>
      </x:c>
      <x:c r="Q1511" s="48" t="n">
        <x:v>13</x:v>
      </x:c>
      <x:c r="R1511" s="5" t="n">
        <x:v>5</x:v>
      </x:c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5" t="str">
        <x:v>ORD-01466</x:v>
      </x:c>
      <x:c r="B1512" s="43" t="n">
        <x:v>46224</x:v>
      </x:c>
      <x:c r="C1512" s="5" t="str">
        <x:v>CUST-0266</x:v>
      </x:c>
      <x:c r="D1512" s="5" t="str">
        <x:v>FD004</x:v>
      </x:c>
      <x:c r="E1512" s="5" t="str">
        <x:v>Beans &amp; Plantain</x:v>
      </x:c>
      <x:c r="F1512" s="5" t="str">
        <x:v>Traditional Meals</x:v>
      </x:c>
      <x:c r="G1512" s="44" t="n">
        <x:v>3</x:v>
      </x:c>
      <x:c r="H1512" s="45" t="n">
        <x:v>2000</x:v>
      </x:c>
      <x:c r="I1512" s="46" t="n">
        <x:v>0</x:v>
      </x:c>
      <x:c r="J1512" s="47" t="n">
        <x:f>G1512*H1512*(1-I1512)</x:f>
        <x:v>6000</x:v>
      </x:c>
      <x:c r="K1512" s="47" t="n">
        <x:v>960</x:v>
      </x:c>
      <x:c r="L1512" s="47" t="n">
        <x:f>G1512*K1512</x:f>
        <x:v>2880</x:v>
      </x:c>
      <x:c r="M1512" s="47" t="n">
        <x:f>J1512-L1512</x:f>
        <x:v>3120</x:v>
      </x:c>
      <x:c r="N1512" s="5" t="str">
        <x:v>Walk-in</x:v>
      </x:c>
      <x:c r="O1512" s="5" t="str">
        <x:v>Cash</x:v>
      </x:c>
      <x:c r="P1512" s="5" t="str">
        <x:v>Lunch</x:v>
      </x:c>
      <x:c r="Q1512" s="48" t="n">
        <x:v>11</x:v>
      </x:c>
      <x:c r="R1512" s="5" t="n">
        <x:v>4</x:v>
      </x:c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5" t="str">
        <x:v>ORD-01620</x:v>
      </x:c>
      <x:c r="B1513" s="43" t="n">
        <x:v>46224</x:v>
      </x:c>
      <x:c r="C1513" s="5" t="str">
        <x:v>CUST-0394</x:v>
      </x:c>
      <x:c r="D1513" s="5" t="str">
        <x:v>FD008</x:v>
      </x:c>
      <x:c r="E1513" s="5" t="str">
        <x:v>Pounded Yam &amp; Vegetable Soup</x:v>
      </x:c>
      <x:c r="F1513" s="5" t="str">
        <x:v>Swallow</x:v>
      </x:c>
      <x:c r="G1513" s="44" t="n">
        <x:v>1</x:v>
      </x:c>
      <x:c r="H1513" s="45" t="n">
        <x:v>3200</x:v>
      </x:c>
      <x:c r="I1513" s="46" t="n">
        <x:v>0</x:v>
      </x:c>
      <x:c r="J1513" s="47" t="n">
        <x:f>G1513*H1513*(1-I1513)</x:f>
        <x:v>3200</x:v>
      </x:c>
      <x:c r="K1513" s="47" t="n">
        <x:v>1710</x:v>
      </x:c>
      <x:c r="L1513" s="47" t="n">
        <x:f>G1513*K1513</x:f>
        <x:v>1710</x:v>
      </x:c>
      <x:c r="M1513" s="47" t="n">
        <x:f>J1513-L1513</x:f>
        <x:v>1490</x:v>
      </x:c>
      <x:c r="N1513" s="5" t="str">
        <x:v>Takeaway</x:v>
      </x:c>
      <x:c r="O1513" s="5" t="str">
        <x:v>Cash</x:v>
      </x:c>
      <x:c r="P1513" s="5" t="str">
        <x:v>Breakfast</x:v>
      </x:c>
      <x:c r="Q1513" s="48" t="n">
        <x:v>8</x:v>
      </x:c>
      <x:c r="R1513" s="5" t="n">
        <x:v>4</x:v>
      </x:c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5" t="str">
        <x:v>ORD-01653</x:v>
      </x:c>
      <x:c r="B1514" s="43" t="n">
        <x:v>46224</x:v>
      </x:c>
      <x:c r="C1514" s="5" t="str">
        <x:v>CUST-0599</x:v>
      </x:c>
      <x:c r="D1514" s="5" t="str">
        <x:v>FD003</x:v>
      </x:c>
      <x:c r="E1514" s="5" t="str">
        <x:v>Fried Rice &amp; Chicken</x:v>
      </x:c>
      <x:c r="F1514" s="5" t="str">
        <x:v>Rice Meals</x:v>
      </x:c>
      <x:c r="G1514" s="44" t="n">
        <x:v>1</x:v>
      </x:c>
      <x:c r="H1514" s="45" t="n">
        <x:v>3000</x:v>
      </x:c>
      <x:c r="I1514" s="46" t="n">
        <x:v>0</x:v>
      </x:c>
      <x:c r="J1514" s="47" t="n">
        <x:f>G1514*H1514*(1-I1514)</x:f>
        <x:v>3000</x:v>
      </x:c>
      <x:c r="K1514" s="47" t="n">
        <x:v>1580</x:v>
      </x:c>
      <x:c r="L1514" s="47" t="n">
        <x:f>G1514*K1514</x:f>
        <x:v>1580</x:v>
      </x:c>
      <x:c r="M1514" s="47" t="n">
        <x:f>J1514-L1514</x:f>
        <x:v>1420</x:v>
      </x:c>
      <x:c r="N1514" s="5" t="str">
        <x:v>Takeaway</x:v>
      </x:c>
      <x:c r="O1514" s="5" t="str">
        <x:v>POS</x:v>
      </x:c>
      <x:c r="P1514" s="5" t="str">
        <x:v>Lunch</x:v>
      </x:c>
      <x:c r="Q1514" s="48" t="n">
        <x:v>15</x:v>
      </x:c>
      <x:c r="R1514" s="5" t="n">
        <x:v>5</x:v>
      </x:c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5" t="str">
        <x:v>ORD-00165</x:v>
      </x:c>
      <x:c r="B1515" s="43" t="n">
        <x:v>46225</x:v>
      </x:c>
      <x:c r="C1515" s="5" t="str">
        <x:v>CUST-0575</x:v>
      </x:c>
      <x:c r="D1515" s="5" t="str">
        <x:v>FD001</x:v>
      </x:c>
      <x:c r="E1515" s="5" t="str">
        <x:v>White Rice &amp; Stew</x:v>
      </x:c>
      <x:c r="F1515" s="5" t="str">
        <x:v>Rice Meals</x:v>
      </x:c>
      <x:c r="G1515" s="44" t="n">
        <x:v>2</x:v>
      </x:c>
      <x:c r="H1515" s="45" t="n">
        <x:v>1800</x:v>
      </x:c>
      <x:c r="I1515" s="46" t="n">
        <x:v>0</x:v>
      </x:c>
      <x:c r="J1515" s="47" t="n">
        <x:f>G1515*H1515*(1-I1515)</x:f>
        <x:v>3600</x:v>
      </x:c>
      <x:c r="K1515" s="47" t="n">
        <x:v>820</x:v>
      </x:c>
      <x:c r="L1515" s="47" t="n">
        <x:f>G1515*K1515</x:f>
        <x:v>1640</x:v>
      </x:c>
      <x:c r="M1515" s="47" t="n">
        <x:f>J1515-L1515</x:f>
        <x:v>1960</x:v>
      </x:c>
      <x:c r="N1515" s="5" t="str">
        <x:v>Delivery</x:v>
      </x:c>
      <x:c r="O1515" s="5" t="str">
        <x:v>Transfer</x:v>
      </x:c>
      <x:c r="P1515" s="5" t="str">
        <x:v>Lunch</x:v>
      </x:c>
      <x:c r="Q1515" s="48" t="n">
        <x:v>14</x:v>
      </x:c>
      <x:c r="R1515" s="5" t="n">
        <x:v>4</x:v>
      </x:c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5" t="str">
        <x:v>ORD-00186</x:v>
      </x:c>
      <x:c r="B1516" s="43" t="n">
        <x:v>46225</x:v>
      </x:c>
      <x:c r="C1516" s="5" t="str">
        <x:v>CUST-0370</x:v>
      </x:c>
      <x:c r="D1516" s="5" t="str">
        <x:v>FD005</x:v>
      </x:c>
      <x:c r="E1516" s="5" t="str">
        <x:v>Yam Porridge</x:v>
      </x:c>
      <x:c r="F1516" s="5" t="str">
        <x:v>Traditional Meals</x:v>
      </x:c>
      <x:c r="G1516" s="44" t="n">
        <x:v>3</x:v>
      </x:c>
      <x:c r="H1516" s="45" t="n">
        <x:v>2200</x:v>
      </x:c>
      <x:c r="I1516" s="46" t="n">
        <x:v>0</x:v>
      </x:c>
      <x:c r="J1516" s="47" t="n">
        <x:f>G1516*H1516*(1-I1516)</x:f>
        <x:v>6600</x:v>
      </x:c>
      <x:c r="K1516" s="47" t="n">
        <x:v>1050</x:v>
      </x:c>
      <x:c r="L1516" s="47" t="n">
        <x:f>G1516*K1516</x:f>
        <x:v>3150</x:v>
      </x:c>
      <x:c r="M1516" s="47" t="n">
        <x:f>J1516-L1516</x:f>
        <x:v>3450</x:v>
      </x:c>
      <x:c r="N1516" s="5" t="str">
        <x:v>Takeaway</x:v>
      </x:c>
      <x:c r="O1516" s="5" t="str">
        <x:v>Transfer</x:v>
      </x:c>
      <x:c r="P1516" s="5" t="str">
        <x:v>Breakfast</x:v>
      </x:c>
      <x:c r="Q1516" s="48" t="n">
        <x:v>10</x:v>
      </x:c>
      <x:c r="R1516" s="5" t="n">
        <x:v>5</x:v>
      </x:c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5" t="str">
        <x:v>ORD-00256</x:v>
      </x:c>
      <x:c r="B1517" s="43" t="n">
        <x:v>46225</x:v>
      </x:c>
      <x:c r="C1517" s="5" t="str">
        <x:v>CUST-0004</x:v>
      </x:c>
      <x:c r="D1517" s="5" t="str">
        <x:v>FD003</x:v>
      </x:c>
      <x:c r="E1517" s="5" t="str">
        <x:v>Fried Rice &amp; Chicken</x:v>
      </x:c>
      <x:c r="F1517" s="5" t="str">
        <x:v>Rice Meals</x:v>
      </x:c>
      <x:c r="G1517" s="44" t="n">
        <x:v>3</x:v>
      </x:c>
      <x:c r="H1517" s="45" t="n">
        <x:v>3000</x:v>
      </x:c>
      <x:c r="I1517" s="46" t="n">
        <x:v>0.1</x:v>
      </x:c>
      <x:c r="J1517" s="47" t="n">
        <x:f>G1517*H1517*(1-I1517)</x:f>
        <x:v>8100</x:v>
      </x:c>
      <x:c r="K1517" s="47" t="n">
        <x:v>1580</x:v>
      </x:c>
      <x:c r="L1517" s="47" t="n">
        <x:f>G1517*K1517</x:f>
        <x:v>4740</x:v>
      </x:c>
      <x:c r="M1517" s="47" t="n">
        <x:f>J1517-L1517</x:f>
        <x:v>3360</x:v>
      </x:c>
      <x:c r="N1517" s="5" t="str">
        <x:v>Walk-in</x:v>
      </x:c>
      <x:c r="O1517" s="5" t="str">
        <x:v>Cash</x:v>
      </x:c>
      <x:c r="P1517" s="5" t="str">
        <x:v>Lunch</x:v>
      </x:c>
      <x:c r="Q1517" s="48" t="n">
        <x:v>15</x:v>
      </x:c>
      <x:c r="R1517" s="5" t="n">
        <x:v>5</x:v>
      </x:c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5" t="str">
        <x:v>ORD-00444</x:v>
      </x:c>
      <x:c r="B1518" s="43" t="n">
        <x:v>46225</x:v>
      </x:c>
      <x:c r="C1518" s="5" t="str">
        <x:v>CUST-0624</x:v>
      </x:c>
      <x:c r="D1518" s="5" t="str">
        <x:v>FD006</x:v>
      </x:c>
      <x:c r="E1518" s="5" t="str">
        <x:v>Eba &amp; Egusi Soup</x:v>
      </x:c>
      <x:c r="F1518" s="5" t="str">
        <x:v>Swallow</x:v>
      </x:c>
      <x:c r="G1518" s="44" t="n">
        <x:v>1</x:v>
      </x:c>
      <x:c r="H1518" s="45" t="n">
        <x:v>2600</x:v>
      </x:c>
      <x:c r="I1518" s="46" t="n">
        <x:v>0</x:v>
      </x:c>
      <x:c r="J1518" s="47" t="n">
        <x:f>G1518*H1518*(1-I1518)</x:f>
        <x:v>2600</x:v>
      </x:c>
      <x:c r="K1518" s="47" t="n">
        <x:v>1320</x:v>
      </x:c>
      <x:c r="L1518" s="47" t="n">
        <x:f>G1518*K1518</x:f>
        <x:v>1320</x:v>
      </x:c>
      <x:c r="M1518" s="47" t="n">
        <x:f>J1518-L1518</x:f>
        <x:v>1280</x:v>
      </x:c>
      <x:c r="N1518" s="5" t="str">
        <x:v>Delivery</x:v>
      </x:c>
      <x:c r="O1518" s="5" t="str">
        <x:v>Transfer</x:v>
      </x:c>
      <x:c r="P1518" s="5" t="str">
        <x:v>Lunch</x:v>
      </x:c>
      <x:c r="Q1518" s="48" t="n">
        <x:v>15</x:v>
      </x:c>
      <x:c r="R1518" s="5" t="n">
        <x:v>5</x:v>
      </x:c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5" t="str">
        <x:v>ORD-00516</x:v>
      </x:c>
      <x:c r="B1519" s="43" t="n">
        <x:v>46225</x:v>
      </x:c>
      <x:c r="C1519" s="5" t="str">
        <x:v>CUST-0133</x:v>
      </x:c>
      <x:c r="D1519" s="5" t="str">
        <x:v>FD002</x:v>
      </x:c>
      <x:c r="E1519" s="5" t="str">
        <x:v>Jollof Rice &amp; Chicken</x:v>
      </x:c>
      <x:c r="F1519" s="5" t="str">
        <x:v>Rice Meals</x:v>
      </x:c>
      <x:c r="G1519" s="44" t="n">
        <x:v>2</x:v>
      </x:c>
      <x:c r="H1519" s="45" t="n">
        <x:v>2800</x:v>
      </x:c>
      <x:c r="I1519" s="46" t="n">
        <x:v>0</x:v>
      </x:c>
      <x:c r="J1519" s="47" t="n">
        <x:f>G1519*H1519*(1-I1519)</x:f>
        <x:v>5600</x:v>
      </x:c>
      <x:c r="K1519" s="47" t="n">
        <x:v>1450</x:v>
      </x:c>
      <x:c r="L1519" s="47" t="n">
        <x:f>G1519*K1519</x:f>
        <x:v>2900</x:v>
      </x:c>
      <x:c r="M1519" s="47" t="n">
        <x:f>J1519-L1519</x:f>
        <x:v>2700</x:v>
      </x:c>
      <x:c r="N1519" s="5" t="str">
        <x:v>Walk-in</x:v>
      </x:c>
      <x:c r="O1519" s="5" t="str">
        <x:v>POS</x:v>
      </x:c>
      <x:c r="P1519" s="5" t="str">
        <x:v>Dinner</x:v>
      </x:c>
      <x:c r="Q1519" s="48" t="n">
        <x:v>17</x:v>
      </x:c>
      <x:c r="R1519" s="5" t="n">
        <x:v>5</x:v>
      </x:c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5" t="str">
        <x:v>ORD-00559</x:v>
      </x:c>
      <x:c r="B1520" s="43" t="n">
        <x:v>46225</x:v>
      </x:c>
      <x:c r="C1520" s="5" t="str">
        <x:v>CUST-0317</x:v>
      </x:c>
      <x:c r="D1520" s="5" t="str">
        <x:v>FD007</x:v>
      </x:c>
      <x:c r="E1520" s="5" t="str">
        <x:v>Amala &amp; Ewedu</x:v>
      </x:c>
      <x:c r="F1520" s="5" t="str">
        <x:v>Swallow</x:v>
      </x:c>
      <x:c r="G1520" s="44" t="n">
        <x:v>2</x:v>
      </x:c>
      <x:c r="H1520" s="45" t="n">
        <x:v>2500</x:v>
      </x:c>
      <x:c r="I1520" s="46" t="n">
        <x:v>0</x:v>
      </x:c>
      <x:c r="J1520" s="47" t="n">
        <x:f>G1520*H1520*(1-I1520)</x:f>
        <x:v>5000</x:v>
      </x:c>
      <x:c r="K1520" s="47" t="n">
        <x:v>1250</x:v>
      </x:c>
      <x:c r="L1520" s="47" t="n">
        <x:f>G1520*K1520</x:f>
        <x:v>2500</x:v>
      </x:c>
      <x:c r="M1520" s="47" t="n">
        <x:f>J1520-L1520</x:f>
        <x:v>2500</x:v>
      </x:c>
      <x:c r="N1520" s="5" t="str">
        <x:v>Takeaway</x:v>
      </x:c>
      <x:c r="O1520" s="5" t="str">
        <x:v>Cash</x:v>
      </x:c>
      <x:c r="P1520" s="5" t="str">
        <x:v>Lunch</x:v>
      </x:c>
      <x:c r="Q1520" s="48" t="n">
        <x:v>15</x:v>
      </x:c>
      <x:c r="R1520" s="5" t="n">
        <x:v>4</x:v>
      </x:c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5" t="str">
        <x:v>ORD-00570</x:v>
      </x:c>
      <x:c r="B1521" s="43" t="n">
        <x:v>46225</x:v>
      </x:c>
      <x:c r="C1521" s="5" t="str">
        <x:v>CUST-0149</x:v>
      </x:c>
      <x:c r="D1521" s="5" t="str">
        <x:v>FD004</x:v>
      </x:c>
      <x:c r="E1521" s="5" t="str">
        <x:v>Beans &amp; Plantain</x:v>
      </x:c>
      <x:c r="F1521" s="5" t="str">
        <x:v>Traditional Meals</x:v>
      </x:c>
      <x:c r="G1521" s="44" t="n">
        <x:v>4</x:v>
      </x:c>
      <x:c r="H1521" s="45" t="n">
        <x:v>2000</x:v>
      </x:c>
      <x:c r="I1521" s="46" t="n">
        <x:v>0</x:v>
      </x:c>
      <x:c r="J1521" s="47" t="n">
        <x:f>G1521*H1521*(1-I1521)</x:f>
        <x:v>8000</x:v>
      </x:c>
      <x:c r="K1521" s="47" t="n">
        <x:v>960</x:v>
      </x:c>
      <x:c r="L1521" s="47" t="n">
        <x:f>G1521*K1521</x:f>
        <x:v>3840</x:v>
      </x:c>
      <x:c r="M1521" s="47" t="n">
        <x:f>J1521-L1521</x:f>
        <x:v>4160</x:v>
      </x:c>
      <x:c r="N1521" s="5" t="str">
        <x:v>Delivery</x:v>
      </x:c>
      <x:c r="O1521" s="5" t="str">
        <x:v>POS</x:v>
      </x:c>
      <x:c r="P1521" s="5" t="str">
        <x:v>Lunch</x:v>
      </x:c>
      <x:c r="Q1521" s="48" t="n">
        <x:v>11</x:v>
      </x:c>
      <x:c r="R1521" s="5" t="n">
        <x:v>5</x:v>
      </x:c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5" t="str">
        <x:v>ORD-00752</x:v>
      </x:c>
      <x:c r="B1522" s="43" t="n">
        <x:v>46225</x:v>
      </x:c>
      <x:c r="C1522" s="5" t="str">
        <x:v>CUST-0560</x:v>
      </x:c>
      <x:c r="D1522" s="5" t="str">
        <x:v>FD007</x:v>
      </x:c>
      <x:c r="E1522" s="5" t="str">
        <x:v>Amala &amp; Ewedu</x:v>
      </x:c>
      <x:c r="F1522" s="5" t="str">
        <x:v>Swallow</x:v>
      </x:c>
      <x:c r="G1522" s="44" t="n">
        <x:v>3</x:v>
      </x:c>
      <x:c r="H1522" s="45" t="n">
        <x:v>2500</x:v>
      </x:c>
      <x:c r="I1522" s="46" t="n">
        <x:v>0</x:v>
      </x:c>
      <x:c r="J1522" s="47" t="n">
        <x:f>G1522*H1522*(1-I1522)</x:f>
        <x:v>7500</x:v>
      </x:c>
      <x:c r="K1522" s="47" t="n">
        <x:v>1250</x:v>
      </x:c>
      <x:c r="L1522" s="47" t="n">
        <x:f>G1522*K1522</x:f>
        <x:v>3750</x:v>
      </x:c>
      <x:c r="M1522" s="47" t="n">
        <x:f>J1522-L1522</x:f>
        <x:v>3750</x:v>
      </x:c>
      <x:c r="N1522" s="5" t="str">
        <x:v>Takeaway</x:v>
      </x:c>
      <x:c r="O1522" s="5" t="str">
        <x:v>Cash</x:v>
      </x:c>
      <x:c r="P1522" s="5" t="str">
        <x:v>Dinner</x:v>
      </x:c>
      <x:c r="Q1522" s="48" t="n">
        <x:v>16</x:v>
      </x:c>
      <x:c r="R1522" s="5" t="n">
        <x:v>5</x:v>
      </x:c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5" t="str">
        <x:v>ORD-00891</x:v>
      </x:c>
      <x:c r="B1523" s="43" t="n">
        <x:v>46225</x:v>
      </x:c>
      <x:c r="C1523" s="5" t="str">
        <x:v>CUST-0009</x:v>
      </x:c>
      <x:c r="D1523" s="5" t="str">
        <x:v>FD008</x:v>
      </x:c>
      <x:c r="E1523" s="5" t="str">
        <x:v>Pounded Yam &amp; Vegetable Soup</x:v>
      </x:c>
      <x:c r="F1523" s="5" t="str">
        <x:v>Swallow</x:v>
      </x:c>
      <x:c r="G1523" s="44" t="n">
        <x:v>2</x:v>
      </x:c>
      <x:c r="H1523" s="45" t="n">
        <x:v>3200</x:v>
      </x:c>
      <x:c r="I1523" s="46" t="n">
        <x:v>0</x:v>
      </x:c>
      <x:c r="J1523" s="47" t="n">
        <x:f>G1523*H1523*(1-I1523)</x:f>
        <x:v>6400</x:v>
      </x:c>
      <x:c r="K1523" s="47" t="n">
        <x:v>1710</x:v>
      </x:c>
      <x:c r="L1523" s="47" t="n">
        <x:f>G1523*K1523</x:f>
        <x:v>3420</x:v>
      </x:c>
      <x:c r="M1523" s="47" t="n">
        <x:f>J1523-L1523</x:f>
        <x:v>2980</x:v>
      </x:c>
      <x:c r="N1523" s="5" t="str">
        <x:v>Walk-in</x:v>
      </x:c>
      <x:c r="O1523" s="5" t="str">
        <x:v>POS</x:v>
      </x:c>
      <x:c r="P1523" s="5" t="str">
        <x:v>Dinner</x:v>
      </x:c>
      <x:c r="Q1523" s="48" t="n">
        <x:v>20</x:v>
      </x:c>
      <x:c r="R1523" s="5" t="n">
        <x:v>4</x:v>
      </x:c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5" t="str">
        <x:v>ORD-00914</x:v>
      </x:c>
      <x:c r="B1524" s="43" t="n">
        <x:v>46225</x:v>
      </x:c>
      <x:c r="C1524" s="5" t="str">
        <x:v>CUST-0122</x:v>
      </x:c>
      <x:c r="D1524" s="5" t="str">
        <x:v>FD005</x:v>
      </x:c>
      <x:c r="E1524" s="5" t="str">
        <x:v>Yam Porridge</x:v>
      </x:c>
      <x:c r="F1524" s="5" t="str">
        <x:v>Traditional Meals</x:v>
      </x:c>
      <x:c r="G1524" s="44" t="n">
        <x:v>2</x:v>
      </x:c>
      <x:c r="H1524" s="45" t="n">
        <x:v>2200</x:v>
      </x:c>
      <x:c r="I1524" s="46" t="n">
        <x:v>0</x:v>
      </x:c>
      <x:c r="J1524" s="47" t="n">
        <x:f>G1524*H1524*(1-I1524)</x:f>
        <x:v>4400</x:v>
      </x:c>
      <x:c r="K1524" s="47" t="n">
        <x:v>1050</x:v>
      </x:c>
      <x:c r="L1524" s="47" t="n">
        <x:f>G1524*K1524</x:f>
        <x:v>2100</x:v>
      </x:c>
      <x:c r="M1524" s="47" t="n">
        <x:f>J1524-L1524</x:f>
        <x:v>2300</x:v>
      </x:c>
      <x:c r="N1524" s="5" t="str">
        <x:v>Walk-in</x:v>
      </x:c>
      <x:c r="O1524" s="5" t="str">
        <x:v>Cash</x:v>
      </x:c>
      <x:c r="P1524" s="5" t="str">
        <x:v>Lunch</x:v>
      </x:c>
      <x:c r="Q1524" s="48" t="n">
        <x:v>14</x:v>
      </x:c>
      <x:c r="R1524" s="5" t="n">
        <x:v>5</x:v>
      </x:c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5" t="str">
        <x:v>ORD-01211</x:v>
      </x:c>
      <x:c r="B1525" s="43" t="n">
        <x:v>46225</x:v>
      </x:c>
      <x:c r="C1525" s="5" t="str">
        <x:v>CUST-0173</x:v>
      </x:c>
      <x:c r="D1525" s="5" t="str">
        <x:v>FD003</x:v>
      </x:c>
      <x:c r="E1525" s="5" t="str">
        <x:v>Fried Rice &amp; Chicken</x:v>
      </x:c>
      <x:c r="F1525" s="5" t="str">
        <x:v>Rice Meals</x:v>
      </x:c>
      <x:c r="G1525" s="44" t="n">
        <x:v>3</x:v>
      </x:c>
      <x:c r="H1525" s="45" t="n">
        <x:v>3000</x:v>
      </x:c>
      <x:c r="I1525" s="46" t="n">
        <x:v>0</x:v>
      </x:c>
      <x:c r="J1525" s="47" t="n">
        <x:f>G1525*H1525*(1-I1525)</x:f>
        <x:v>9000</x:v>
      </x:c>
      <x:c r="K1525" s="47" t="n">
        <x:v>1580</x:v>
      </x:c>
      <x:c r="L1525" s="47" t="n">
        <x:f>G1525*K1525</x:f>
        <x:v>4740</x:v>
      </x:c>
      <x:c r="M1525" s="47" t="n">
        <x:f>J1525-L1525</x:f>
        <x:v>4260</x:v>
      </x:c>
      <x:c r="N1525" s="5" t="str">
        <x:v>Walk-in</x:v>
      </x:c>
      <x:c r="O1525" s="5" t="str">
        <x:v>POS</x:v>
      </x:c>
      <x:c r="P1525" s="5" t="str">
        <x:v>Lunch</x:v>
      </x:c>
      <x:c r="Q1525" s="48" t="n">
        <x:v>13</x:v>
      </x:c>
      <x:c r="R1525" s="5" t="n">
        <x:v>5</x:v>
      </x:c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5" t="str">
        <x:v>ORD-01304</x:v>
      </x:c>
      <x:c r="B1526" s="43" t="n">
        <x:v>46225</x:v>
      </x:c>
      <x:c r="C1526" s="5" t="str">
        <x:v>CUST-0314</x:v>
      </x:c>
      <x:c r="D1526" s="5" t="str">
        <x:v>FD002</x:v>
      </x:c>
      <x:c r="E1526" s="5" t="str">
        <x:v>Jollof Rice &amp; Chicken</x:v>
      </x:c>
      <x:c r="F1526" s="5" t="str">
        <x:v>Rice Meals</x:v>
      </x:c>
      <x:c r="G1526" s="44" t="n">
        <x:v>2</x:v>
      </x:c>
      <x:c r="H1526" s="45" t="n">
        <x:v>2800</x:v>
      </x:c>
      <x:c r="I1526" s="46" t="n">
        <x:v>0</x:v>
      </x:c>
      <x:c r="J1526" s="47" t="n">
        <x:f>G1526*H1526*(1-I1526)</x:f>
        <x:v>5600</x:v>
      </x:c>
      <x:c r="K1526" s="47" t="n">
        <x:v>1450</x:v>
      </x:c>
      <x:c r="L1526" s="47" t="n">
        <x:f>G1526*K1526</x:f>
        <x:v>2900</x:v>
      </x:c>
      <x:c r="M1526" s="47" t="n">
        <x:f>J1526-L1526</x:f>
        <x:v>2700</x:v>
      </x:c>
      <x:c r="N1526" s="5" t="str">
        <x:v>Delivery</x:v>
      </x:c>
      <x:c r="O1526" s="5" t="str">
        <x:v>Transfer</x:v>
      </x:c>
      <x:c r="P1526" s="5" t="str">
        <x:v>Dinner</x:v>
      </x:c>
      <x:c r="Q1526" s="48" t="n">
        <x:v>18</x:v>
      </x:c>
      <x:c r="R1526" s="5" t="n">
        <x:v>4</x:v>
      </x:c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5" t="str">
        <x:v>ORD-01388</x:v>
      </x:c>
      <x:c r="B1527" s="43" t="n">
        <x:v>46225</x:v>
      </x:c>
      <x:c r="C1527" s="5" t="str">
        <x:v>CUST-0002</x:v>
      </x:c>
      <x:c r="D1527" s="5" t="str">
        <x:v>FD008</x:v>
      </x:c>
      <x:c r="E1527" s="5" t="str">
        <x:v>Pounded Yam &amp; Vegetable Soup</x:v>
      </x:c>
      <x:c r="F1527" s="5" t="str">
        <x:v>Swallow</x:v>
      </x:c>
      <x:c r="G1527" s="44" t="n">
        <x:v>2</x:v>
      </x:c>
      <x:c r="H1527" s="45" t="n">
        <x:v>3200</x:v>
      </x:c>
      <x:c r="I1527" s="46" t="n">
        <x:v>0</x:v>
      </x:c>
      <x:c r="J1527" s="47" t="n">
        <x:f>G1527*H1527*(1-I1527)</x:f>
        <x:v>6400</x:v>
      </x:c>
      <x:c r="K1527" s="47" t="n">
        <x:v>1710</x:v>
      </x:c>
      <x:c r="L1527" s="47" t="n">
        <x:f>G1527*K1527</x:f>
        <x:v>3420</x:v>
      </x:c>
      <x:c r="M1527" s="47" t="n">
        <x:f>J1527-L1527</x:f>
        <x:v>2980</x:v>
      </x:c>
      <x:c r="N1527" s="5" t="str">
        <x:v>Walk-in</x:v>
      </x:c>
      <x:c r="O1527" s="5" t="str">
        <x:v>Transfer</x:v>
      </x:c>
      <x:c r="P1527" s="5" t="str">
        <x:v>Lunch</x:v>
      </x:c>
      <x:c r="Q1527" s="48" t="n">
        <x:v>11</x:v>
      </x:c>
      <x:c r="R1527" s="5" t="n">
        <x:v>4</x:v>
      </x:c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5" t="str">
        <x:v>ORD-01596</x:v>
      </x:c>
      <x:c r="B1528" s="43" t="n">
        <x:v>46225</x:v>
      </x:c>
      <x:c r="C1528" s="5" t="str">
        <x:v>CUST-0249</x:v>
      </x:c>
      <x:c r="D1528" s="5" t="str">
        <x:v>FD003</x:v>
      </x:c>
      <x:c r="E1528" s="5" t="str">
        <x:v>Fried Rice &amp; Chicken</x:v>
      </x:c>
      <x:c r="F1528" s="5" t="str">
        <x:v>Rice Meals</x:v>
      </x:c>
      <x:c r="G1528" s="44" t="n">
        <x:v>4</x:v>
      </x:c>
      <x:c r="H1528" s="45" t="n">
        <x:v>3000</x:v>
      </x:c>
      <x:c r="I1528" s="46" t="n">
        <x:v>0</x:v>
      </x:c>
      <x:c r="J1528" s="47" t="n">
        <x:f>G1528*H1528*(1-I1528)</x:f>
        <x:v>12000</x:v>
      </x:c>
      <x:c r="K1528" s="47" t="n">
        <x:v>1580</x:v>
      </x:c>
      <x:c r="L1528" s="47" t="n">
        <x:f>G1528*K1528</x:f>
        <x:v>6320</x:v>
      </x:c>
      <x:c r="M1528" s="47" t="n">
        <x:f>J1528-L1528</x:f>
        <x:v>5680</x:v>
      </x:c>
      <x:c r="N1528" s="5" t="str">
        <x:v>Takeaway</x:v>
      </x:c>
      <x:c r="O1528" s="5" t="str">
        <x:v>POS</x:v>
      </x:c>
      <x:c r="P1528" s="5" t="str">
        <x:v>Lunch</x:v>
      </x:c>
      <x:c r="Q1528" s="48" t="n">
        <x:v>13</x:v>
      </x:c>
      <x:c r="R1528" s="5" t="n">
        <x:v>4</x:v>
      </x:c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5" t="str">
        <x:v>ORD-01676</x:v>
      </x:c>
      <x:c r="B1529" s="43" t="n">
        <x:v>46225</x:v>
      </x:c>
      <x:c r="C1529" s="5" t="str">
        <x:v>CUST-0324</x:v>
      </x:c>
      <x:c r="D1529" s="5" t="str">
        <x:v>FD001</x:v>
      </x:c>
      <x:c r="E1529" s="5" t="str">
        <x:v>White Rice &amp; Stew</x:v>
      </x:c>
      <x:c r="F1529" s="5" t="str">
        <x:v>Rice Meals</x:v>
      </x:c>
      <x:c r="G1529" s="44" t="n">
        <x:v>2</x:v>
      </x:c>
      <x:c r="H1529" s="45" t="n">
        <x:v>1800</x:v>
      </x:c>
      <x:c r="I1529" s="46" t="n">
        <x:v>0</x:v>
      </x:c>
      <x:c r="J1529" s="47" t="n">
        <x:f>G1529*H1529*(1-I1529)</x:f>
        <x:v>3600</x:v>
      </x:c>
      <x:c r="K1529" s="47" t="n">
        <x:v>820</x:v>
      </x:c>
      <x:c r="L1529" s="47" t="n">
        <x:f>G1529*K1529</x:f>
        <x:v>1640</x:v>
      </x:c>
      <x:c r="M1529" s="47" t="n">
        <x:f>J1529-L1529</x:f>
        <x:v>1960</x:v>
      </x:c>
      <x:c r="N1529" s="5" t="str">
        <x:v>Takeaway</x:v>
      </x:c>
      <x:c r="O1529" s="5" t="str">
        <x:v>Cash</x:v>
      </x:c>
      <x:c r="P1529" s="5" t="str">
        <x:v>Breakfast</x:v>
      </x:c>
      <x:c r="Q1529" s="48" t="n">
        <x:v>10</x:v>
      </x:c>
      <x:c r="R1529" s="5" t="n">
        <x:v>4</x:v>
      </x:c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5" t="str">
        <x:v>ORD-01711</x:v>
      </x:c>
      <x:c r="B1530" s="43" t="n">
        <x:v>46225</x:v>
      </x:c>
      <x:c r="C1530" s="5" t="str">
        <x:v>CUST-0387</x:v>
      </x:c>
      <x:c r="D1530" s="5" t="str">
        <x:v>FD006</x:v>
      </x:c>
      <x:c r="E1530" s="5" t="str">
        <x:v>Eba &amp; Egusi Soup</x:v>
      </x:c>
      <x:c r="F1530" s="5" t="str">
        <x:v>Swallow</x:v>
      </x:c>
      <x:c r="G1530" s="44" t="n">
        <x:v>4</x:v>
      </x:c>
      <x:c r="H1530" s="45" t="n">
        <x:v>2600</x:v>
      </x:c>
      <x:c r="I1530" s="46" t="n">
        <x:v>0</x:v>
      </x:c>
      <x:c r="J1530" s="47" t="n">
        <x:f>G1530*H1530*(1-I1530)</x:f>
        <x:v>10400</x:v>
      </x:c>
      <x:c r="K1530" s="47" t="n">
        <x:v>1320</x:v>
      </x:c>
      <x:c r="L1530" s="47" t="n">
        <x:f>G1530*K1530</x:f>
        <x:v>5280</x:v>
      </x:c>
      <x:c r="M1530" s="47" t="n">
        <x:f>J1530-L1530</x:f>
        <x:v>5120</x:v>
      </x:c>
      <x:c r="N1530" s="5" t="str">
        <x:v>Walk-in</x:v>
      </x:c>
      <x:c r="O1530" s="5" t="str">
        <x:v>Transfer</x:v>
      </x:c>
      <x:c r="P1530" s="5" t="str">
        <x:v>Lunch</x:v>
      </x:c>
      <x:c r="Q1530" s="48" t="n">
        <x:v>12</x:v>
      </x:c>
      <x:c r="R1530" s="5" t="n">
        <x:v>5</x:v>
      </x:c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5" t="str">
        <x:v>ORD-00081</x:v>
      </x:c>
      <x:c r="B1531" s="43" t="n">
        <x:v>46226</x:v>
      </x:c>
      <x:c r="C1531" s="5" t="str">
        <x:v>CUST-0418</x:v>
      </x:c>
      <x:c r="D1531" s="5" t="str">
        <x:v>FD003</x:v>
      </x:c>
      <x:c r="E1531" s="5" t="str">
        <x:v>Fried Rice &amp; Chicken</x:v>
      </x:c>
      <x:c r="F1531" s="5" t="str">
        <x:v>Rice Meals</x:v>
      </x:c>
      <x:c r="G1531" s="44" t="n">
        <x:v>4</x:v>
      </x:c>
      <x:c r="H1531" s="45" t="n">
        <x:v>3000</x:v>
      </x:c>
      <x:c r="I1531" s="46" t="n">
        <x:v>0.05</x:v>
      </x:c>
      <x:c r="J1531" s="47" t="n">
        <x:f>G1531*H1531*(1-I1531)</x:f>
        <x:v>11400</x:v>
      </x:c>
      <x:c r="K1531" s="47" t="n">
        <x:v>1580</x:v>
      </x:c>
      <x:c r="L1531" s="47" t="n">
        <x:f>G1531*K1531</x:f>
        <x:v>6320</x:v>
      </x:c>
      <x:c r="M1531" s="47" t="n">
        <x:f>J1531-L1531</x:f>
        <x:v>5080</x:v>
      </x:c>
      <x:c r="N1531" s="5" t="str">
        <x:v>Walk-in</x:v>
      </x:c>
      <x:c r="O1531" s="5" t="str">
        <x:v>POS</x:v>
      </x:c>
      <x:c r="P1531" s="5" t="str">
        <x:v>Lunch</x:v>
      </x:c>
      <x:c r="Q1531" s="48" t="n">
        <x:v>12</x:v>
      </x:c>
      <x:c r="R1531" s="5" t="n">
        <x:v>5</x:v>
      </x:c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5" t="str">
        <x:v>ORD-00129</x:v>
      </x:c>
      <x:c r="B1532" s="43" t="n">
        <x:v>46226</x:v>
      </x:c>
      <x:c r="C1532" s="5" t="str">
        <x:v>CUST-0265</x:v>
      </x:c>
      <x:c r="D1532" s="5" t="str">
        <x:v>FD006</x:v>
      </x:c>
      <x:c r="E1532" s="5" t="str">
        <x:v>Eba &amp; Egusi Soup</x:v>
      </x:c>
      <x:c r="F1532" s="5" t="str">
        <x:v>Swallow</x:v>
      </x:c>
      <x:c r="G1532" s="44" t="n">
        <x:v>2</x:v>
      </x:c>
      <x:c r="H1532" s="45" t="n">
        <x:v>2600</x:v>
      </x:c>
      <x:c r="I1532" s="46" t="n">
        <x:v>0</x:v>
      </x:c>
      <x:c r="J1532" s="47" t="n">
        <x:f>G1532*H1532*(1-I1532)</x:f>
        <x:v>5200</x:v>
      </x:c>
      <x:c r="K1532" s="47" t="n">
        <x:v>1320</x:v>
      </x:c>
      <x:c r="L1532" s="47" t="n">
        <x:f>G1532*K1532</x:f>
        <x:v>2640</x:v>
      </x:c>
      <x:c r="M1532" s="47" t="n">
        <x:f>J1532-L1532</x:f>
        <x:v>2560</x:v>
      </x:c>
      <x:c r="N1532" s="5" t="str">
        <x:v>Takeaway</x:v>
      </x:c>
      <x:c r="O1532" s="5" t="str">
        <x:v>Cash</x:v>
      </x:c>
      <x:c r="P1532" s="5" t="str">
        <x:v>Lunch</x:v>
      </x:c>
      <x:c r="Q1532" s="48" t="n">
        <x:v>15</x:v>
      </x:c>
      <x:c r="R1532" s="5" t="n">
        <x:v>4</x:v>
      </x:c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5" t="str">
        <x:v>ORD-00391</x:v>
      </x:c>
      <x:c r="B1533" s="43" t="n">
        <x:v>46226</x:v>
      </x:c>
      <x:c r="C1533" s="5" t="str">
        <x:v>CUST-0088</x:v>
      </x:c>
      <x:c r="D1533" s="5" t="str">
        <x:v>FD004</x:v>
      </x:c>
      <x:c r="E1533" s="5" t="str">
        <x:v>Beans &amp; Plantain</x:v>
      </x:c>
      <x:c r="F1533" s="5" t="str">
        <x:v>Traditional Meals</x:v>
      </x:c>
      <x:c r="G1533" s="44" t="n">
        <x:v>1</x:v>
      </x:c>
      <x:c r="H1533" s="45" t="n">
        <x:v>2000</x:v>
      </x:c>
      <x:c r="I1533" s="46" t="n">
        <x:v>0.1</x:v>
      </x:c>
      <x:c r="J1533" s="47" t="n">
        <x:f>G1533*H1533*(1-I1533)</x:f>
        <x:v>1800</x:v>
      </x:c>
      <x:c r="K1533" s="47" t="n">
        <x:v>960</x:v>
      </x:c>
      <x:c r="L1533" s="47" t="n">
        <x:f>G1533*K1533</x:f>
        <x:v>960</x:v>
      </x:c>
      <x:c r="M1533" s="47" t="n">
        <x:f>J1533-L1533</x:f>
        <x:v>840</x:v>
      </x:c>
      <x:c r="N1533" s="5" t="str">
        <x:v>Delivery</x:v>
      </x:c>
      <x:c r="O1533" s="5" t="str">
        <x:v>Transfer</x:v>
      </x:c>
      <x:c r="P1533" s="5" t="str">
        <x:v>Lunch</x:v>
      </x:c>
      <x:c r="Q1533" s="48" t="n">
        <x:v>15</x:v>
      </x:c>
      <x:c r="R1533" s="5" t="n">
        <x:v>5</x:v>
      </x:c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5" t="str">
        <x:v>ORD-00554</x:v>
      </x:c>
      <x:c r="B1534" s="43" t="n">
        <x:v>46226</x:v>
      </x:c>
      <x:c r="C1534" s="5" t="str">
        <x:v>CUST-0455</x:v>
      </x:c>
      <x:c r="D1534" s="5" t="str">
        <x:v>FD007</x:v>
      </x:c>
      <x:c r="E1534" s="5" t="str">
        <x:v>Amala &amp; Ewedu</x:v>
      </x:c>
      <x:c r="F1534" s="5" t="str">
        <x:v>Swallow</x:v>
      </x:c>
      <x:c r="G1534" s="44" t="n">
        <x:v>2</x:v>
      </x:c>
      <x:c r="H1534" s="45" t="n">
        <x:v>2500</x:v>
      </x:c>
      <x:c r="I1534" s="46" t="n">
        <x:v>0</x:v>
      </x:c>
      <x:c r="J1534" s="47" t="n">
        <x:f>G1534*H1534*(1-I1534)</x:f>
        <x:v>5000</x:v>
      </x:c>
      <x:c r="K1534" s="47" t="n">
        <x:v>1250</x:v>
      </x:c>
      <x:c r="L1534" s="47" t="n">
        <x:f>G1534*K1534</x:f>
        <x:v>2500</x:v>
      </x:c>
      <x:c r="M1534" s="47" t="n">
        <x:f>J1534-L1534</x:f>
        <x:v>2500</x:v>
      </x:c>
      <x:c r="N1534" s="5" t="str">
        <x:v>Walk-in</x:v>
      </x:c>
      <x:c r="O1534" s="5" t="str">
        <x:v>Transfer</x:v>
      </x:c>
      <x:c r="P1534" s="5" t="str">
        <x:v>Breakfast</x:v>
      </x:c>
      <x:c r="Q1534" s="48" t="n">
        <x:v>10</x:v>
      </x:c>
      <x:c r="R1534" s="5" t="n">
        <x:v>4</x:v>
      </x:c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5" t="str">
        <x:v>ORD-00677</x:v>
      </x:c>
      <x:c r="B1535" s="43" t="n">
        <x:v>46226</x:v>
      </x:c>
      <x:c r="C1535" s="5" t="str">
        <x:v>CUST-0252</x:v>
      </x:c>
      <x:c r="D1535" s="5" t="str">
        <x:v>FD003</x:v>
      </x:c>
      <x:c r="E1535" s="5" t="str">
        <x:v>Fried Rice &amp; Chicken</x:v>
      </x:c>
      <x:c r="F1535" s="5" t="str">
        <x:v>Rice Meals</x:v>
      </x:c>
      <x:c r="G1535" s="44" t="n">
        <x:v>3</x:v>
      </x:c>
      <x:c r="H1535" s="45" t="n">
        <x:v>3000</x:v>
      </x:c>
      <x:c r="I1535" s="46" t="n">
        <x:v>0</x:v>
      </x:c>
      <x:c r="J1535" s="47" t="n">
        <x:f>G1535*H1535*(1-I1535)</x:f>
        <x:v>9000</x:v>
      </x:c>
      <x:c r="K1535" s="47" t="n">
        <x:v>1580</x:v>
      </x:c>
      <x:c r="L1535" s="47" t="n">
        <x:f>G1535*K1535</x:f>
        <x:v>4740</x:v>
      </x:c>
      <x:c r="M1535" s="47" t="n">
        <x:f>J1535-L1535</x:f>
        <x:v>4260</x:v>
      </x:c>
      <x:c r="N1535" s="5" t="str">
        <x:v>Takeaway</x:v>
      </x:c>
      <x:c r="O1535" s="5" t="str">
        <x:v>POS</x:v>
      </x:c>
      <x:c r="P1535" s="5" t="str">
        <x:v>Dinner</x:v>
      </x:c>
      <x:c r="Q1535" s="48" t="n">
        <x:v>18</x:v>
      </x:c>
      <x:c r="R1535" s="5" t="n">
        <x:v>5</x:v>
      </x:c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5" t="str">
        <x:v>ORD-01738</x:v>
      </x:c>
      <x:c r="B1536" s="43" t="n">
        <x:v>46226</x:v>
      </x:c>
      <x:c r="C1536" s="5" t="str">
        <x:v>CUST-0096</x:v>
      </x:c>
      <x:c r="D1536" s="5" t="str">
        <x:v>FD001</x:v>
      </x:c>
      <x:c r="E1536" s="5" t="str">
        <x:v>White Rice &amp; Stew</x:v>
      </x:c>
      <x:c r="F1536" s="5" t="str">
        <x:v>Rice Meals</x:v>
      </x:c>
      <x:c r="G1536" s="44" t="n">
        <x:v>4</x:v>
      </x:c>
      <x:c r="H1536" s="45" t="n">
        <x:v>1800</x:v>
      </x:c>
      <x:c r="I1536" s="46" t="n">
        <x:v>0</x:v>
      </x:c>
      <x:c r="J1536" s="47" t="n">
        <x:f>G1536*H1536*(1-I1536)</x:f>
        <x:v>7200</x:v>
      </x:c>
      <x:c r="K1536" s="47" t="n">
        <x:v>820</x:v>
      </x:c>
      <x:c r="L1536" s="47" t="n">
        <x:f>G1536*K1536</x:f>
        <x:v>3280</x:v>
      </x:c>
      <x:c r="M1536" s="47" t="n">
        <x:f>J1536-L1536</x:f>
        <x:v>3920</x:v>
      </x:c>
      <x:c r="N1536" s="5" t="str">
        <x:v>Takeaway</x:v>
      </x:c>
      <x:c r="O1536" s="5" t="str">
        <x:v>Cash</x:v>
      </x:c>
      <x:c r="P1536" s="5" t="str">
        <x:v>Breakfast</x:v>
      </x:c>
      <x:c r="Q1536" s="48" t="n">
        <x:v>8</x:v>
      </x:c>
      <x:c r="R1536" s="5" t="n">
        <x:v>5</x:v>
      </x:c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5" t="str">
        <x:v>ORD-00147</x:v>
      </x:c>
      <x:c r="B1537" s="43" t="n">
        <x:v>46227</x:v>
      </x:c>
      <x:c r="C1537" s="5" t="str">
        <x:v>CUST-0410</x:v>
      </x:c>
      <x:c r="D1537" s="5" t="str">
        <x:v>FD002</x:v>
      </x:c>
      <x:c r="E1537" s="5" t="str">
        <x:v>Jollof Rice &amp; Chicken</x:v>
      </x:c>
      <x:c r="F1537" s="5" t="str">
        <x:v>Rice Meals</x:v>
      </x:c>
      <x:c r="G1537" s="44" t="n">
        <x:v>1</x:v>
      </x:c>
      <x:c r="H1537" s="45" t="n">
        <x:v>2800</x:v>
      </x:c>
      <x:c r="I1537" s="46" t="n">
        <x:v>0</x:v>
      </x:c>
      <x:c r="J1537" s="47" t="n">
        <x:f>G1537*H1537*(1-I1537)</x:f>
        <x:v>2800</x:v>
      </x:c>
      <x:c r="K1537" s="47" t="n">
        <x:v>1450</x:v>
      </x:c>
      <x:c r="L1537" s="47" t="n">
        <x:f>G1537*K1537</x:f>
        <x:v>1450</x:v>
      </x:c>
      <x:c r="M1537" s="47" t="n">
        <x:f>J1537-L1537</x:f>
        <x:v>1350</x:v>
      </x:c>
      <x:c r="N1537" s="5" t="str">
        <x:v>Delivery</x:v>
      </x:c>
      <x:c r="O1537" s="5" t="str">
        <x:v>Cash</x:v>
      </x:c>
      <x:c r="P1537" s="5" t="str">
        <x:v>Dinner</x:v>
      </x:c>
      <x:c r="Q1537" s="48" t="n">
        <x:v>18</x:v>
      </x:c>
      <x:c r="R1537" s="5" t="n">
        <x:v>5</x:v>
      </x:c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5" t="str">
        <x:v>ORD-00393</x:v>
      </x:c>
      <x:c r="B1538" s="43" t="n">
        <x:v>46227</x:v>
      </x:c>
      <x:c r="C1538" s="5" t="str">
        <x:v>CUST-0415</x:v>
      </x:c>
      <x:c r="D1538" s="5" t="str">
        <x:v>FD002</x:v>
      </x:c>
      <x:c r="E1538" s="5" t="str">
        <x:v>Jollof Rice &amp; Chicken</x:v>
      </x:c>
      <x:c r="F1538" s="5" t="str">
        <x:v>Rice Meals</x:v>
      </x:c>
      <x:c r="G1538" s="44" t="n">
        <x:v>2</x:v>
      </x:c>
      <x:c r="H1538" s="45" t="n">
        <x:v>2800</x:v>
      </x:c>
      <x:c r="I1538" s="46" t="n">
        <x:v>0.1</x:v>
      </x:c>
      <x:c r="J1538" s="47" t="n">
        <x:f>G1538*H1538*(1-I1538)</x:f>
        <x:v>5040</x:v>
      </x:c>
      <x:c r="K1538" s="47" t="n">
        <x:v>1450</x:v>
      </x:c>
      <x:c r="L1538" s="47" t="n">
        <x:f>G1538*K1538</x:f>
        <x:v>2900</x:v>
      </x:c>
      <x:c r="M1538" s="47" t="n">
        <x:f>J1538-L1538</x:f>
        <x:v>2140</x:v>
      </x:c>
      <x:c r="N1538" s="5" t="str">
        <x:v>Takeaway</x:v>
      </x:c>
      <x:c r="O1538" s="5" t="str">
        <x:v>Transfer</x:v>
      </x:c>
      <x:c r="P1538" s="5" t="str">
        <x:v>Lunch</x:v>
      </x:c>
      <x:c r="Q1538" s="48" t="n">
        <x:v>13</x:v>
      </x:c>
      <x:c r="R1538" s="5" t="n">
        <x:v>4</x:v>
      </x:c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5" t="str">
        <x:v>ORD-00446</x:v>
      </x:c>
      <x:c r="B1539" s="43" t="n">
        <x:v>46227</x:v>
      </x:c>
      <x:c r="C1539" s="5" t="str">
        <x:v>CUST-0080</x:v>
      </x:c>
      <x:c r="D1539" s="5" t="str">
        <x:v>FD006</x:v>
      </x:c>
      <x:c r="E1539" s="5" t="str">
        <x:v>Eba &amp; Egusi Soup</x:v>
      </x:c>
      <x:c r="F1539" s="5" t="str">
        <x:v>Swallow</x:v>
      </x:c>
      <x:c r="G1539" s="44" t="n">
        <x:v>4</x:v>
      </x:c>
      <x:c r="H1539" s="45" t="n">
        <x:v>2600</x:v>
      </x:c>
      <x:c r="I1539" s="46" t="n">
        <x:v>0</x:v>
      </x:c>
      <x:c r="J1539" s="47" t="n">
        <x:f>G1539*H1539*(1-I1539)</x:f>
        <x:v>10400</x:v>
      </x:c>
      <x:c r="K1539" s="47" t="n">
        <x:v>1320</x:v>
      </x:c>
      <x:c r="L1539" s="47" t="n">
        <x:f>G1539*K1539</x:f>
        <x:v>5280</x:v>
      </x:c>
      <x:c r="M1539" s="47" t="n">
        <x:f>J1539-L1539</x:f>
        <x:v>5120</x:v>
      </x:c>
      <x:c r="N1539" s="5" t="str">
        <x:v>Takeaway</x:v>
      </x:c>
      <x:c r="O1539" s="5" t="str">
        <x:v>Cash</x:v>
      </x:c>
      <x:c r="P1539" s="5" t="str">
        <x:v>Dinner</x:v>
      </x:c>
      <x:c r="Q1539" s="48" t="n">
        <x:v>17</x:v>
      </x:c>
      <x:c r="R1539" s="5" t="n">
        <x:v>4</x:v>
      </x:c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5" t="str">
        <x:v>ORD-00760</x:v>
      </x:c>
      <x:c r="B1540" s="43" t="n">
        <x:v>46227</x:v>
      </x:c>
      <x:c r="C1540" s="5" t="str">
        <x:v>CUST-0643</x:v>
      </x:c>
      <x:c r="D1540" s="5" t="str">
        <x:v>FD010</x:v>
      </x:c>
      <x:c r="E1540" s="5" t="str">
        <x:v>Soft Drink</x:v>
      </x:c>
      <x:c r="F1540" s="5" t="str">
        <x:v>Beverages</x:v>
      </x:c>
      <x:c r="G1540" s="44" t="n">
        <x:v>3</x:v>
      </x:c>
      <x:c r="H1540" s="45" t="n">
        <x:v>600</x:v>
      </x:c>
      <x:c r="I1540" s="46" t="n">
        <x:v>0</x:v>
      </x:c>
      <x:c r="J1540" s="47" t="n">
        <x:f>G1540*H1540*(1-I1540)</x:f>
        <x:v>1800</x:v>
      </x:c>
      <x:c r="K1540" s="47" t="n">
        <x:v>280</x:v>
      </x:c>
      <x:c r="L1540" s="47" t="n">
        <x:f>G1540*K1540</x:f>
        <x:v>840</x:v>
      </x:c>
      <x:c r="M1540" s="47" t="n">
        <x:f>J1540-L1540</x:f>
        <x:v>960</x:v>
      </x:c>
      <x:c r="N1540" s="5" t="str">
        <x:v>Delivery</x:v>
      </x:c>
      <x:c r="O1540" s="5" t="str">
        <x:v>POS</x:v>
      </x:c>
      <x:c r="P1540" s="5" t="str">
        <x:v>Dinner</x:v>
      </x:c>
      <x:c r="Q1540" s="48" t="n">
        <x:v>17</x:v>
      </x:c>
      <x:c r="R1540" s="5" t="n">
        <x:v>4</x:v>
      </x:c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5" t="str">
        <x:v>ORD-00201</x:v>
      </x:c>
      <x:c r="B1541" s="43" t="n">
        <x:v>46228</x:v>
      </x:c>
      <x:c r="C1541" s="5" t="str">
        <x:v>CUST-0527</x:v>
      </x:c>
      <x:c r="D1541" s="5" t="str">
        <x:v>FD001</x:v>
      </x:c>
      <x:c r="E1541" s="5" t="str">
        <x:v>White Rice &amp; Stew</x:v>
      </x:c>
      <x:c r="F1541" s="5" t="str">
        <x:v>Rice Meals</x:v>
      </x:c>
      <x:c r="G1541" s="44" t="n">
        <x:v>3</x:v>
      </x:c>
      <x:c r="H1541" s="45" t="n">
        <x:v>1800</x:v>
      </x:c>
      <x:c r="I1541" s="46" t="n">
        <x:v>0</x:v>
      </x:c>
      <x:c r="J1541" s="47" t="n">
        <x:f>G1541*H1541*(1-I1541)</x:f>
        <x:v>5400</x:v>
      </x:c>
      <x:c r="K1541" s="47" t="n">
        <x:v>820</x:v>
      </x:c>
      <x:c r="L1541" s="47" t="n">
        <x:f>G1541*K1541</x:f>
        <x:v>2460</x:v>
      </x:c>
      <x:c r="M1541" s="47" t="n">
        <x:f>J1541-L1541</x:f>
        <x:v>2940</x:v>
      </x:c>
      <x:c r="N1541" s="5" t="str">
        <x:v>Delivery</x:v>
      </x:c>
      <x:c r="O1541" s="5" t="str">
        <x:v>Transfer</x:v>
      </x:c>
      <x:c r="P1541" s="5" t="str">
        <x:v>Lunch</x:v>
      </x:c>
      <x:c r="Q1541" s="48" t="n">
        <x:v>11</x:v>
      </x:c>
      <x:c r="R1541" s="5" t="n">
        <x:v>3</x:v>
      </x:c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5" t="str">
        <x:v>ORD-00245</x:v>
      </x:c>
      <x:c r="B1542" s="43" t="n">
        <x:v>46228</x:v>
      </x:c>
      <x:c r="C1542" s="5" t="str">
        <x:v>CUST-0232</x:v>
      </x:c>
      <x:c r="D1542" s="5" t="str">
        <x:v>FD011</x:v>
      </x:c>
      <x:c r="E1542" s="5" t="str">
        <x:v>Bottled Water</x:v>
      </x:c>
      <x:c r="F1542" s="5" t="str">
        <x:v>Beverages</x:v>
      </x:c>
      <x:c r="G1542" s="44" t="n">
        <x:v>4</x:v>
      </x:c>
      <x:c r="H1542" s="45" t="n">
        <x:v>300</x:v>
      </x:c>
      <x:c r="I1542" s="46" t="n">
        <x:v>0</x:v>
      </x:c>
      <x:c r="J1542" s="47" t="n">
        <x:f>G1542*H1542*(1-I1542)</x:f>
        <x:v>1200</x:v>
      </x:c>
      <x:c r="K1542" s="47" t="n">
        <x:v>120</x:v>
      </x:c>
      <x:c r="L1542" s="47" t="n">
        <x:f>G1542*K1542</x:f>
        <x:v>480</x:v>
      </x:c>
      <x:c r="M1542" s="47" t="n">
        <x:f>J1542-L1542</x:f>
        <x:v>720</x:v>
      </x:c>
      <x:c r="N1542" s="5" t="str">
        <x:v>Walk-in</x:v>
      </x:c>
      <x:c r="O1542" s="5" t="str">
        <x:v>Transfer</x:v>
      </x:c>
      <x:c r="P1542" s="5" t="str">
        <x:v>Lunch</x:v>
      </x:c>
      <x:c r="Q1542" s="48" t="n">
        <x:v>13</x:v>
      </x:c>
      <x:c r="R1542" s="5" t="n">
        <x:v>4</x:v>
      </x:c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5" t="str">
        <x:v>ORD-00689</x:v>
      </x:c>
      <x:c r="B1543" s="43" t="n">
        <x:v>46228</x:v>
      </x:c>
      <x:c r="C1543" s="5" t="str">
        <x:v>CUST-0041</x:v>
      </x:c>
      <x:c r="D1543" s="5" t="str">
        <x:v>FD007</x:v>
      </x:c>
      <x:c r="E1543" s="5" t="str">
        <x:v>Amala &amp; Ewedu</x:v>
      </x:c>
      <x:c r="F1543" s="5" t="str">
        <x:v>Swallow</x:v>
      </x:c>
      <x:c r="G1543" s="44" t="n">
        <x:v>2</x:v>
      </x:c>
      <x:c r="H1543" s="45" t="n">
        <x:v>2500</x:v>
      </x:c>
      <x:c r="I1543" s="46" t="n">
        <x:v>0</x:v>
      </x:c>
      <x:c r="J1543" s="47" t="n">
        <x:f>G1543*H1543*(1-I1543)</x:f>
        <x:v>5000</x:v>
      </x:c>
      <x:c r="K1543" s="47" t="n">
        <x:v>1250</x:v>
      </x:c>
      <x:c r="L1543" s="47" t="n">
        <x:f>G1543*K1543</x:f>
        <x:v>2500</x:v>
      </x:c>
      <x:c r="M1543" s="47" t="n">
        <x:f>J1543-L1543</x:f>
        <x:v>2500</x:v>
      </x:c>
      <x:c r="N1543" s="5" t="str">
        <x:v>Delivery</x:v>
      </x:c>
      <x:c r="O1543" s="5" t="str">
        <x:v>Transfer</x:v>
      </x:c>
      <x:c r="P1543" s="5" t="str">
        <x:v>Dinner</x:v>
      </x:c>
      <x:c r="Q1543" s="48" t="n">
        <x:v>17</x:v>
      </x:c>
      <x:c r="R1543" s="5" t="n">
        <x:v>4</x:v>
      </x:c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5" t="str">
        <x:v>ORD-00843</x:v>
      </x:c>
      <x:c r="B1544" s="43" t="n">
        <x:v>46228</x:v>
      </x:c>
      <x:c r="C1544" s="5" t="str">
        <x:v>CUST-0031</x:v>
      </x:c>
      <x:c r="D1544" s="5" t="str">
        <x:v>FD010</x:v>
      </x:c>
      <x:c r="E1544" s="5" t="str">
        <x:v>Soft Drink</x:v>
      </x:c>
      <x:c r="F1544" s="5" t="str">
        <x:v>Beverages</x:v>
      </x:c>
      <x:c r="G1544" s="44" t="n">
        <x:v>2</x:v>
      </x:c>
      <x:c r="H1544" s="45" t="n">
        <x:v>600</x:v>
      </x:c>
      <x:c r="I1544" s="46" t="n">
        <x:v>0</x:v>
      </x:c>
      <x:c r="J1544" s="47" t="n">
        <x:f>G1544*H1544*(1-I1544)</x:f>
        <x:v>1200</x:v>
      </x:c>
      <x:c r="K1544" s="47" t="n">
        <x:v>280</x:v>
      </x:c>
      <x:c r="L1544" s="47" t="n">
        <x:f>G1544*K1544</x:f>
        <x:v>560</x:v>
      </x:c>
      <x:c r="M1544" s="47" t="n">
        <x:f>J1544-L1544</x:f>
        <x:v>640</x:v>
      </x:c>
      <x:c r="N1544" s="5" t="str">
        <x:v>Walk-in</x:v>
      </x:c>
      <x:c r="O1544" s="5" t="str">
        <x:v>Transfer</x:v>
      </x:c>
      <x:c r="P1544" s="5" t="str">
        <x:v>Dinner</x:v>
      </x:c>
      <x:c r="Q1544" s="48" t="n">
        <x:v>19</x:v>
      </x:c>
      <x:c r="R1544" s="5" t="n">
        <x:v>4</x:v>
      </x:c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5" t="str">
        <x:v>ORD-00880</x:v>
      </x:c>
      <x:c r="B1545" s="43" t="n">
        <x:v>46228</x:v>
      </x:c>
      <x:c r="C1545" s="5" t="str">
        <x:v>CUST-0028</x:v>
      </x:c>
      <x:c r="D1545" s="5" t="str">
        <x:v>FD003</x:v>
      </x:c>
      <x:c r="E1545" s="5" t="str">
        <x:v>Fried Rice &amp; Chicken</x:v>
      </x:c>
      <x:c r="F1545" s="5" t="str">
        <x:v>Rice Meals</x:v>
      </x:c>
      <x:c r="G1545" s="44" t="n">
        <x:v>3</x:v>
      </x:c>
      <x:c r="H1545" s="45" t="n">
        <x:v>3000</x:v>
      </x:c>
      <x:c r="I1545" s="46" t="n">
        <x:v>0</x:v>
      </x:c>
      <x:c r="J1545" s="47" t="n">
        <x:f>G1545*H1545*(1-I1545)</x:f>
        <x:v>9000</x:v>
      </x:c>
      <x:c r="K1545" s="47" t="n">
        <x:v>1580</x:v>
      </x:c>
      <x:c r="L1545" s="47" t="n">
        <x:f>G1545*K1545</x:f>
        <x:v>4740</x:v>
      </x:c>
      <x:c r="M1545" s="47" t="n">
        <x:f>J1545-L1545</x:f>
        <x:v>4260</x:v>
      </x:c>
      <x:c r="N1545" s="5" t="str">
        <x:v>Walk-in</x:v>
      </x:c>
      <x:c r="O1545" s="5" t="str">
        <x:v>Cash</x:v>
      </x:c>
      <x:c r="P1545" s="5" t="str">
        <x:v>Dinner</x:v>
      </x:c>
      <x:c r="Q1545" s="48" t="n">
        <x:v>20</x:v>
      </x:c>
      <x:c r="R1545" s="5" t="n">
        <x:v>4</x:v>
      </x:c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5" t="str">
        <x:v>ORD-01170</x:v>
      </x:c>
      <x:c r="B1546" s="43" t="n">
        <x:v>46228</x:v>
      </x:c>
      <x:c r="C1546" s="5" t="str">
        <x:v>CUST-0240</x:v>
      </x:c>
      <x:c r="D1546" s="5" t="str">
        <x:v>FD008</x:v>
      </x:c>
      <x:c r="E1546" s="5" t="str">
        <x:v>Pounded Yam &amp; Vegetable Soup</x:v>
      </x:c>
      <x:c r="F1546" s="5" t="str">
        <x:v>Swallow</x:v>
      </x:c>
      <x:c r="G1546" s="44" t="n">
        <x:v>1</x:v>
      </x:c>
      <x:c r="H1546" s="45" t="n">
        <x:v>3200</x:v>
      </x:c>
      <x:c r="I1546" s="46" t="n">
        <x:v>0.05</x:v>
      </x:c>
      <x:c r="J1546" s="47" t="n">
        <x:f>G1546*H1546*(1-I1546)</x:f>
        <x:v>3040</x:v>
      </x:c>
      <x:c r="K1546" s="47" t="n">
        <x:v>1710</x:v>
      </x:c>
      <x:c r="L1546" s="47" t="n">
        <x:f>G1546*K1546</x:f>
        <x:v>1710</x:v>
      </x:c>
      <x:c r="M1546" s="47" t="n">
        <x:f>J1546-L1546</x:f>
        <x:v>1330</x:v>
      </x:c>
      <x:c r="N1546" s="5" t="str">
        <x:v>Walk-in</x:v>
      </x:c>
      <x:c r="O1546" s="5" t="str">
        <x:v>Cash</x:v>
      </x:c>
      <x:c r="P1546" s="5" t="str">
        <x:v>Breakfast</x:v>
      </x:c>
      <x:c r="Q1546" s="48" t="n">
        <x:v>9</x:v>
      </x:c>
      <x:c r="R1546" s="5" t="n">
        <x:v>4</x:v>
      </x:c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5" t="str">
        <x:v>ORD-01582</x:v>
      </x:c>
      <x:c r="B1547" s="43" t="n">
        <x:v>46228</x:v>
      </x:c>
      <x:c r="C1547" s="5" t="str">
        <x:v>CUST-0620</x:v>
      </x:c>
      <x:c r="D1547" s="5" t="str">
        <x:v>FD002</x:v>
      </x:c>
      <x:c r="E1547" s="5" t="str">
        <x:v>Jollof Rice &amp; Chicken</x:v>
      </x:c>
      <x:c r="F1547" s="5" t="str">
        <x:v>Rice Meals</x:v>
      </x:c>
      <x:c r="G1547" s="44" t="n">
        <x:v>1</x:v>
      </x:c>
      <x:c r="H1547" s="45" t="n">
        <x:v>2800</x:v>
      </x:c>
      <x:c r="I1547" s="46" t="n">
        <x:v>0</x:v>
      </x:c>
      <x:c r="J1547" s="47" t="n">
        <x:f>G1547*H1547*(1-I1547)</x:f>
        <x:v>2800</x:v>
      </x:c>
      <x:c r="K1547" s="47" t="n">
        <x:v>1450</x:v>
      </x:c>
      <x:c r="L1547" s="47" t="n">
        <x:f>G1547*K1547</x:f>
        <x:v>1450</x:v>
      </x:c>
      <x:c r="M1547" s="47" t="n">
        <x:f>J1547-L1547</x:f>
        <x:v>1350</x:v>
      </x:c>
      <x:c r="N1547" s="5" t="str">
        <x:v>Takeaway</x:v>
      </x:c>
      <x:c r="O1547" s="5" t="str">
        <x:v>Transfer</x:v>
      </x:c>
      <x:c r="P1547" s="5" t="str">
        <x:v>Breakfast</x:v>
      </x:c>
      <x:c r="Q1547" s="48" t="n">
        <x:v>10</x:v>
      </x:c>
      <x:c r="R1547" s="5" t="n">
        <x:v>4</x:v>
      </x:c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5" t="str">
        <x:v>ORD-01607</x:v>
      </x:c>
      <x:c r="B1548" s="43" t="n">
        <x:v>46228</x:v>
      </x:c>
      <x:c r="C1548" s="5" t="str">
        <x:v>CUST-0025</x:v>
      </x:c>
      <x:c r="D1548" s="5" t="str">
        <x:v>FD009</x:v>
      </x:c>
      <x:c r="E1548" s="5" t="str">
        <x:v>Moi Moi</x:v>
      </x:c>
      <x:c r="F1548" s="5" t="str">
        <x:v>Sides</x:v>
      </x:c>
      <x:c r="G1548" s="44" t="n">
        <x:v>2</x:v>
      </x:c>
      <x:c r="H1548" s="45" t="n">
        <x:v>900</x:v>
      </x:c>
      <x:c r="I1548" s="46" t="n">
        <x:v>0</x:v>
      </x:c>
      <x:c r="J1548" s="47" t="n">
        <x:f>G1548*H1548*(1-I1548)</x:f>
        <x:v>1800</x:v>
      </x:c>
      <x:c r="K1548" s="47" t="n">
        <x:v>380</x:v>
      </x:c>
      <x:c r="L1548" s="47" t="n">
        <x:f>G1548*K1548</x:f>
        <x:v>760</x:v>
      </x:c>
      <x:c r="M1548" s="47" t="n">
        <x:f>J1548-L1548</x:f>
        <x:v>1040</x:v>
      </x:c>
      <x:c r="N1548" s="5" t="str">
        <x:v>Walk-in</x:v>
      </x:c>
      <x:c r="O1548" s="5" t="str">
        <x:v>POS</x:v>
      </x:c>
      <x:c r="P1548" s="5" t="str">
        <x:v>Lunch</x:v>
      </x:c>
      <x:c r="Q1548" s="48" t="n">
        <x:v>15</x:v>
      </x:c>
      <x:c r="R1548" s="5" t="n">
        <x:v>3</x:v>
      </x:c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5" t="str">
        <x:v>ORD-01701</x:v>
      </x:c>
      <x:c r="B1549" s="43" t="n">
        <x:v>46228</x:v>
      </x:c>
      <x:c r="C1549" s="5" t="str">
        <x:v>CUST-0224</x:v>
      </x:c>
      <x:c r="D1549" s="5" t="str">
        <x:v>FD002</x:v>
      </x:c>
      <x:c r="E1549" s="5" t="str">
        <x:v>Jollof Rice &amp; Chicken</x:v>
      </x:c>
      <x:c r="F1549" s="5" t="str">
        <x:v>Rice Meals</x:v>
      </x:c>
      <x:c r="G1549" s="44" t="n">
        <x:v>4</x:v>
      </x:c>
      <x:c r="H1549" s="45" t="n">
        <x:v>2800</x:v>
      </x:c>
      <x:c r="I1549" s="46" t="n">
        <x:v>0</x:v>
      </x:c>
      <x:c r="J1549" s="47" t="n">
        <x:f>G1549*H1549*(1-I1549)</x:f>
        <x:v>11200</x:v>
      </x:c>
      <x:c r="K1549" s="47" t="n">
        <x:v>1450</x:v>
      </x:c>
      <x:c r="L1549" s="47" t="n">
        <x:f>G1549*K1549</x:f>
        <x:v>5800</x:v>
      </x:c>
      <x:c r="M1549" s="47" t="n">
        <x:f>J1549-L1549</x:f>
        <x:v>5400</x:v>
      </x:c>
      <x:c r="N1549" s="5" t="str">
        <x:v>Walk-in</x:v>
      </x:c>
      <x:c r="O1549" s="5" t="str">
        <x:v>POS</x:v>
      </x:c>
      <x:c r="P1549" s="5" t="str">
        <x:v>Lunch</x:v>
      </x:c>
      <x:c r="Q1549" s="48" t="n">
        <x:v>14</x:v>
      </x:c>
      <x:c r="R1549" s="5" t="n">
        <x:v>3</x:v>
      </x:c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5" t="str">
        <x:v>ORD-00188</x:v>
      </x:c>
      <x:c r="B1550" s="43" t="n">
        <x:v>46229</x:v>
      </x:c>
      <x:c r="C1550" s="5" t="str">
        <x:v>CUST-0334</x:v>
      </x:c>
      <x:c r="D1550" s="5" t="str">
        <x:v>FD001</x:v>
      </x:c>
      <x:c r="E1550" s="5" t="str">
        <x:v>White Rice &amp; Stew</x:v>
      </x:c>
      <x:c r="F1550" s="5" t="str">
        <x:v>Rice Meals</x:v>
      </x:c>
      <x:c r="G1550" s="44" t="n">
        <x:v>3</x:v>
      </x:c>
      <x:c r="H1550" s="45" t="n">
        <x:v>1800</x:v>
      </x:c>
      <x:c r="I1550" s="46" t="n">
        <x:v>0</x:v>
      </x:c>
      <x:c r="J1550" s="47" t="n">
        <x:f>G1550*H1550*(1-I1550)</x:f>
        <x:v>5400</x:v>
      </x:c>
      <x:c r="K1550" s="47" t="n">
        <x:v>820</x:v>
      </x:c>
      <x:c r="L1550" s="47" t="n">
        <x:f>G1550*K1550</x:f>
        <x:v>2460</x:v>
      </x:c>
      <x:c r="M1550" s="47" t="n">
        <x:f>J1550-L1550</x:f>
        <x:v>2940</x:v>
      </x:c>
      <x:c r="N1550" s="5" t="str">
        <x:v>Walk-in</x:v>
      </x:c>
      <x:c r="O1550" s="5" t="str">
        <x:v>Transfer</x:v>
      </x:c>
      <x:c r="P1550" s="5" t="str">
        <x:v>Lunch</x:v>
      </x:c>
      <x:c r="Q1550" s="48" t="n">
        <x:v>15</x:v>
      </x:c>
      <x:c r="R1550" s="5" t="n">
        <x:v>5</x:v>
      </x:c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5" t="str">
        <x:v>ORD-01068</x:v>
      </x:c>
      <x:c r="B1551" s="43" t="n">
        <x:v>46229</x:v>
      </x:c>
      <x:c r="C1551" s="5" t="str">
        <x:v>CUST-0626</x:v>
      </x:c>
      <x:c r="D1551" s="5" t="str">
        <x:v>FD010</x:v>
      </x:c>
      <x:c r="E1551" s="5" t="str">
        <x:v>Soft Drink</x:v>
      </x:c>
      <x:c r="F1551" s="5" t="str">
        <x:v>Beverages</x:v>
      </x:c>
      <x:c r="G1551" s="44" t="n">
        <x:v>3</x:v>
      </x:c>
      <x:c r="H1551" s="45" t="n">
        <x:v>600</x:v>
      </x:c>
      <x:c r="I1551" s="46" t="n">
        <x:v>0</x:v>
      </x:c>
      <x:c r="J1551" s="47" t="n">
        <x:f>G1551*H1551*(1-I1551)</x:f>
        <x:v>1800</x:v>
      </x:c>
      <x:c r="K1551" s="47" t="n">
        <x:v>280</x:v>
      </x:c>
      <x:c r="L1551" s="47" t="n">
        <x:f>G1551*K1551</x:f>
        <x:v>840</x:v>
      </x:c>
      <x:c r="M1551" s="47" t="n">
        <x:f>J1551-L1551</x:f>
        <x:v>960</x:v>
      </x:c>
      <x:c r="N1551" s="5" t="str">
        <x:v>Takeaway</x:v>
      </x:c>
      <x:c r="O1551" s="5" t="str">
        <x:v>Cash</x:v>
      </x:c>
      <x:c r="P1551" s="5" t="str">
        <x:v>Breakfast</x:v>
      </x:c>
      <x:c r="Q1551" s="48" t="n">
        <x:v>9</x:v>
      </x:c>
      <x:c r="R1551" s="5" t="n">
        <x:v>3</x:v>
      </x:c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5" t="str">
        <x:v>ORD-00217</x:v>
      </x:c>
      <x:c r="B1552" s="43" t="n">
        <x:v>46230</x:v>
      </x:c>
      <x:c r="C1552" s="5" t="str">
        <x:v>CUST-0583</x:v>
      </x:c>
      <x:c r="D1552" s="5" t="str">
        <x:v>FD001</x:v>
      </x:c>
      <x:c r="E1552" s="5" t="str">
        <x:v>White Rice &amp; Stew</x:v>
      </x:c>
      <x:c r="F1552" s="5" t="str">
        <x:v>Rice Meals</x:v>
      </x:c>
      <x:c r="G1552" s="44" t="n">
        <x:v>2</x:v>
      </x:c>
      <x:c r="H1552" s="45" t="n">
        <x:v>1800</x:v>
      </x:c>
      <x:c r="I1552" s="46" t="n">
        <x:v>0</x:v>
      </x:c>
      <x:c r="J1552" s="47" t="n">
        <x:f>G1552*H1552*(1-I1552)</x:f>
        <x:v>3600</x:v>
      </x:c>
      <x:c r="K1552" s="47" t="n">
        <x:v>820</x:v>
      </x:c>
      <x:c r="L1552" s="47" t="n">
        <x:f>G1552*K1552</x:f>
        <x:v>1640</x:v>
      </x:c>
      <x:c r="M1552" s="47" t="n">
        <x:f>J1552-L1552</x:f>
        <x:v>1960</x:v>
      </x:c>
      <x:c r="N1552" s="5" t="str">
        <x:v>Walk-in</x:v>
      </x:c>
      <x:c r="O1552" s="5" t="str">
        <x:v>Cash</x:v>
      </x:c>
      <x:c r="P1552" s="5" t="str">
        <x:v>Dinner</x:v>
      </x:c>
      <x:c r="Q1552" s="48" t="n">
        <x:v>16</x:v>
      </x:c>
      <x:c r="R1552" s="5" t="n">
        <x:v>5</x:v>
      </x:c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5" t="str">
        <x:v>ORD-00498</x:v>
      </x:c>
      <x:c r="B1553" s="43" t="n">
        <x:v>46230</x:v>
      </x:c>
      <x:c r="C1553" s="5" t="str">
        <x:v>CUST-0232</x:v>
      </x:c>
      <x:c r="D1553" s="5" t="str">
        <x:v>FD005</x:v>
      </x:c>
      <x:c r="E1553" s="5" t="str">
        <x:v>Yam Porridge</x:v>
      </x:c>
      <x:c r="F1553" s="5" t="str">
        <x:v>Traditional Meals</x:v>
      </x:c>
      <x:c r="G1553" s="44" t="n">
        <x:v>1</x:v>
      </x:c>
      <x:c r="H1553" s="45" t="n">
        <x:v>2200</x:v>
      </x:c>
      <x:c r="I1553" s="46" t="n">
        <x:v>0</x:v>
      </x:c>
      <x:c r="J1553" s="47" t="n">
        <x:f>G1553*H1553*(1-I1553)</x:f>
        <x:v>2200</x:v>
      </x:c>
      <x:c r="K1553" s="47" t="n">
        <x:v>1050</x:v>
      </x:c>
      <x:c r="L1553" s="47" t="n">
        <x:f>G1553*K1553</x:f>
        <x:v>1050</x:v>
      </x:c>
      <x:c r="M1553" s="47" t="n">
        <x:f>J1553-L1553</x:f>
        <x:v>1150</x:v>
      </x:c>
      <x:c r="N1553" s="5" t="str">
        <x:v>Walk-in</x:v>
      </x:c>
      <x:c r="O1553" s="5" t="str">
        <x:v>Cash</x:v>
      </x:c>
      <x:c r="P1553" s="5" t="str">
        <x:v>Dinner</x:v>
      </x:c>
      <x:c r="Q1553" s="48" t="n">
        <x:v>20</x:v>
      </x:c>
      <x:c r="R1553" s="5" t="n">
        <x:v>3</x:v>
      </x:c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5" t="str">
        <x:v>ORD-00501</x:v>
      </x:c>
      <x:c r="B1554" s="43" t="n">
        <x:v>46230</x:v>
      </x:c>
      <x:c r="C1554" s="5" t="str">
        <x:v>CUST-0467</x:v>
      </x:c>
      <x:c r="D1554" s="5" t="str">
        <x:v>FD001</x:v>
      </x:c>
      <x:c r="E1554" s="5" t="str">
        <x:v>White Rice &amp; Stew</x:v>
      </x:c>
      <x:c r="F1554" s="5" t="str">
        <x:v>Rice Meals</x:v>
      </x:c>
      <x:c r="G1554" s="44" t="n">
        <x:v>1</x:v>
      </x:c>
      <x:c r="H1554" s="45" t="n">
        <x:v>1800</x:v>
      </x:c>
      <x:c r="I1554" s="46" t="n">
        <x:v>0</x:v>
      </x:c>
      <x:c r="J1554" s="47" t="n">
        <x:f>G1554*H1554*(1-I1554)</x:f>
        <x:v>1800</x:v>
      </x:c>
      <x:c r="K1554" s="47" t="n">
        <x:v>820</x:v>
      </x:c>
      <x:c r="L1554" s="47" t="n">
        <x:f>G1554*K1554</x:f>
        <x:v>820</x:v>
      </x:c>
      <x:c r="M1554" s="47" t="n">
        <x:f>J1554-L1554</x:f>
        <x:v>980</x:v>
      </x:c>
      <x:c r="N1554" s="5" t="str">
        <x:v>Walk-in</x:v>
      </x:c>
      <x:c r="O1554" s="5" t="str">
        <x:v>Cash</x:v>
      </x:c>
      <x:c r="P1554" s="5" t="str">
        <x:v>Lunch</x:v>
      </x:c>
      <x:c r="Q1554" s="48" t="n">
        <x:v>13</x:v>
      </x:c>
      <x:c r="R1554" s="5" t="n">
        <x:v>3</x:v>
      </x:c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5" t="str">
        <x:v>ORD-00836</x:v>
      </x:c>
      <x:c r="B1555" s="43" t="n">
        <x:v>46230</x:v>
      </x:c>
      <x:c r="C1555" s="5" t="str">
        <x:v>CUST-0436</x:v>
      </x:c>
      <x:c r="D1555" s="5" t="str">
        <x:v>FD001</x:v>
      </x:c>
      <x:c r="E1555" s="5" t="str">
        <x:v>White Rice &amp; Stew</x:v>
      </x:c>
      <x:c r="F1555" s="5" t="str">
        <x:v>Rice Meals</x:v>
      </x:c>
      <x:c r="G1555" s="44" t="n">
        <x:v>1</x:v>
      </x:c>
      <x:c r="H1555" s="45" t="n">
        <x:v>1800</x:v>
      </x:c>
      <x:c r="I1555" s="46" t="n">
        <x:v>0</x:v>
      </x:c>
      <x:c r="J1555" s="47" t="n">
        <x:f>G1555*H1555*(1-I1555)</x:f>
        <x:v>1800</x:v>
      </x:c>
      <x:c r="K1555" s="47" t="n">
        <x:v>820</x:v>
      </x:c>
      <x:c r="L1555" s="47" t="n">
        <x:f>G1555*K1555</x:f>
        <x:v>820</x:v>
      </x:c>
      <x:c r="M1555" s="47" t="n">
        <x:f>J1555-L1555</x:f>
        <x:v>980</x:v>
      </x:c>
      <x:c r="N1555" s="5" t="str">
        <x:v>Walk-in</x:v>
      </x:c>
      <x:c r="O1555" s="5" t="str">
        <x:v>POS</x:v>
      </x:c>
      <x:c r="P1555" s="5" t="str">
        <x:v>Lunch</x:v>
      </x:c>
      <x:c r="Q1555" s="48" t="n">
        <x:v>15</x:v>
      </x:c>
      <x:c r="R1555" s="5" t="n">
        <x:v>4</x:v>
      </x:c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5" t="str">
        <x:v>ORD-01104</x:v>
      </x:c>
      <x:c r="B1556" s="43" t="n">
        <x:v>46230</x:v>
      </x:c>
      <x:c r="C1556" s="5" t="str">
        <x:v>CUST-0173</x:v>
      </x:c>
      <x:c r="D1556" s="5" t="str">
        <x:v>FD006</x:v>
      </x:c>
      <x:c r="E1556" s="5" t="str">
        <x:v>Eba &amp; Egusi Soup</x:v>
      </x:c>
      <x:c r="F1556" s="5" t="str">
        <x:v>Swallow</x:v>
      </x:c>
      <x:c r="G1556" s="44" t="n">
        <x:v>3</x:v>
      </x:c>
      <x:c r="H1556" s="45" t="n">
        <x:v>2600</x:v>
      </x:c>
      <x:c r="I1556" s="46" t="n">
        <x:v>0</x:v>
      </x:c>
      <x:c r="J1556" s="47" t="n">
        <x:f>G1556*H1556*(1-I1556)</x:f>
        <x:v>7800</x:v>
      </x:c>
      <x:c r="K1556" s="47" t="n">
        <x:v>1320</x:v>
      </x:c>
      <x:c r="L1556" s="47" t="n">
        <x:f>G1556*K1556</x:f>
        <x:v>3960</x:v>
      </x:c>
      <x:c r="M1556" s="47" t="n">
        <x:f>J1556-L1556</x:f>
        <x:v>3840</x:v>
      </x:c>
      <x:c r="N1556" s="5" t="str">
        <x:v>Walk-in</x:v>
      </x:c>
      <x:c r="O1556" s="5" t="str">
        <x:v>POS</x:v>
      </x:c>
      <x:c r="P1556" s="5" t="str">
        <x:v>Breakfast</x:v>
      </x:c>
      <x:c r="Q1556" s="48" t="n">
        <x:v>8</x:v>
      </x:c>
      <x:c r="R1556" s="5" t="n">
        <x:v>4</x:v>
      </x:c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5" t="str">
        <x:v>ORD-01268</x:v>
      </x:c>
      <x:c r="B1557" s="43" t="n">
        <x:v>46230</x:v>
      </x:c>
      <x:c r="C1557" s="5" t="str">
        <x:v>CUST-0207</x:v>
      </x:c>
      <x:c r="D1557" s="5" t="str">
        <x:v>FD002</x:v>
      </x:c>
      <x:c r="E1557" s="5" t="str">
        <x:v>Jollof Rice &amp; Chicken</x:v>
      </x:c>
      <x:c r="F1557" s="5" t="str">
        <x:v>Rice Meals</x:v>
      </x:c>
      <x:c r="G1557" s="44" t="n">
        <x:v>1</x:v>
      </x:c>
      <x:c r="H1557" s="45" t="n">
        <x:v>2800</x:v>
      </x:c>
      <x:c r="I1557" s="46" t="n">
        <x:v>0.1</x:v>
      </x:c>
      <x:c r="J1557" s="47" t="n">
        <x:f>G1557*H1557*(1-I1557)</x:f>
        <x:v>2520</x:v>
      </x:c>
      <x:c r="K1557" s="47" t="n">
        <x:v>1450</x:v>
      </x:c>
      <x:c r="L1557" s="47" t="n">
        <x:f>G1557*K1557</x:f>
        <x:v>1450</x:v>
      </x:c>
      <x:c r="M1557" s="47" t="n">
        <x:f>J1557-L1557</x:f>
        <x:v>1070</x:v>
      </x:c>
      <x:c r="N1557" s="5" t="str">
        <x:v>Walk-in</x:v>
      </x:c>
      <x:c r="O1557" s="5" t="str">
        <x:v>Transfer</x:v>
      </x:c>
      <x:c r="P1557" s="5" t="str">
        <x:v>Lunch</x:v>
      </x:c>
      <x:c r="Q1557" s="48" t="n">
        <x:v>13</x:v>
      </x:c>
      <x:c r="R1557" s="5" t="n">
        <x:v>5</x:v>
      </x:c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5" t="str">
        <x:v>ORD-01331</x:v>
      </x:c>
      <x:c r="B1558" s="43" t="n">
        <x:v>46230</x:v>
      </x:c>
      <x:c r="C1558" s="5" t="str">
        <x:v>CUST-0026</x:v>
      </x:c>
      <x:c r="D1558" s="5" t="str">
        <x:v>FD011</x:v>
      </x:c>
      <x:c r="E1558" s="5" t="str">
        <x:v>Bottled Water</x:v>
      </x:c>
      <x:c r="F1558" s="5" t="str">
        <x:v>Beverages</x:v>
      </x:c>
      <x:c r="G1558" s="44" t="n">
        <x:v>2</x:v>
      </x:c>
      <x:c r="H1558" s="45" t="n">
        <x:v>300</x:v>
      </x:c>
      <x:c r="I1558" s="46" t="n">
        <x:v>0</x:v>
      </x:c>
      <x:c r="J1558" s="47" t="n">
        <x:f>G1558*H1558*(1-I1558)</x:f>
        <x:v>600</x:v>
      </x:c>
      <x:c r="K1558" s="47" t="n">
        <x:v>120</x:v>
      </x:c>
      <x:c r="L1558" s="47" t="n">
        <x:f>G1558*K1558</x:f>
        <x:v>240</x:v>
      </x:c>
      <x:c r="M1558" s="47" t="n">
        <x:f>J1558-L1558</x:f>
        <x:v>360</x:v>
      </x:c>
      <x:c r="N1558" s="5" t="str">
        <x:v>Takeaway</x:v>
      </x:c>
      <x:c r="O1558" s="5" t="str">
        <x:v>POS</x:v>
      </x:c>
      <x:c r="P1558" s="5" t="str">
        <x:v>Dinner</x:v>
      </x:c>
      <x:c r="Q1558" s="48" t="n">
        <x:v>17</x:v>
      </x:c>
      <x:c r="R1558" s="5" t="n">
        <x:v>4</x:v>
      </x:c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5" t="str">
        <x:v>ORD-01777</x:v>
      </x:c>
      <x:c r="B1559" s="43" t="n">
        <x:v>46230</x:v>
      </x:c>
      <x:c r="C1559" s="5" t="str">
        <x:v>CUST-0409</x:v>
      </x:c>
      <x:c r="D1559" s="5" t="str">
        <x:v>FD010</x:v>
      </x:c>
      <x:c r="E1559" s="5" t="str">
        <x:v>Soft Drink</x:v>
      </x:c>
      <x:c r="F1559" s="5" t="str">
        <x:v>Beverages</x:v>
      </x:c>
      <x:c r="G1559" s="44" t="n">
        <x:v>4</x:v>
      </x:c>
      <x:c r="H1559" s="45" t="n">
        <x:v>600</x:v>
      </x:c>
      <x:c r="I1559" s="46" t="n">
        <x:v>0</x:v>
      </x:c>
      <x:c r="J1559" s="47" t="n">
        <x:f>G1559*H1559*(1-I1559)</x:f>
        <x:v>2400</x:v>
      </x:c>
      <x:c r="K1559" s="47" t="n">
        <x:v>280</x:v>
      </x:c>
      <x:c r="L1559" s="47" t="n">
        <x:f>G1559*K1559</x:f>
        <x:v>1120</x:v>
      </x:c>
      <x:c r="M1559" s="47" t="n">
        <x:f>J1559-L1559</x:f>
        <x:v>1280</x:v>
      </x:c>
      <x:c r="N1559" s="5" t="str">
        <x:v>Walk-in</x:v>
      </x:c>
      <x:c r="O1559" s="5" t="str">
        <x:v>POS</x:v>
      </x:c>
      <x:c r="P1559" s="5" t="str">
        <x:v>Dinner</x:v>
      </x:c>
      <x:c r="Q1559" s="48" t="n">
        <x:v>17</x:v>
      </x:c>
      <x:c r="R1559" s="5" t="n">
        <x:v>4</x:v>
      </x:c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5" t="str">
        <x:v>ORD-00130</x:v>
      </x:c>
      <x:c r="B1560" s="43" t="n">
        <x:v>46231</x:v>
      </x:c>
      <x:c r="C1560" s="5" t="str">
        <x:v>CUST-0112</x:v>
      </x:c>
      <x:c r="D1560" s="5" t="str">
        <x:v>FD003</x:v>
      </x:c>
      <x:c r="E1560" s="5" t="str">
        <x:v>Fried Rice &amp; Chicken</x:v>
      </x:c>
      <x:c r="F1560" s="5" t="str">
        <x:v>Rice Meals</x:v>
      </x:c>
      <x:c r="G1560" s="44" t="n">
        <x:v>2</x:v>
      </x:c>
      <x:c r="H1560" s="45" t="n">
        <x:v>3000</x:v>
      </x:c>
      <x:c r="I1560" s="46" t="n">
        <x:v>0</x:v>
      </x:c>
      <x:c r="J1560" s="47" t="n">
        <x:f>G1560*H1560*(1-I1560)</x:f>
        <x:v>6000</x:v>
      </x:c>
      <x:c r="K1560" s="47" t="n">
        <x:v>1580</x:v>
      </x:c>
      <x:c r="L1560" s="47" t="n">
        <x:f>G1560*K1560</x:f>
        <x:v>3160</x:v>
      </x:c>
      <x:c r="M1560" s="47" t="n">
        <x:f>J1560-L1560</x:f>
        <x:v>2840</x:v>
      </x:c>
      <x:c r="N1560" s="5" t="str">
        <x:v>Takeaway</x:v>
      </x:c>
      <x:c r="O1560" s="5" t="str">
        <x:v>POS</x:v>
      </x:c>
      <x:c r="P1560" s="5" t="str">
        <x:v>Dinner</x:v>
      </x:c>
      <x:c r="Q1560" s="48" t="n">
        <x:v>19</x:v>
      </x:c>
      <x:c r="R1560" s="5" t="n">
        <x:v>4</x:v>
      </x:c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5" t="str">
        <x:v>ORD-00272</x:v>
      </x:c>
      <x:c r="B1561" s="43" t="n">
        <x:v>46231</x:v>
      </x:c>
      <x:c r="C1561" s="5" t="str">
        <x:v>CUST-0471</x:v>
      </x:c>
      <x:c r="D1561" s="5" t="str">
        <x:v>FD007</x:v>
      </x:c>
      <x:c r="E1561" s="5" t="str">
        <x:v>Amala &amp; Ewedu</x:v>
      </x:c>
      <x:c r="F1561" s="5" t="str">
        <x:v>Swallow</x:v>
      </x:c>
      <x:c r="G1561" s="44" t="n">
        <x:v>1</x:v>
      </x:c>
      <x:c r="H1561" s="45" t="n">
        <x:v>2500</x:v>
      </x:c>
      <x:c r="I1561" s="46" t="n">
        <x:v>0</x:v>
      </x:c>
      <x:c r="J1561" s="47" t="n">
        <x:f>G1561*H1561*(1-I1561)</x:f>
        <x:v>2500</x:v>
      </x:c>
      <x:c r="K1561" s="47" t="n">
        <x:v>1250</x:v>
      </x:c>
      <x:c r="L1561" s="47" t="n">
        <x:f>G1561*K1561</x:f>
        <x:v>1250</x:v>
      </x:c>
      <x:c r="M1561" s="47" t="n">
        <x:f>J1561-L1561</x:f>
        <x:v>1250</x:v>
      </x:c>
      <x:c r="N1561" s="5" t="str">
        <x:v>Delivery</x:v>
      </x:c>
      <x:c r="O1561" s="5" t="str">
        <x:v>Transfer</x:v>
      </x:c>
      <x:c r="P1561" s="5" t="str">
        <x:v>Lunch</x:v>
      </x:c>
      <x:c r="Q1561" s="48" t="n">
        <x:v>14</x:v>
      </x:c>
      <x:c r="R1561" s="5" t="n">
        <x:v>4</x:v>
      </x:c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5" t="str">
        <x:v>ORD-00846</x:v>
      </x:c>
      <x:c r="B1562" s="43" t="n">
        <x:v>46231</x:v>
      </x:c>
      <x:c r="C1562" s="5" t="str">
        <x:v>CUST-0368</x:v>
      </x:c>
      <x:c r="D1562" s="5" t="str">
        <x:v>FD003</x:v>
      </x:c>
      <x:c r="E1562" s="5" t="str">
        <x:v>Fried Rice &amp; Chicken</x:v>
      </x:c>
      <x:c r="F1562" s="5" t="str">
        <x:v>Rice Meals</x:v>
      </x:c>
      <x:c r="G1562" s="44" t="n">
        <x:v>3</x:v>
      </x:c>
      <x:c r="H1562" s="45" t="n">
        <x:v>3000</x:v>
      </x:c>
      <x:c r="I1562" s="46" t="n">
        <x:v>0</x:v>
      </x:c>
      <x:c r="J1562" s="47" t="n">
        <x:f>G1562*H1562*(1-I1562)</x:f>
        <x:v>9000</x:v>
      </x:c>
      <x:c r="K1562" s="47" t="n">
        <x:v>1580</x:v>
      </x:c>
      <x:c r="L1562" s="47" t="n">
        <x:f>G1562*K1562</x:f>
        <x:v>4740</x:v>
      </x:c>
      <x:c r="M1562" s="47" t="n">
        <x:f>J1562-L1562</x:f>
        <x:v>4260</x:v>
      </x:c>
      <x:c r="N1562" s="5" t="str">
        <x:v>Walk-in</x:v>
      </x:c>
      <x:c r="O1562" s="5" t="str">
        <x:v>Transfer</x:v>
      </x:c>
      <x:c r="P1562" s="5" t="str">
        <x:v>Lunch</x:v>
      </x:c>
      <x:c r="Q1562" s="48" t="n">
        <x:v>15</x:v>
      </x:c>
      <x:c r="R1562" s="5" t="n">
        <x:v>5</x:v>
      </x:c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5" t="str">
        <x:v>ORD-01197</x:v>
      </x:c>
      <x:c r="B1563" s="43" t="n">
        <x:v>46231</x:v>
      </x:c>
      <x:c r="C1563" s="5" t="str">
        <x:v>CUST-0061</x:v>
      </x:c>
      <x:c r="D1563" s="5" t="str">
        <x:v>FD008</x:v>
      </x:c>
      <x:c r="E1563" s="5" t="str">
        <x:v>Pounded Yam &amp; Vegetable Soup</x:v>
      </x:c>
      <x:c r="F1563" s="5" t="str">
        <x:v>Swallow</x:v>
      </x:c>
      <x:c r="G1563" s="44" t="n">
        <x:v>1</x:v>
      </x:c>
      <x:c r="H1563" s="45" t="n">
        <x:v>3200</x:v>
      </x:c>
      <x:c r="I1563" s="46" t="n">
        <x:v>0</x:v>
      </x:c>
      <x:c r="J1563" s="47" t="n">
        <x:f>G1563*H1563*(1-I1563)</x:f>
        <x:v>3200</x:v>
      </x:c>
      <x:c r="K1563" s="47" t="n">
        <x:v>1710</x:v>
      </x:c>
      <x:c r="L1563" s="47" t="n">
        <x:f>G1563*K1563</x:f>
        <x:v>1710</x:v>
      </x:c>
      <x:c r="M1563" s="47" t="n">
        <x:f>J1563-L1563</x:f>
        <x:v>1490</x:v>
      </x:c>
      <x:c r="N1563" s="5" t="str">
        <x:v>Walk-in</x:v>
      </x:c>
      <x:c r="O1563" s="5" t="str">
        <x:v>Cash</x:v>
      </x:c>
      <x:c r="P1563" s="5" t="str">
        <x:v>Lunch</x:v>
      </x:c>
      <x:c r="Q1563" s="48" t="n">
        <x:v>14</x:v>
      </x:c>
      <x:c r="R1563" s="5" t="n">
        <x:v>5</x:v>
      </x:c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5" t="str">
        <x:v>ORD-01241</x:v>
      </x:c>
      <x:c r="B1564" s="43" t="n">
        <x:v>46231</x:v>
      </x:c>
      <x:c r="C1564" s="5" t="str">
        <x:v>CUST-0017</x:v>
      </x:c>
      <x:c r="D1564" s="5" t="str">
        <x:v>FD006</x:v>
      </x:c>
      <x:c r="E1564" s="5" t="str">
        <x:v>Eba &amp; Egusi Soup</x:v>
      </x:c>
      <x:c r="F1564" s="5" t="str">
        <x:v>Swallow</x:v>
      </x:c>
      <x:c r="G1564" s="44" t="n">
        <x:v>1</x:v>
      </x:c>
      <x:c r="H1564" s="45" t="n">
        <x:v>2600</x:v>
      </x:c>
      <x:c r="I1564" s="46" t="n">
        <x:v>0.1</x:v>
      </x:c>
      <x:c r="J1564" s="47" t="n">
        <x:f>G1564*H1564*(1-I1564)</x:f>
        <x:v>2340</x:v>
      </x:c>
      <x:c r="K1564" s="47" t="n">
        <x:v>1320</x:v>
      </x:c>
      <x:c r="L1564" s="47" t="n">
        <x:f>G1564*K1564</x:f>
        <x:v>1320</x:v>
      </x:c>
      <x:c r="M1564" s="47" t="n">
        <x:f>J1564-L1564</x:f>
        <x:v>1020</x:v>
      </x:c>
      <x:c r="N1564" s="5" t="str">
        <x:v>Walk-in</x:v>
      </x:c>
      <x:c r="O1564" s="5" t="str">
        <x:v>POS</x:v>
      </x:c>
      <x:c r="P1564" s="5" t="str">
        <x:v>Lunch</x:v>
      </x:c>
      <x:c r="Q1564" s="48" t="n">
        <x:v>14</x:v>
      </x:c>
      <x:c r="R1564" s="5" t="n">
        <x:v>5</x:v>
      </x:c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5" t="str">
        <x:v>ORD-01626</x:v>
      </x:c>
      <x:c r="B1565" s="43" t="n">
        <x:v>46231</x:v>
      </x:c>
      <x:c r="C1565" s="5" t="str">
        <x:v>CUST-0090</x:v>
      </x:c>
      <x:c r="D1565" s="5" t="str">
        <x:v>FD006</x:v>
      </x:c>
      <x:c r="E1565" s="5" t="str">
        <x:v>Eba &amp; Egusi Soup</x:v>
      </x:c>
      <x:c r="F1565" s="5" t="str">
        <x:v>Swallow</x:v>
      </x:c>
      <x:c r="G1565" s="44" t="n">
        <x:v>4</x:v>
      </x:c>
      <x:c r="H1565" s="45" t="n">
        <x:v>2600</x:v>
      </x:c>
      <x:c r="I1565" s="46" t="n">
        <x:v>0</x:v>
      </x:c>
      <x:c r="J1565" s="47" t="n">
        <x:f>G1565*H1565*(1-I1565)</x:f>
        <x:v>10400</x:v>
      </x:c>
      <x:c r="K1565" s="47" t="n">
        <x:v>1320</x:v>
      </x:c>
      <x:c r="L1565" s="47" t="n">
        <x:f>G1565*K1565</x:f>
        <x:v>5280</x:v>
      </x:c>
      <x:c r="M1565" s="47" t="n">
        <x:f>J1565-L1565</x:f>
        <x:v>5120</x:v>
      </x:c>
      <x:c r="N1565" s="5" t="str">
        <x:v>Walk-in</x:v>
      </x:c>
      <x:c r="O1565" s="5" t="str">
        <x:v>Transfer</x:v>
      </x:c>
      <x:c r="P1565" s="5" t="str">
        <x:v>Dinner</x:v>
      </x:c>
      <x:c r="Q1565" s="48" t="n">
        <x:v>17</x:v>
      </x:c>
      <x:c r="R1565" s="5" t="n">
        <x:v>5</x:v>
      </x:c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5" t="str">
        <x:v>ORD-01688</x:v>
      </x:c>
      <x:c r="B1566" s="43" t="n">
        <x:v>46231</x:v>
      </x:c>
      <x:c r="C1566" s="5" t="str">
        <x:v>CUST-0373</x:v>
      </x:c>
      <x:c r="D1566" s="5" t="str">
        <x:v>FD003</x:v>
      </x:c>
      <x:c r="E1566" s="5" t="str">
        <x:v>Fried Rice &amp; Chicken</x:v>
      </x:c>
      <x:c r="F1566" s="5" t="str">
        <x:v>Rice Meals</x:v>
      </x:c>
      <x:c r="G1566" s="44" t="n">
        <x:v>1</x:v>
      </x:c>
      <x:c r="H1566" s="45" t="n">
        <x:v>3000</x:v>
      </x:c>
      <x:c r="I1566" s="46" t="n">
        <x:v>0</x:v>
      </x:c>
      <x:c r="J1566" s="47" t="n">
        <x:f>G1566*H1566*(1-I1566)</x:f>
        <x:v>3000</x:v>
      </x:c>
      <x:c r="K1566" s="47" t="n">
        <x:v>1580</x:v>
      </x:c>
      <x:c r="L1566" s="47" t="n">
        <x:f>G1566*K1566</x:f>
        <x:v>1580</x:v>
      </x:c>
      <x:c r="M1566" s="47" t="n">
        <x:f>J1566-L1566</x:f>
        <x:v>1420</x:v>
      </x:c>
      <x:c r="N1566" s="5" t="str">
        <x:v>Takeaway</x:v>
      </x:c>
      <x:c r="O1566" s="5" t="str">
        <x:v>Transfer</x:v>
      </x:c>
      <x:c r="P1566" s="5" t="str">
        <x:v>Lunch</x:v>
      </x:c>
      <x:c r="Q1566" s="48" t="n">
        <x:v>13</x:v>
      </x:c>
      <x:c r="R1566" s="5" t="n">
        <x:v>4</x:v>
      </x:c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5" t="str">
        <x:v>ORD-00456</x:v>
      </x:c>
      <x:c r="B1567" s="43" t="n">
        <x:v>46232</x:v>
      </x:c>
      <x:c r="C1567" s="5" t="str">
        <x:v>CUST-0337</x:v>
      </x:c>
      <x:c r="D1567" s="5" t="str">
        <x:v>FD004</x:v>
      </x:c>
      <x:c r="E1567" s="5" t="str">
        <x:v>Beans &amp; Plantain</x:v>
      </x:c>
      <x:c r="F1567" s="5" t="str">
        <x:v>Traditional Meals</x:v>
      </x:c>
      <x:c r="G1567" s="44" t="n">
        <x:v>3</x:v>
      </x:c>
      <x:c r="H1567" s="45" t="n">
        <x:v>2000</x:v>
      </x:c>
      <x:c r="I1567" s="46" t="n">
        <x:v>0</x:v>
      </x:c>
      <x:c r="J1567" s="47" t="n">
        <x:f>G1567*H1567*(1-I1567)</x:f>
        <x:v>6000</x:v>
      </x:c>
      <x:c r="K1567" s="47" t="n">
        <x:v>960</x:v>
      </x:c>
      <x:c r="L1567" s="47" t="n">
        <x:f>G1567*K1567</x:f>
        <x:v>2880</x:v>
      </x:c>
      <x:c r="M1567" s="47" t="n">
        <x:f>J1567-L1567</x:f>
        <x:v>3120</x:v>
      </x:c>
      <x:c r="N1567" s="5" t="str">
        <x:v>Takeaway</x:v>
      </x:c>
      <x:c r="O1567" s="5" t="str">
        <x:v>Cash</x:v>
      </x:c>
      <x:c r="P1567" s="5" t="str">
        <x:v>Lunch</x:v>
      </x:c>
      <x:c r="Q1567" s="48" t="n">
        <x:v>15</x:v>
      </x:c>
      <x:c r="R1567" s="5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5" t="str">
        <x:v>ORD-00957</x:v>
      </x:c>
      <x:c r="B1568" s="43" t="n">
        <x:v>46232</x:v>
      </x:c>
      <x:c r="C1568" s="5" t="str">
        <x:v>CUST-0130</x:v>
      </x:c>
      <x:c r="D1568" s="5" t="str">
        <x:v>FD002</x:v>
      </x:c>
      <x:c r="E1568" s="5" t="str">
        <x:v>Jollof Rice &amp; Chicken</x:v>
      </x:c>
      <x:c r="F1568" s="5" t="str">
        <x:v>Rice Meals</x:v>
      </x:c>
      <x:c r="G1568" s="44" t="n">
        <x:v>2</x:v>
      </x:c>
      <x:c r="H1568" s="45" t="n">
        <x:v>2800</x:v>
      </x:c>
      <x:c r="I1568" s="46" t="n">
        <x:v>0</x:v>
      </x:c>
      <x:c r="J1568" s="47" t="n">
        <x:f>G1568*H1568*(1-I1568)</x:f>
        <x:v>5600</x:v>
      </x:c>
      <x:c r="K1568" s="47" t="n">
        <x:v>1450</x:v>
      </x:c>
      <x:c r="L1568" s="47" t="n">
        <x:f>G1568*K1568</x:f>
        <x:v>2900</x:v>
      </x:c>
      <x:c r="M1568" s="47" t="n">
        <x:f>J1568-L1568</x:f>
        <x:v>2700</x:v>
      </x:c>
      <x:c r="N1568" s="5" t="str">
        <x:v>Walk-in</x:v>
      </x:c>
      <x:c r="O1568" s="5" t="str">
        <x:v>POS</x:v>
      </x:c>
      <x:c r="P1568" s="5" t="str">
        <x:v>Dinner</x:v>
      </x:c>
      <x:c r="Q1568" s="48" t="n">
        <x:v>18</x:v>
      </x:c>
      <x:c r="R1568" s="5" t="n">
        <x:v>3</x:v>
      </x:c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5" t="str">
        <x:v>ORD-01055</x:v>
      </x:c>
      <x:c r="B1569" s="43" t="n">
        <x:v>46232</x:v>
      </x:c>
      <x:c r="C1569" s="5" t="str">
        <x:v>CUST-0622</x:v>
      </x:c>
      <x:c r="D1569" s="5" t="str">
        <x:v>FD003</x:v>
      </x:c>
      <x:c r="E1569" s="5" t="str">
        <x:v>Fried Rice &amp; Chicken</x:v>
      </x:c>
      <x:c r="F1569" s="5" t="str">
        <x:v>Rice Meals</x:v>
      </x:c>
      <x:c r="G1569" s="44" t="n">
        <x:v>4</x:v>
      </x:c>
      <x:c r="H1569" s="45" t="n">
        <x:v>3000</x:v>
      </x:c>
      <x:c r="I1569" s="46" t="n">
        <x:v>0.05</x:v>
      </x:c>
      <x:c r="J1569" s="47" t="n">
        <x:f>G1569*H1569*(1-I1569)</x:f>
        <x:v>11400</x:v>
      </x:c>
      <x:c r="K1569" s="47" t="n">
        <x:v>1580</x:v>
      </x:c>
      <x:c r="L1569" s="47" t="n">
        <x:f>G1569*K1569</x:f>
        <x:v>6320</x:v>
      </x:c>
      <x:c r="M1569" s="47" t="n">
        <x:f>J1569-L1569</x:f>
        <x:v>5080</x:v>
      </x:c>
      <x:c r="N1569" s="5" t="str">
        <x:v>Walk-in</x:v>
      </x:c>
      <x:c r="O1569" s="5" t="str">
        <x:v>POS</x:v>
      </x:c>
      <x:c r="P1569" s="5" t="str">
        <x:v>Lunch</x:v>
      </x:c>
      <x:c r="Q1569" s="48" t="n">
        <x:v>11</x:v>
      </x:c>
      <x:c r="R1569" s="5" t="n">
        <x:v>5</x:v>
      </x:c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5" t="str">
        <x:v>ORD-01208</x:v>
      </x:c>
      <x:c r="B1570" s="43" t="n">
        <x:v>46232</x:v>
      </x:c>
      <x:c r="C1570" s="5" t="str">
        <x:v>CUST-0471</x:v>
      </x:c>
      <x:c r="D1570" s="5" t="str">
        <x:v>FD002</x:v>
      </x:c>
      <x:c r="E1570" s="5" t="str">
        <x:v>Jollof Rice &amp; Chicken</x:v>
      </x:c>
      <x:c r="F1570" s="5" t="str">
        <x:v>Rice Meals</x:v>
      </x:c>
      <x:c r="G1570" s="44" t="n">
        <x:v>4</x:v>
      </x:c>
      <x:c r="H1570" s="45" t="n">
        <x:v>2800</x:v>
      </x:c>
      <x:c r="I1570" s="46" t="n">
        <x:v>0.1</x:v>
      </x:c>
      <x:c r="J1570" s="47" t="n">
        <x:f>G1570*H1570*(1-I1570)</x:f>
        <x:v>10080</x:v>
      </x:c>
      <x:c r="K1570" s="47" t="n">
        <x:v>1450</x:v>
      </x:c>
      <x:c r="L1570" s="47" t="n">
        <x:f>G1570*K1570</x:f>
        <x:v>5800</x:v>
      </x:c>
      <x:c r="M1570" s="47" t="n">
        <x:f>J1570-L1570</x:f>
        <x:v>4280</x:v>
      </x:c>
      <x:c r="N1570" s="5" t="str">
        <x:v>Walk-in</x:v>
      </x:c>
      <x:c r="O1570" s="5" t="str">
        <x:v>Transfer</x:v>
      </x:c>
      <x:c r="P1570" s="5" t="str">
        <x:v>Dinner</x:v>
      </x:c>
      <x:c r="Q1570" s="48" t="n">
        <x:v>19</x:v>
      </x:c>
      <x:c r="R1570" s="5" t="n">
        <x:v>5</x:v>
      </x:c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5" t="str">
        <x:v>ORD-01463</x:v>
      </x:c>
      <x:c r="B1571" s="43" t="n">
        <x:v>46232</x:v>
      </x:c>
      <x:c r="C1571" s="5" t="str">
        <x:v>CUST-0403</x:v>
      </x:c>
      <x:c r="D1571" s="5" t="str">
        <x:v>FD007</x:v>
      </x:c>
      <x:c r="E1571" s="5" t="str">
        <x:v>Amala &amp; Ewedu</x:v>
      </x:c>
      <x:c r="F1571" s="5" t="str">
        <x:v>Swallow</x:v>
      </x:c>
      <x:c r="G1571" s="44" t="n">
        <x:v>4</x:v>
      </x:c>
      <x:c r="H1571" s="45" t="n">
        <x:v>2500</x:v>
      </x:c>
      <x:c r="I1571" s="46" t="n">
        <x:v>0</x:v>
      </x:c>
      <x:c r="J1571" s="47" t="n">
        <x:f>G1571*H1571*(1-I1571)</x:f>
        <x:v>10000</x:v>
      </x:c>
      <x:c r="K1571" s="47" t="n">
        <x:v>1250</x:v>
      </x:c>
      <x:c r="L1571" s="47" t="n">
        <x:f>G1571*K1571</x:f>
        <x:v>5000</x:v>
      </x:c>
      <x:c r="M1571" s="47" t="n">
        <x:f>J1571-L1571</x:f>
        <x:v>5000</x:v>
      </x:c>
      <x:c r="N1571" s="5" t="str">
        <x:v>Walk-in</x:v>
      </x:c>
      <x:c r="O1571" s="5" t="str">
        <x:v>Cash</x:v>
      </x:c>
      <x:c r="P1571" s="5" t="str">
        <x:v>Lunch</x:v>
      </x:c>
      <x:c r="Q1571" s="48" t="n">
        <x:v>14</x:v>
      </x:c>
      <x:c r="R1571" s="5" t="n">
        <x:v>5</x:v>
      </x:c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5" t="str">
        <x:v>ORD-01644</x:v>
      </x:c>
      <x:c r="B1572" s="43" t="n">
        <x:v>46232</x:v>
      </x:c>
      <x:c r="C1572" s="5" t="str">
        <x:v>CUST-0278</x:v>
      </x:c>
      <x:c r="D1572" s="5" t="str">
        <x:v>FD007</x:v>
      </x:c>
      <x:c r="E1572" s="5" t="str">
        <x:v>Amala &amp; Ewedu</x:v>
      </x:c>
      <x:c r="F1572" s="5" t="str">
        <x:v>Swallow</x:v>
      </x:c>
      <x:c r="G1572" s="44" t="n">
        <x:v>1</x:v>
      </x:c>
      <x:c r="H1572" s="45" t="n">
        <x:v>2500</x:v>
      </x:c>
      <x:c r="I1572" s="46" t="n">
        <x:v>0.05</x:v>
      </x:c>
      <x:c r="J1572" s="47" t="n">
        <x:f>G1572*H1572*(1-I1572)</x:f>
        <x:v>2375</x:v>
      </x:c>
      <x:c r="K1572" s="47" t="n">
        <x:v>1250</x:v>
      </x:c>
      <x:c r="L1572" s="47" t="n">
        <x:f>G1572*K1572</x:f>
        <x:v>1250</x:v>
      </x:c>
      <x:c r="M1572" s="47" t="n">
        <x:f>J1572-L1572</x:f>
        <x:v>1125</x:v>
      </x:c>
      <x:c r="N1572" s="5" t="str">
        <x:v>Delivery</x:v>
      </x:c>
      <x:c r="O1572" s="5" t="str">
        <x:v>Transfer</x:v>
      </x:c>
      <x:c r="P1572" s="5" t="str">
        <x:v>Lunch</x:v>
      </x:c>
      <x:c r="Q1572" s="48" t="n">
        <x:v>11</x:v>
      </x:c>
      <x:c r="R1572" s="5" t="n">
        <x:v>5</x:v>
      </x:c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5" t="str">
        <x:v>ORD-01792</x:v>
      </x:c>
      <x:c r="B1573" s="43" t="n">
        <x:v>46232</x:v>
      </x:c>
      <x:c r="C1573" s="5" t="str">
        <x:v>CUST-0533</x:v>
      </x:c>
      <x:c r="D1573" s="5" t="str">
        <x:v>FD009</x:v>
      </x:c>
      <x:c r="E1573" s="5" t="str">
        <x:v>Moi Moi</x:v>
      </x:c>
      <x:c r="F1573" s="5" t="str">
        <x:v>Sides</x:v>
      </x:c>
      <x:c r="G1573" s="44" t="n">
        <x:v>4</x:v>
      </x:c>
      <x:c r="H1573" s="45" t="n">
        <x:v>900</x:v>
      </x:c>
      <x:c r="I1573" s="46" t="n">
        <x:v>0</x:v>
      </x:c>
      <x:c r="J1573" s="47" t="n">
        <x:f>G1573*H1573*(1-I1573)</x:f>
        <x:v>3600</x:v>
      </x:c>
      <x:c r="K1573" s="47" t="n">
        <x:v>380</x:v>
      </x:c>
      <x:c r="L1573" s="47" t="n">
        <x:f>G1573*K1573</x:f>
        <x:v>1520</x:v>
      </x:c>
      <x:c r="M1573" s="47" t="n">
        <x:f>J1573-L1573</x:f>
        <x:v>2080</x:v>
      </x:c>
      <x:c r="N1573" s="5" t="str">
        <x:v>Walk-in</x:v>
      </x:c>
      <x:c r="O1573" s="5" t="str">
        <x:v>Transfer</x:v>
      </x:c>
      <x:c r="P1573" s="5" t="str">
        <x:v>Lunch</x:v>
      </x:c>
      <x:c r="Q1573" s="48" t="n">
        <x:v>14</x:v>
      </x:c>
      <x:c r="R1573" s="5" t="n">
        <x:v>4</x:v>
      </x:c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5" t="str">
        <x:v>ORD-01797</x:v>
      </x:c>
      <x:c r="B1574" s="43" t="n">
        <x:v>46232</x:v>
      </x:c>
      <x:c r="C1574" s="5" t="str">
        <x:v>CUST-0327</x:v>
      </x:c>
      <x:c r="D1574" s="5" t="str">
        <x:v>FD008</x:v>
      </x:c>
      <x:c r="E1574" s="5" t="str">
        <x:v>Pounded Yam &amp; Vegetable Soup</x:v>
      </x:c>
      <x:c r="F1574" s="5" t="str">
        <x:v>Swallow</x:v>
      </x:c>
      <x:c r="G1574" s="44" t="n">
        <x:v>1</x:v>
      </x:c>
      <x:c r="H1574" s="45" t="n">
        <x:v>3200</x:v>
      </x:c>
      <x:c r="I1574" s="46" t="n">
        <x:v>0</x:v>
      </x:c>
      <x:c r="J1574" s="47" t="n">
        <x:f>G1574*H1574*(1-I1574)</x:f>
        <x:v>3200</x:v>
      </x:c>
      <x:c r="K1574" s="47" t="n">
        <x:v>1710</x:v>
      </x:c>
      <x:c r="L1574" s="47" t="n">
        <x:f>G1574*K1574</x:f>
        <x:v>1710</x:v>
      </x:c>
      <x:c r="M1574" s="47" t="n">
        <x:f>J1574-L1574</x:f>
        <x:v>1490</x:v>
      </x:c>
      <x:c r="N1574" s="5" t="str">
        <x:v>Walk-in</x:v>
      </x:c>
      <x:c r="O1574" s="5" t="str">
        <x:v>Transfer</x:v>
      </x:c>
      <x:c r="P1574" s="5" t="str">
        <x:v>Lunch</x:v>
      </x:c>
      <x:c r="Q1574" s="48" t="n">
        <x:v>12</x:v>
      </x:c>
      <x:c r="R1574" s="5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5" t="str">
        <x:v>ORD-00025</x:v>
      </x:c>
      <x:c r="B1575" s="43" t="n">
        <x:v>46233</x:v>
      </x:c>
      <x:c r="C1575" s="5" t="str">
        <x:v>CUST-0589</x:v>
      </x:c>
      <x:c r="D1575" s="5" t="str">
        <x:v>FD005</x:v>
      </x:c>
      <x:c r="E1575" s="5" t="str">
        <x:v>Yam Porridge</x:v>
      </x:c>
      <x:c r="F1575" s="5" t="str">
        <x:v>Traditional Meals</x:v>
      </x:c>
      <x:c r="G1575" s="44" t="n">
        <x:v>3</x:v>
      </x:c>
      <x:c r="H1575" s="45" t="n">
        <x:v>2200</x:v>
      </x:c>
      <x:c r="I1575" s="46" t="n">
        <x:v>0</x:v>
      </x:c>
      <x:c r="J1575" s="47" t="n">
        <x:f>G1575*H1575*(1-I1575)</x:f>
        <x:v>6600</x:v>
      </x:c>
      <x:c r="K1575" s="47" t="n">
        <x:v>1050</x:v>
      </x:c>
      <x:c r="L1575" s="47" t="n">
        <x:f>G1575*K1575</x:f>
        <x:v>3150</x:v>
      </x:c>
      <x:c r="M1575" s="47" t="n">
        <x:f>J1575-L1575</x:f>
        <x:v>3450</x:v>
      </x:c>
      <x:c r="N1575" s="5" t="str">
        <x:v>Walk-in</x:v>
      </x:c>
      <x:c r="O1575" s="5" t="str">
        <x:v>Transfer</x:v>
      </x:c>
      <x:c r="P1575" s="5" t="str">
        <x:v>Lunch</x:v>
      </x:c>
      <x:c r="Q1575" s="48" t="n">
        <x:v>14</x:v>
      </x:c>
      <x:c r="R1575" s="5" t="n">
        <x:v>4</x:v>
      </x:c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5" t="str">
        <x:v>ORD-00325</x:v>
      </x:c>
      <x:c r="B1576" s="43" t="n">
        <x:v>46233</x:v>
      </x:c>
      <x:c r="C1576" s="5" t="str">
        <x:v>CUST-0170</x:v>
      </x:c>
      <x:c r="D1576" s="5" t="str">
        <x:v>FD003</x:v>
      </x:c>
      <x:c r="E1576" s="5" t="str">
        <x:v>Fried Rice &amp; Chicken</x:v>
      </x:c>
      <x:c r="F1576" s="5" t="str">
        <x:v>Rice Meals</x:v>
      </x:c>
      <x:c r="G1576" s="44" t="n">
        <x:v>1</x:v>
      </x:c>
      <x:c r="H1576" s="45" t="n">
        <x:v>3000</x:v>
      </x:c>
      <x:c r="I1576" s="46" t="n">
        <x:v>0.05</x:v>
      </x:c>
      <x:c r="J1576" s="47" t="n">
        <x:f>G1576*H1576*(1-I1576)</x:f>
        <x:v>2850</x:v>
      </x:c>
      <x:c r="K1576" s="47" t="n">
        <x:v>1580</x:v>
      </x:c>
      <x:c r="L1576" s="47" t="n">
        <x:f>G1576*K1576</x:f>
        <x:v>1580</x:v>
      </x:c>
      <x:c r="M1576" s="47" t="n">
        <x:f>J1576-L1576</x:f>
        <x:v>1270</x:v>
      </x:c>
      <x:c r="N1576" s="5" t="str">
        <x:v>Takeaway</x:v>
      </x:c>
      <x:c r="O1576" s="5" t="str">
        <x:v>POS</x:v>
      </x:c>
      <x:c r="P1576" s="5" t="str">
        <x:v>Lunch</x:v>
      </x:c>
      <x:c r="Q1576" s="48" t="n">
        <x:v>11</x:v>
      </x:c>
      <x:c r="R1576" s="5" t="n">
        <x:v>3</x:v>
      </x:c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5" t="str">
        <x:v>ORD-00365</x:v>
      </x:c>
      <x:c r="B1577" s="43" t="n">
        <x:v>46233</x:v>
      </x:c>
      <x:c r="C1577" s="5" t="str">
        <x:v>CUST-0122</x:v>
      </x:c>
      <x:c r="D1577" s="5" t="str">
        <x:v>FD002</x:v>
      </x:c>
      <x:c r="E1577" s="5" t="str">
        <x:v>Jollof Rice &amp; Chicken</x:v>
      </x:c>
      <x:c r="F1577" s="5" t="str">
        <x:v>Rice Meals</x:v>
      </x:c>
      <x:c r="G1577" s="44" t="n">
        <x:v>3</x:v>
      </x:c>
      <x:c r="H1577" s="45" t="n">
        <x:v>2800</x:v>
      </x:c>
      <x:c r="I1577" s="46" t="n">
        <x:v>0</x:v>
      </x:c>
      <x:c r="J1577" s="47" t="n">
        <x:f>G1577*H1577*(1-I1577)</x:f>
        <x:v>8400</x:v>
      </x:c>
      <x:c r="K1577" s="47" t="n">
        <x:v>1450</x:v>
      </x:c>
      <x:c r="L1577" s="47" t="n">
        <x:f>G1577*K1577</x:f>
        <x:v>4350</x:v>
      </x:c>
      <x:c r="M1577" s="47" t="n">
        <x:f>J1577-L1577</x:f>
        <x:v>4050</x:v>
      </x:c>
      <x:c r="N1577" s="5" t="str">
        <x:v>Takeaway</x:v>
      </x:c>
      <x:c r="O1577" s="5" t="str">
        <x:v>Cash</x:v>
      </x:c>
      <x:c r="P1577" s="5" t="str">
        <x:v>Lunch</x:v>
      </x:c>
      <x:c r="Q1577" s="48" t="n">
        <x:v>11</x:v>
      </x:c>
      <x:c r="R1577" s="5" t="n">
        <x:v>5</x:v>
      </x:c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5" t="str">
        <x:v>ORD-00655</x:v>
      </x:c>
      <x:c r="B1578" s="43" t="n">
        <x:v>46233</x:v>
      </x:c>
      <x:c r="C1578" s="5" t="str">
        <x:v>CUST-0056</x:v>
      </x:c>
      <x:c r="D1578" s="5" t="str">
        <x:v>FD002</x:v>
      </x:c>
      <x:c r="E1578" s="5" t="str">
        <x:v>Jollof Rice &amp; Chicken</x:v>
      </x:c>
      <x:c r="F1578" s="5" t="str">
        <x:v>Rice Meals</x:v>
      </x:c>
      <x:c r="G1578" s="44" t="n">
        <x:v>3</x:v>
      </x:c>
      <x:c r="H1578" s="45" t="n">
        <x:v>2800</x:v>
      </x:c>
      <x:c r="I1578" s="46" t="n">
        <x:v>0</x:v>
      </x:c>
      <x:c r="J1578" s="47" t="n">
        <x:f>G1578*H1578*(1-I1578)</x:f>
        <x:v>8400</x:v>
      </x:c>
      <x:c r="K1578" s="47" t="n">
        <x:v>1450</x:v>
      </x:c>
      <x:c r="L1578" s="47" t="n">
        <x:f>G1578*K1578</x:f>
        <x:v>4350</x:v>
      </x:c>
      <x:c r="M1578" s="47" t="n">
        <x:f>J1578-L1578</x:f>
        <x:v>4050</x:v>
      </x:c>
      <x:c r="N1578" s="5" t="str">
        <x:v>Walk-in</x:v>
      </x:c>
      <x:c r="O1578" s="5" t="str">
        <x:v>POS</x:v>
      </x:c>
      <x:c r="P1578" s="5" t="str">
        <x:v>Dinner</x:v>
      </x:c>
      <x:c r="Q1578" s="48" t="n">
        <x:v>19</x:v>
      </x:c>
      <x:c r="R1578" s="5" t="n">
        <x:v>4</x:v>
      </x:c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5" t="str">
        <x:v>ORD-00725</x:v>
      </x:c>
      <x:c r="B1579" s="43" t="n">
        <x:v>46233</x:v>
      </x:c>
      <x:c r="C1579" s="5" t="str">
        <x:v>CUST-0542</x:v>
      </x:c>
      <x:c r="D1579" s="5" t="str">
        <x:v>FD001</x:v>
      </x:c>
      <x:c r="E1579" s="5" t="str">
        <x:v>White Rice &amp; Stew</x:v>
      </x:c>
      <x:c r="F1579" s="5" t="str">
        <x:v>Rice Meals</x:v>
      </x:c>
      <x:c r="G1579" s="44" t="n">
        <x:v>1</x:v>
      </x:c>
      <x:c r="H1579" s="45" t="n">
        <x:v>1800</x:v>
      </x:c>
      <x:c r="I1579" s="46" t="n">
        <x:v>0</x:v>
      </x:c>
      <x:c r="J1579" s="47" t="n">
        <x:f>G1579*H1579*(1-I1579)</x:f>
        <x:v>1800</x:v>
      </x:c>
      <x:c r="K1579" s="47" t="n">
        <x:v>820</x:v>
      </x:c>
      <x:c r="L1579" s="47" t="n">
        <x:f>G1579*K1579</x:f>
        <x:v>820</x:v>
      </x:c>
      <x:c r="M1579" s="47" t="n">
        <x:f>J1579-L1579</x:f>
        <x:v>980</x:v>
      </x:c>
      <x:c r="N1579" s="5" t="str">
        <x:v>Delivery</x:v>
      </x:c>
      <x:c r="O1579" s="5" t="str">
        <x:v>Cash</x:v>
      </x:c>
      <x:c r="P1579" s="5" t="str">
        <x:v>Dinner</x:v>
      </x:c>
      <x:c r="Q1579" s="48" t="n">
        <x:v>19</x:v>
      </x:c>
      <x:c r="R1579" s="5" t="n">
        <x:v>5</x:v>
      </x:c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5" t="str">
        <x:v>ORD-00824</x:v>
      </x:c>
      <x:c r="B1580" s="43" t="n">
        <x:v>46233</x:v>
      </x:c>
      <x:c r="C1580" s="5" t="str">
        <x:v>CUST-0557</x:v>
      </x:c>
      <x:c r="D1580" s="5" t="str">
        <x:v>FD002</x:v>
      </x:c>
      <x:c r="E1580" s="5" t="str">
        <x:v>Jollof Rice &amp; Chicken</x:v>
      </x:c>
      <x:c r="F1580" s="5" t="str">
        <x:v>Rice Meals</x:v>
      </x:c>
      <x:c r="G1580" s="44" t="n">
        <x:v>1</x:v>
      </x:c>
      <x:c r="H1580" s="45" t="n">
        <x:v>2800</x:v>
      </x:c>
      <x:c r="I1580" s="46" t="n">
        <x:v>0</x:v>
      </x:c>
      <x:c r="J1580" s="47" t="n">
        <x:f>G1580*H1580*(1-I1580)</x:f>
        <x:v>2800</x:v>
      </x:c>
      <x:c r="K1580" s="47" t="n">
        <x:v>1450</x:v>
      </x:c>
      <x:c r="L1580" s="47" t="n">
        <x:f>G1580*K1580</x:f>
        <x:v>1450</x:v>
      </x:c>
      <x:c r="M1580" s="47" t="n">
        <x:f>J1580-L1580</x:f>
        <x:v>1350</x:v>
      </x:c>
      <x:c r="N1580" s="5" t="str">
        <x:v>Takeaway</x:v>
      </x:c>
      <x:c r="O1580" s="5" t="str">
        <x:v>Transfer</x:v>
      </x:c>
      <x:c r="P1580" s="5" t="str">
        <x:v>Lunch</x:v>
      </x:c>
      <x:c r="Q1580" s="48" t="n">
        <x:v>11</x:v>
      </x:c>
      <x:c r="R1580" s="5" t="n">
        <x:v>5</x:v>
      </x:c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5" t="str">
        <x:v>ORD-01530</x:v>
      </x:c>
      <x:c r="B1581" s="43" t="n">
        <x:v>46233</x:v>
      </x:c>
      <x:c r="C1581" s="5" t="str">
        <x:v>CUST-0094</x:v>
      </x:c>
      <x:c r="D1581" s="5" t="str">
        <x:v>FD003</x:v>
      </x:c>
      <x:c r="E1581" s="5" t="str">
        <x:v>Fried Rice &amp; Chicken</x:v>
      </x:c>
      <x:c r="F1581" s="5" t="str">
        <x:v>Rice Meals</x:v>
      </x:c>
      <x:c r="G1581" s="44" t="n">
        <x:v>2</x:v>
      </x:c>
      <x:c r="H1581" s="45" t="n">
        <x:v>3000</x:v>
      </x:c>
      <x:c r="I1581" s="46" t="n">
        <x:v>0</x:v>
      </x:c>
      <x:c r="J1581" s="47" t="n">
        <x:f>G1581*H1581*(1-I1581)</x:f>
        <x:v>6000</x:v>
      </x:c>
      <x:c r="K1581" s="47" t="n">
        <x:v>1580</x:v>
      </x:c>
      <x:c r="L1581" s="47" t="n">
        <x:f>G1581*K1581</x:f>
        <x:v>3160</x:v>
      </x:c>
      <x:c r="M1581" s="47" t="n">
        <x:f>J1581-L1581</x:f>
        <x:v>2840</x:v>
      </x:c>
      <x:c r="N1581" s="5" t="str">
        <x:v>Takeaway</x:v>
      </x:c>
      <x:c r="O1581" s="5" t="str">
        <x:v>Transfer</x:v>
      </x:c>
      <x:c r="P1581" s="5" t="str">
        <x:v>Breakfast</x:v>
      </x:c>
      <x:c r="Q1581" s="48" t="n">
        <x:v>8</x:v>
      </x:c>
      <x:c r="R1581" s="5" t="n">
        <x:v>5</x:v>
      </x:c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5" t="str">
        <x:v>ORD-01659</x:v>
      </x:c>
      <x:c r="B1582" s="43" t="n">
        <x:v>46233</x:v>
      </x:c>
      <x:c r="C1582" s="5" t="str">
        <x:v>CUST-0122</x:v>
      </x:c>
      <x:c r="D1582" s="5" t="str">
        <x:v>FD003</x:v>
      </x:c>
      <x:c r="E1582" s="5" t="str">
        <x:v>Fried Rice &amp; Chicken</x:v>
      </x:c>
      <x:c r="F1582" s="5" t="str">
        <x:v>Rice Meals</x:v>
      </x:c>
      <x:c r="G1582" s="44" t="n">
        <x:v>3</x:v>
      </x:c>
      <x:c r="H1582" s="45" t="n">
        <x:v>3000</x:v>
      </x:c>
      <x:c r="I1582" s="46" t="n">
        <x:v>0</x:v>
      </x:c>
      <x:c r="J1582" s="47" t="n">
        <x:f>G1582*H1582*(1-I1582)</x:f>
        <x:v>9000</x:v>
      </x:c>
      <x:c r="K1582" s="47" t="n">
        <x:v>1580</x:v>
      </x:c>
      <x:c r="L1582" s="47" t="n">
        <x:f>G1582*K1582</x:f>
        <x:v>4740</x:v>
      </x:c>
      <x:c r="M1582" s="47" t="n">
        <x:f>J1582-L1582</x:f>
        <x:v>4260</x:v>
      </x:c>
      <x:c r="N1582" s="5" t="str">
        <x:v>Takeaway</x:v>
      </x:c>
      <x:c r="O1582" s="5" t="str">
        <x:v>Transfer</x:v>
      </x:c>
      <x:c r="P1582" s="5" t="str">
        <x:v>Lunch</x:v>
      </x:c>
      <x:c r="Q1582" s="48" t="n">
        <x:v>14</x:v>
      </x:c>
      <x:c r="R1582" s="5" t="n">
        <x:v>5</x:v>
      </x:c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5" t="str">
        <x:v>ORD-01781</x:v>
      </x:c>
      <x:c r="B1583" s="43" t="n">
        <x:v>46233</x:v>
      </x:c>
      <x:c r="C1583" s="5" t="str">
        <x:v>CUST-0409</x:v>
      </x:c>
      <x:c r="D1583" s="5" t="str">
        <x:v>FD008</x:v>
      </x:c>
      <x:c r="E1583" s="5" t="str">
        <x:v>Pounded Yam &amp; Vegetable Soup</x:v>
      </x:c>
      <x:c r="F1583" s="5" t="str">
        <x:v>Swallow</x:v>
      </x:c>
      <x:c r="G1583" s="44" t="n">
        <x:v>4</x:v>
      </x:c>
      <x:c r="H1583" s="45" t="n">
        <x:v>3200</x:v>
      </x:c>
      <x:c r="I1583" s="46" t="n">
        <x:v>0</x:v>
      </x:c>
      <x:c r="J1583" s="47" t="n">
        <x:f>G1583*H1583*(1-I1583)</x:f>
        <x:v>12800</x:v>
      </x:c>
      <x:c r="K1583" s="47" t="n">
        <x:v>1710</x:v>
      </x:c>
      <x:c r="L1583" s="47" t="n">
        <x:f>G1583*K1583</x:f>
        <x:v>6840</x:v>
      </x:c>
      <x:c r="M1583" s="47" t="n">
        <x:f>J1583-L1583</x:f>
        <x:v>5960</x:v>
      </x:c>
      <x:c r="N1583" s="5" t="str">
        <x:v>Delivery</x:v>
      </x:c>
      <x:c r="O1583" s="5" t="str">
        <x:v>POS</x:v>
      </x:c>
      <x:c r="P1583" s="5" t="str">
        <x:v>Breakfast</x:v>
      </x:c>
      <x:c r="Q1583" s="48" t="n">
        <x:v>9</x:v>
      </x:c>
      <x:c r="R1583" s="5" t="n">
        <x:v>5</x:v>
      </x:c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5" t="str">
        <x:v>ORD-00777</x:v>
      </x:c>
      <x:c r="B1584" s="43" t="n">
        <x:v>46234</x:v>
      </x:c>
      <x:c r="C1584" s="5" t="str">
        <x:v>CUST-0549</x:v>
      </x:c>
      <x:c r="D1584" s="5" t="str">
        <x:v>FD007</x:v>
      </x:c>
      <x:c r="E1584" s="5" t="str">
        <x:v>Amala &amp; Ewedu</x:v>
      </x:c>
      <x:c r="F1584" s="5" t="str">
        <x:v>Swallow</x:v>
      </x:c>
      <x:c r="G1584" s="44" t="n">
        <x:v>3</x:v>
      </x:c>
      <x:c r="H1584" s="45" t="n">
        <x:v>2500</x:v>
      </x:c>
      <x:c r="I1584" s="46" t="n">
        <x:v>0</x:v>
      </x:c>
      <x:c r="J1584" s="47" t="n">
        <x:f>G1584*H1584*(1-I1584)</x:f>
        <x:v>7500</x:v>
      </x:c>
      <x:c r="K1584" s="47" t="n">
        <x:v>1250</x:v>
      </x:c>
      <x:c r="L1584" s="47" t="n">
        <x:f>G1584*K1584</x:f>
        <x:v>3750</x:v>
      </x:c>
      <x:c r="M1584" s="47" t="n">
        <x:f>J1584-L1584</x:f>
        <x:v>3750</x:v>
      </x:c>
      <x:c r="N1584" s="5" t="str">
        <x:v>Walk-in</x:v>
      </x:c>
      <x:c r="O1584" s="5" t="str">
        <x:v>Transfer</x:v>
      </x:c>
      <x:c r="P1584" s="5" t="str">
        <x:v>Lunch</x:v>
      </x:c>
      <x:c r="Q1584" s="48" t="n">
        <x:v>11</x:v>
      </x:c>
      <x:c r="R1584" s="5" t="n">
        <x:v>5</x:v>
      </x:c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5" t="str">
        <x:v>ORD-01224</x:v>
      </x:c>
      <x:c r="B1585" s="43" t="n">
        <x:v>46234</x:v>
      </x:c>
      <x:c r="C1585" s="5" t="str">
        <x:v>CUST-0535</x:v>
      </x:c>
      <x:c r="D1585" s="5" t="str">
        <x:v>FD002</x:v>
      </x:c>
      <x:c r="E1585" s="5" t="str">
        <x:v>Jollof Rice &amp; Chicken</x:v>
      </x:c>
      <x:c r="F1585" s="5" t="str">
        <x:v>Rice Meals</x:v>
      </x:c>
      <x:c r="G1585" s="44" t="n">
        <x:v>1</x:v>
      </x:c>
      <x:c r="H1585" s="45" t="n">
        <x:v>2800</x:v>
      </x:c>
      <x:c r="I1585" s="46" t="n">
        <x:v>0</x:v>
      </x:c>
      <x:c r="J1585" s="47" t="n">
        <x:f>G1585*H1585*(1-I1585)</x:f>
        <x:v>2800</x:v>
      </x:c>
      <x:c r="K1585" s="47" t="n">
        <x:v>1450</x:v>
      </x:c>
      <x:c r="L1585" s="47" t="n">
        <x:f>G1585*K1585</x:f>
        <x:v>1450</x:v>
      </x:c>
      <x:c r="M1585" s="47" t="n">
        <x:f>J1585-L1585</x:f>
        <x:v>1350</x:v>
      </x:c>
      <x:c r="N1585" s="5" t="str">
        <x:v>Walk-in</x:v>
      </x:c>
      <x:c r="O1585" s="5" t="str">
        <x:v>Cash</x:v>
      </x:c>
      <x:c r="P1585" s="5" t="str">
        <x:v>Lunch</x:v>
      </x:c>
      <x:c r="Q1585" s="48" t="n">
        <x:v>13</x:v>
      </x:c>
      <x:c r="R1585" s="5" t="n">
        <x:v>4</x:v>
      </x:c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5" t="str">
        <x:v>ORD-01264</x:v>
      </x:c>
      <x:c r="B1586" s="43" t="n">
        <x:v>46234</x:v>
      </x:c>
      <x:c r="C1586" s="5" t="str">
        <x:v>CUST-0592</x:v>
      </x:c>
      <x:c r="D1586" s="5" t="str">
        <x:v>FD008</x:v>
      </x:c>
      <x:c r="E1586" s="5" t="str">
        <x:v>Pounded Yam &amp; Vegetable Soup</x:v>
      </x:c>
      <x:c r="F1586" s="5" t="str">
        <x:v>Swallow</x:v>
      </x:c>
      <x:c r="G1586" s="44" t="n">
        <x:v>4</x:v>
      </x:c>
      <x:c r="H1586" s="45" t="n">
        <x:v>3200</x:v>
      </x:c>
      <x:c r="I1586" s="46" t="n">
        <x:v>0.05</x:v>
      </x:c>
      <x:c r="J1586" s="47" t="n">
        <x:f>G1586*H1586*(1-I1586)</x:f>
        <x:v>12160</x:v>
      </x:c>
      <x:c r="K1586" s="47" t="n">
        <x:v>1710</x:v>
      </x:c>
      <x:c r="L1586" s="47" t="n">
        <x:f>G1586*K1586</x:f>
        <x:v>6840</x:v>
      </x:c>
      <x:c r="M1586" s="47" t="n">
        <x:f>J1586-L1586</x:f>
        <x:v>5320</x:v>
      </x:c>
      <x:c r="N1586" s="5" t="str">
        <x:v>Walk-in</x:v>
      </x:c>
      <x:c r="O1586" s="5" t="str">
        <x:v>POS</x:v>
      </x:c>
      <x:c r="P1586" s="5" t="str">
        <x:v>Dinner</x:v>
      </x:c>
      <x:c r="Q1586" s="48" t="n">
        <x:v>19</x:v>
      </x:c>
      <x:c r="R1586" s="5" t="n">
        <x:v>5</x:v>
      </x:c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5" t="str">
        <x:v>ORD-01471</x:v>
      </x:c>
      <x:c r="B1587" s="43" t="n">
        <x:v>46234</x:v>
      </x:c>
      <x:c r="C1587" s="5" t="str">
        <x:v>CUST-0090</x:v>
      </x:c>
      <x:c r="D1587" s="5" t="str">
        <x:v>FD010</x:v>
      </x:c>
      <x:c r="E1587" s="5" t="str">
        <x:v>Soft Drink</x:v>
      </x:c>
      <x:c r="F1587" s="5" t="str">
        <x:v>Beverages</x:v>
      </x:c>
      <x:c r="G1587" s="44" t="n">
        <x:v>2</x:v>
      </x:c>
      <x:c r="H1587" s="45" t="n">
        <x:v>600</x:v>
      </x:c>
      <x:c r="I1587" s="46" t="n">
        <x:v>0</x:v>
      </x:c>
      <x:c r="J1587" s="47" t="n">
        <x:f>G1587*H1587*(1-I1587)</x:f>
        <x:v>1200</x:v>
      </x:c>
      <x:c r="K1587" s="47" t="n">
        <x:v>280</x:v>
      </x:c>
      <x:c r="L1587" s="47" t="n">
        <x:f>G1587*K1587</x:f>
        <x:v>560</x:v>
      </x:c>
      <x:c r="M1587" s="47" t="n">
        <x:f>J1587-L1587</x:f>
        <x:v>640</x:v>
      </x:c>
      <x:c r="N1587" s="5" t="str">
        <x:v>Walk-in</x:v>
      </x:c>
      <x:c r="O1587" s="5" t="str">
        <x:v>POS</x:v>
      </x:c>
      <x:c r="P1587" s="5" t="str">
        <x:v>Lunch</x:v>
      </x:c>
      <x:c r="Q1587" s="48" t="n">
        <x:v>11</x:v>
      </x:c>
      <x:c r="R1587" s="5" t="n">
        <x:v>5</x:v>
      </x:c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5" t="str">
        <x:v>ORD-01748</x:v>
      </x:c>
      <x:c r="B1588" s="43" t="n">
        <x:v>46234</x:v>
      </x:c>
      <x:c r="C1588" s="5" t="str">
        <x:v>CUST-0646</x:v>
      </x:c>
      <x:c r="D1588" s="5" t="str">
        <x:v>FD002</x:v>
      </x:c>
      <x:c r="E1588" s="5" t="str">
        <x:v>Jollof Rice &amp; Chicken</x:v>
      </x:c>
      <x:c r="F1588" s="5" t="str">
        <x:v>Rice Meals</x:v>
      </x:c>
      <x:c r="G1588" s="44" t="n">
        <x:v>3</x:v>
      </x:c>
      <x:c r="H1588" s="45" t="n">
        <x:v>2800</x:v>
      </x:c>
      <x:c r="I1588" s="46" t="n">
        <x:v>0</x:v>
      </x:c>
      <x:c r="J1588" s="47" t="n">
        <x:f>G1588*H1588*(1-I1588)</x:f>
        <x:v>8400</x:v>
      </x:c>
      <x:c r="K1588" s="47" t="n">
        <x:v>1450</x:v>
      </x:c>
      <x:c r="L1588" s="47" t="n">
        <x:f>G1588*K1588</x:f>
        <x:v>4350</x:v>
      </x:c>
      <x:c r="M1588" s="47" t="n">
        <x:f>J1588-L1588</x:f>
        <x:v>4050</x:v>
      </x:c>
      <x:c r="N1588" s="5" t="str">
        <x:v>Delivery</x:v>
      </x:c>
      <x:c r="O1588" s="5" t="str">
        <x:v>Transfer</x:v>
      </x:c>
      <x:c r="P1588" s="5" t="str">
        <x:v>Dinner</x:v>
      </x:c>
      <x:c r="Q1588" s="48" t="n">
        <x:v>19</x:v>
      </x:c>
      <x:c r="R1588" s="5" t="n">
        <x:v>4</x:v>
      </x:c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5" t="str">
        <x:v>ORD-00038</x:v>
      </x:c>
      <x:c r="B1589" s="43" t="n">
        <x:v>46235</x:v>
      </x:c>
      <x:c r="C1589" s="5" t="str">
        <x:v>CUST-0487</x:v>
      </x:c>
      <x:c r="D1589" s="5" t="str">
        <x:v>FD001</x:v>
      </x:c>
      <x:c r="E1589" s="5" t="str">
        <x:v>White Rice &amp; Stew</x:v>
      </x:c>
      <x:c r="F1589" s="5" t="str">
        <x:v>Rice Meals</x:v>
      </x:c>
      <x:c r="G1589" s="44" t="n">
        <x:v>1</x:v>
      </x:c>
      <x:c r="H1589" s="45" t="n">
        <x:v>1800</x:v>
      </x:c>
      <x:c r="I1589" s="46" t="n">
        <x:v>0</x:v>
      </x:c>
      <x:c r="J1589" s="47" t="n">
        <x:f>G1589*H1589*(1-I1589)</x:f>
        <x:v>1800</x:v>
      </x:c>
      <x:c r="K1589" s="47" t="n">
        <x:v>820</x:v>
      </x:c>
      <x:c r="L1589" s="47" t="n">
        <x:f>G1589*K1589</x:f>
        <x:v>820</x:v>
      </x:c>
      <x:c r="M1589" s="47" t="n">
        <x:f>J1589-L1589</x:f>
        <x:v>980</x:v>
      </x:c>
      <x:c r="N1589" s="5" t="str">
        <x:v>Walk-in</x:v>
      </x:c>
      <x:c r="O1589" s="5" t="str">
        <x:v>Transfer</x:v>
      </x:c>
      <x:c r="P1589" s="5" t="str">
        <x:v>Dinner</x:v>
      </x:c>
      <x:c r="Q1589" s="48" t="n">
        <x:v>18</x:v>
      </x:c>
      <x:c r="R1589" s="5" t="n">
        <x:v>5</x:v>
      </x:c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5" t="str">
        <x:v>ORD-00072</x:v>
      </x:c>
      <x:c r="B1590" s="43" t="n">
        <x:v>46235</x:v>
      </x:c>
      <x:c r="C1590" s="5" t="str">
        <x:v>CUST-0548</x:v>
      </x:c>
      <x:c r="D1590" s="5" t="str">
        <x:v>FD001</x:v>
      </x:c>
      <x:c r="E1590" s="5" t="str">
        <x:v>White Rice &amp; Stew</x:v>
      </x:c>
      <x:c r="F1590" s="5" t="str">
        <x:v>Rice Meals</x:v>
      </x:c>
      <x:c r="G1590" s="44" t="n">
        <x:v>3</x:v>
      </x:c>
      <x:c r="H1590" s="45" t="n">
        <x:v>1800</x:v>
      </x:c>
      <x:c r="I1590" s="46" t="n">
        <x:v>0.05</x:v>
      </x:c>
      <x:c r="J1590" s="47" t="n">
        <x:f>G1590*H1590*(1-I1590)</x:f>
        <x:v>5130</x:v>
      </x:c>
      <x:c r="K1590" s="47" t="n">
        <x:v>820</x:v>
      </x:c>
      <x:c r="L1590" s="47" t="n">
        <x:f>G1590*K1590</x:f>
        <x:v>2460</x:v>
      </x:c>
      <x:c r="M1590" s="47" t="n">
        <x:f>J1590-L1590</x:f>
        <x:v>2670</x:v>
      </x:c>
      <x:c r="N1590" s="5" t="str">
        <x:v>Walk-in</x:v>
      </x:c>
      <x:c r="O1590" s="5" t="str">
        <x:v>Transfer</x:v>
      </x:c>
      <x:c r="P1590" s="5" t="str">
        <x:v>Lunch</x:v>
      </x:c>
      <x:c r="Q1590" s="48" t="n">
        <x:v>11</x:v>
      </x:c>
      <x:c r="R1590" s="5" t="n">
        <x:v>4</x:v>
      </x:c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5" t="str">
        <x:v>ORD-00960</x:v>
      </x:c>
      <x:c r="B1591" s="43" t="n">
        <x:v>46235</x:v>
      </x:c>
      <x:c r="C1591" s="5" t="str">
        <x:v>CUST-0332</x:v>
      </x:c>
      <x:c r="D1591" s="5" t="str">
        <x:v>FD008</x:v>
      </x:c>
      <x:c r="E1591" s="5" t="str">
        <x:v>Pounded Yam &amp; Vegetable Soup</x:v>
      </x:c>
      <x:c r="F1591" s="5" t="str">
        <x:v>Swallow</x:v>
      </x:c>
      <x:c r="G1591" s="44" t="n">
        <x:v>2</x:v>
      </x:c>
      <x:c r="H1591" s="45" t="n">
        <x:v>3200</x:v>
      </x:c>
      <x:c r="I1591" s="46" t="n">
        <x:v>0</x:v>
      </x:c>
      <x:c r="J1591" s="47" t="n">
        <x:f>G1591*H1591*(1-I1591)</x:f>
        <x:v>6400</x:v>
      </x:c>
      <x:c r="K1591" s="47" t="n">
        <x:v>1710</x:v>
      </x:c>
      <x:c r="L1591" s="47" t="n">
        <x:f>G1591*K1591</x:f>
        <x:v>3420</x:v>
      </x:c>
      <x:c r="M1591" s="47" t="n">
        <x:f>J1591-L1591</x:f>
        <x:v>2980</x:v>
      </x:c>
      <x:c r="N1591" s="5" t="str">
        <x:v>Walk-in</x:v>
      </x:c>
      <x:c r="O1591" s="5" t="str">
        <x:v>POS</x:v>
      </x:c>
      <x:c r="P1591" s="5" t="str">
        <x:v>Dinner</x:v>
      </x:c>
      <x:c r="Q1591" s="48" t="n">
        <x:v>16</x:v>
      </x:c>
      <x:c r="R1591" s="5" t="n">
        <x:v>5</x:v>
      </x:c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5" t="str">
        <x:v>ORD-01185</x:v>
      </x:c>
      <x:c r="B1592" s="43" t="n">
        <x:v>46235</x:v>
      </x:c>
      <x:c r="C1592" s="5" t="str">
        <x:v>CUST-0430</x:v>
      </x:c>
      <x:c r="D1592" s="5" t="str">
        <x:v>FD001</x:v>
      </x:c>
      <x:c r="E1592" s="5" t="str">
        <x:v>White Rice &amp; Stew</x:v>
      </x:c>
      <x:c r="F1592" s="5" t="str">
        <x:v>Rice Meals</x:v>
      </x:c>
      <x:c r="G1592" s="44" t="n">
        <x:v>4</x:v>
      </x:c>
      <x:c r="H1592" s="45" t="n">
        <x:v>1800</x:v>
      </x:c>
      <x:c r="I1592" s="46" t="n">
        <x:v>0</x:v>
      </x:c>
      <x:c r="J1592" s="47" t="n">
        <x:f>G1592*H1592*(1-I1592)</x:f>
        <x:v>7200</x:v>
      </x:c>
      <x:c r="K1592" s="47" t="n">
        <x:v>820</x:v>
      </x:c>
      <x:c r="L1592" s="47" t="n">
        <x:f>G1592*K1592</x:f>
        <x:v>3280</x:v>
      </x:c>
      <x:c r="M1592" s="47" t="n">
        <x:f>J1592-L1592</x:f>
        <x:v>3920</x:v>
      </x:c>
      <x:c r="N1592" s="5" t="str">
        <x:v>Walk-in</x:v>
      </x:c>
      <x:c r="O1592" s="5" t="str">
        <x:v>Transfer</x:v>
      </x:c>
      <x:c r="P1592" s="5" t="str">
        <x:v>Lunch</x:v>
      </x:c>
      <x:c r="Q1592" s="48" t="n">
        <x:v>14</x:v>
      </x:c>
      <x:c r="R1592" s="5" t="n">
        <x:v>5</x:v>
      </x:c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5" t="str">
        <x:v>ORD-01406</x:v>
      </x:c>
      <x:c r="B1593" s="43" t="n">
        <x:v>46235</x:v>
      </x:c>
      <x:c r="C1593" s="5" t="str">
        <x:v>CUST-0596</x:v>
      </x:c>
      <x:c r="D1593" s="5" t="str">
        <x:v>FD001</x:v>
      </x:c>
      <x:c r="E1593" s="5" t="str">
        <x:v>White Rice &amp; Stew</x:v>
      </x:c>
      <x:c r="F1593" s="5" t="str">
        <x:v>Rice Meals</x:v>
      </x:c>
      <x:c r="G1593" s="44" t="n">
        <x:v>1</x:v>
      </x:c>
      <x:c r="H1593" s="45" t="n">
        <x:v>1800</x:v>
      </x:c>
      <x:c r="I1593" s="46" t="n">
        <x:v>0</x:v>
      </x:c>
      <x:c r="J1593" s="47" t="n">
        <x:f>G1593*H1593*(1-I1593)</x:f>
        <x:v>1800</x:v>
      </x:c>
      <x:c r="K1593" s="47" t="n">
        <x:v>820</x:v>
      </x:c>
      <x:c r="L1593" s="47" t="n">
        <x:f>G1593*K1593</x:f>
        <x:v>820</x:v>
      </x:c>
      <x:c r="M1593" s="47" t="n">
        <x:f>J1593-L1593</x:f>
        <x:v>980</x:v>
      </x:c>
      <x:c r="N1593" s="5" t="str">
        <x:v>Walk-in</x:v>
      </x:c>
      <x:c r="O1593" s="5" t="str">
        <x:v>Transfer</x:v>
      </x:c>
      <x:c r="P1593" s="5" t="str">
        <x:v>Lunch</x:v>
      </x:c>
      <x:c r="Q1593" s="48" t="n">
        <x:v>11</x:v>
      </x:c>
      <x:c r="R1593" s="5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5" t="str">
        <x:v>ORD-01470</x:v>
      </x:c>
      <x:c r="B1594" s="43" t="n">
        <x:v>46235</x:v>
      </x:c>
      <x:c r="C1594" s="5" t="str">
        <x:v>CUST-0212</x:v>
      </x:c>
      <x:c r="D1594" s="5" t="str">
        <x:v>FD002</x:v>
      </x:c>
      <x:c r="E1594" s="5" t="str">
        <x:v>Jollof Rice &amp; Chicken</x:v>
      </x:c>
      <x:c r="F1594" s="5" t="str">
        <x:v>Rice Meals</x:v>
      </x:c>
      <x:c r="G1594" s="44" t="n">
        <x:v>4</x:v>
      </x:c>
      <x:c r="H1594" s="45" t="n">
        <x:v>2800</x:v>
      </x:c>
      <x:c r="I1594" s="46" t="n">
        <x:v>0</x:v>
      </x:c>
      <x:c r="J1594" s="47" t="n">
        <x:f>G1594*H1594*(1-I1594)</x:f>
        <x:v>11200</x:v>
      </x:c>
      <x:c r="K1594" s="47" t="n">
        <x:v>1450</x:v>
      </x:c>
      <x:c r="L1594" s="47" t="n">
        <x:f>G1594*K1594</x:f>
        <x:v>5800</x:v>
      </x:c>
      <x:c r="M1594" s="47" t="n">
        <x:f>J1594-L1594</x:f>
        <x:v>5400</x:v>
      </x:c>
      <x:c r="N1594" s="5" t="str">
        <x:v>Walk-in</x:v>
      </x:c>
      <x:c r="O1594" s="5" t="str">
        <x:v>Cash</x:v>
      </x:c>
      <x:c r="P1594" s="5" t="str">
        <x:v>Breakfast</x:v>
      </x:c>
      <x:c r="Q1594" s="48" t="n">
        <x:v>9</x:v>
      </x:c>
      <x:c r="R1594" s="5" t="n">
        <x:v>3</x:v>
      </x:c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5" t="str">
        <x:v>ORD-01736</x:v>
      </x:c>
      <x:c r="B1595" s="43" t="n">
        <x:v>46235</x:v>
      </x:c>
      <x:c r="C1595" s="5" t="str">
        <x:v>CUST-0158</x:v>
      </x:c>
      <x:c r="D1595" s="5" t="str">
        <x:v>FD001</x:v>
      </x:c>
      <x:c r="E1595" s="5" t="str">
        <x:v>White Rice &amp; Stew</x:v>
      </x:c>
      <x:c r="F1595" s="5" t="str">
        <x:v>Rice Meals</x:v>
      </x:c>
      <x:c r="G1595" s="44" t="n">
        <x:v>3</x:v>
      </x:c>
      <x:c r="H1595" s="45" t="n">
        <x:v>1800</x:v>
      </x:c>
      <x:c r="I1595" s="46" t="n">
        <x:v>0</x:v>
      </x:c>
      <x:c r="J1595" s="47" t="n">
        <x:f>G1595*H1595*(1-I1595)</x:f>
        <x:v>5400</x:v>
      </x:c>
      <x:c r="K1595" s="47" t="n">
        <x:v>820</x:v>
      </x:c>
      <x:c r="L1595" s="47" t="n">
        <x:f>G1595*K1595</x:f>
        <x:v>2460</x:v>
      </x:c>
      <x:c r="M1595" s="47" t="n">
        <x:f>J1595-L1595</x:f>
        <x:v>2940</x:v>
      </x:c>
      <x:c r="N1595" s="5" t="str">
        <x:v>Walk-in</x:v>
      </x:c>
      <x:c r="O1595" s="5" t="str">
        <x:v>Cash</x:v>
      </x:c>
      <x:c r="P1595" s="5" t="str">
        <x:v>Lunch</x:v>
      </x:c>
      <x:c r="Q1595" s="48" t="n">
        <x:v>14</x:v>
      </x:c>
      <x:c r="R1595" s="5" t="n">
        <x:v>5</x:v>
      </x:c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5" t="str">
        <x:v>ORD-00427</x:v>
      </x:c>
      <x:c r="B1596" s="43" t="n">
        <x:v>46236</x:v>
      </x:c>
      <x:c r="C1596" s="5" t="str">
        <x:v>CUST-0217</x:v>
      </x:c>
      <x:c r="D1596" s="5" t="str">
        <x:v>FD002</x:v>
      </x:c>
      <x:c r="E1596" s="5" t="str">
        <x:v>Jollof Rice &amp; Chicken</x:v>
      </x:c>
      <x:c r="F1596" s="5" t="str">
        <x:v>Rice Meals</x:v>
      </x:c>
      <x:c r="G1596" s="44" t="n">
        <x:v>1</x:v>
      </x:c>
      <x:c r="H1596" s="45" t="n">
        <x:v>2800</x:v>
      </x:c>
      <x:c r="I1596" s="46" t="n">
        <x:v>0.05</x:v>
      </x:c>
      <x:c r="J1596" s="47" t="n">
        <x:f>G1596*H1596*(1-I1596)</x:f>
        <x:v>2660</x:v>
      </x:c>
      <x:c r="K1596" s="47" t="n">
        <x:v>1450</x:v>
      </x:c>
      <x:c r="L1596" s="47" t="n">
        <x:f>G1596*K1596</x:f>
        <x:v>1450</x:v>
      </x:c>
      <x:c r="M1596" s="47" t="n">
        <x:f>J1596-L1596</x:f>
        <x:v>1210</x:v>
      </x:c>
      <x:c r="N1596" s="5" t="str">
        <x:v>Walk-in</x:v>
      </x:c>
      <x:c r="O1596" s="5" t="str">
        <x:v>Transfer</x:v>
      </x:c>
      <x:c r="P1596" s="5" t="str">
        <x:v>Dinner</x:v>
      </x:c>
      <x:c r="Q1596" s="48" t="n">
        <x:v>18</x:v>
      </x:c>
      <x:c r="R1596" s="5" t="n">
        <x:v>5</x:v>
      </x:c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5" t="str">
        <x:v>ORD-01071</x:v>
      </x:c>
      <x:c r="B1597" s="43" t="n">
        <x:v>46236</x:v>
      </x:c>
      <x:c r="C1597" s="5" t="str">
        <x:v>CUST-0562</x:v>
      </x:c>
      <x:c r="D1597" s="5" t="str">
        <x:v>FD002</x:v>
      </x:c>
      <x:c r="E1597" s="5" t="str">
        <x:v>Jollof Rice &amp; Chicken</x:v>
      </x:c>
      <x:c r="F1597" s="5" t="str">
        <x:v>Rice Meals</x:v>
      </x:c>
      <x:c r="G1597" s="44" t="n">
        <x:v>2</x:v>
      </x:c>
      <x:c r="H1597" s="45" t="n">
        <x:v>2800</x:v>
      </x:c>
      <x:c r="I1597" s="46" t="n">
        <x:v>0</x:v>
      </x:c>
      <x:c r="J1597" s="47" t="n">
        <x:f>G1597*H1597*(1-I1597)</x:f>
        <x:v>5600</x:v>
      </x:c>
      <x:c r="K1597" s="47" t="n">
        <x:v>1450</x:v>
      </x:c>
      <x:c r="L1597" s="47" t="n">
        <x:f>G1597*K1597</x:f>
        <x:v>2900</x:v>
      </x:c>
      <x:c r="M1597" s="47" t="n">
        <x:f>J1597-L1597</x:f>
        <x:v>2700</x:v>
      </x:c>
      <x:c r="N1597" s="5" t="str">
        <x:v>Walk-in</x:v>
      </x:c>
      <x:c r="O1597" s="5" t="str">
        <x:v>Transfer</x:v>
      </x:c>
      <x:c r="P1597" s="5" t="str">
        <x:v>Breakfast</x:v>
      </x:c>
      <x:c r="Q1597" s="48" t="n">
        <x:v>10</x:v>
      </x:c>
      <x:c r="R1597" s="5" t="n">
        <x:v>5</x:v>
      </x:c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5" t="str">
        <x:v>ORD-01293</x:v>
      </x:c>
      <x:c r="B1598" s="43" t="n">
        <x:v>46236</x:v>
      </x:c>
      <x:c r="C1598" s="5" t="str">
        <x:v>CUST-0011</x:v>
      </x:c>
      <x:c r="D1598" s="5" t="str">
        <x:v>FD003</x:v>
      </x:c>
      <x:c r="E1598" s="5" t="str">
        <x:v>Fried Rice &amp; Chicken</x:v>
      </x:c>
      <x:c r="F1598" s="5" t="str">
        <x:v>Rice Meals</x:v>
      </x:c>
      <x:c r="G1598" s="44" t="n">
        <x:v>2</x:v>
      </x:c>
      <x:c r="H1598" s="45" t="n">
        <x:v>3000</x:v>
      </x:c>
      <x:c r="I1598" s="46" t="n">
        <x:v>0</x:v>
      </x:c>
      <x:c r="J1598" s="47" t="n">
        <x:f>G1598*H1598*(1-I1598)</x:f>
        <x:v>6000</x:v>
      </x:c>
      <x:c r="K1598" s="47" t="n">
        <x:v>1580</x:v>
      </x:c>
      <x:c r="L1598" s="47" t="n">
        <x:f>G1598*K1598</x:f>
        <x:v>3160</x:v>
      </x:c>
      <x:c r="M1598" s="47" t="n">
        <x:f>J1598-L1598</x:f>
        <x:v>2840</x:v>
      </x:c>
      <x:c r="N1598" s="5" t="str">
        <x:v>Takeaway</x:v>
      </x:c>
      <x:c r="O1598" s="5" t="str">
        <x:v>Transfer</x:v>
      </x:c>
      <x:c r="P1598" s="5" t="str">
        <x:v>Lunch</x:v>
      </x:c>
      <x:c r="Q1598" s="48" t="n">
        <x:v>12</x:v>
      </x:c>
      <x:c r="R1598" s="5" t="n">
        <x:v>4</x:v>
      </x:c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5" t="str">
        <x:v>ORD-01321</x:v>
      </x:c>
      <x:c r="B1599" s="43" t="n">
        <x:v>46236</x:v>
      </x:c>
      <x:c r="C1599" s="5" t="str">
        <x:v>CUST-0068</x:v>
      </x:c>
      <x:c r="D1599" s="5" t="str">
        <x:v>FD001</x:v>
      </x:c>
      <x:c r="E1599" s="5" t="str">
        <x:v>White Rice &amp; Stew</x:v>
      </x:c>
      <x:c r="F1599" s="5" t="str">
        <x:v>Rice Meals</x:v>
      </x:c>
      <x:c r="G1599" s="44" t="n">
        <x:v>2</x:v>
      </x:c>
      <x:c r="H1599" s="45" t="n">
        <x:v>1800</x:v>
      </x:c>
      <x:c r="I1599" s="46" t="n">
        <x:v>0</x:v>
      </x:c>
      <x:c r="J1599" s="47" t="n">
        <x:f>G1599*H1599*(1-I1599)</x:f>
        <x:v>3600</x:v>
      </x:c>
      <x:c r="K1599" s="47" t="n">
        <x:v>820</x:v>
      </x:c>
      <x:c r="L1599" s="47" t="n">
        <x:f>G1599*K1599</x:f>
        <x:v>1640</x:v>
      </x:c>
      <x:c r="M1599" s="47" t="n">
        <x:f>J1599-L1599</x:f>
        <x:v>1960</x:v>
      </x:c>
      <x:c r="N1599" s="5" t="str">
        <x:v>Walk-in</x:v>
      </x:c>
      <x:c r="O1599" s="5" t="str">
        <x:v>Cash</x:v>
      </x:c>
      <x:c r="P1599" s="5" t="str">
        <x:v>Lunch</x:v>
      </x:c>
      <x:c r="Q1599" s="48" t="n">
        <x:v>14</x:v>
      </x:c>
      <x:c r="R1599" s="5" t="n">
        <x:v>5</x:v>
      </x:c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5" t="str">
        <x:v>ORD-01556</x:v>
      </x:c>
      <x:c r="B1600" s="43" t="n">
        <x:v>46236</x:v>
      </x:c>
      <x:c r="C1600" s="5" t="str">
        <x:v>CUST-0315</x:v>
      </x:c>
      <x:c r="D1600" s="5" t="str">
        <x:v>FD002</x:v>
      </x:c>
      <x:c r="E1600" s="5" t="str">
        <x:v>Jollof Rice &amp; Chicken</x:v>
      </x:c>
      <x:c r="F1600" s="5" t="str">
        <x:v>Rice Meals</x:v>
      </x:c>
      <x:c r="G1600" s="44" t="n">
        <x:v>4</x:v>
      </x:c>
      <x:c r="H1600" s="45" t="n">
        <x:v>2800</x:v>
      </x:c>
      <x:c r="I1600" s="46" t="n">
        <x:v>0</x:v>
      </x:c>
      <x:c r="J1600" s="47" t="n">
        <x:f>G1600*H1600*(1-I1600)</x:f>
        <x:v>11200</x:v>
      </x:c>
      <x:c r="K1600" s="47" t="n">
        <x:v>1450</x:v>
      </x:c>
      <x:c r="L1600" s="47" t="n">
        <x:f>G1600*K1600</x:f>
        <x:v>5800</x:v>
      </x:c>
      <x:c r="M1600" s="47" t="n">
        <x:f>J1600-L1600</x:f>
        <x:v>5400</x:v>
      </x:c>
      <x:c r="N1600" s="5" t="str">
        <x:v>Walk-in</x:v>
      </x:c>
      <x:c r="O1600" s="5" t="str">
        <x:v>POS</x:v>
      </x:c>
      <x:c r="P1600" s="5" t="str">
        <x:v>Lunch</x:v>
      </x:c>
      <x:c r="Q1600" s="48" t="n">
        <x:v>15</x:v>
      </x:c>
      <x:c r="R1600" s="5" t="n">
        <x:v>3</x:v>
      </x:c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5" t="str">
        <x:v>ORD-01751</x:v>
      </x:c>
      <x:c r="B1601" s="43" t="n">
        <x:v>46236</x:v>
      </x:c>
      <x:c r="C1601" s="5" t="str">
        <x:v>CUST-0050</x:v>
      </x:c>
      <x:c r="D1601" s="5" t="str">
        <x:v>FD001</x:v>
      </x:c>
      <x:c r="E1601" s="5" t="str">
        <x:v>White Rice &amp; Stew</x:v>
      </x:c>
      <x:c r="F1601" s="5" t="str">
        <x:v>Rice Meals</x:v>
      </x:c>
      <x:c r="G1601" s="44" t="n">
        <x:v>2</x:v>
      </x:c>
      <x:c r="H1601" s="45" t="n">
        <x:v>1800</x:v>
      </x:c>
      <x:c r="I1601" s="46" t="n">
        <x:v>0</x:v>
      </x:c>
      <x:c r="J1601" s="47" t="n">
        <x:f>G1601*H1601*(1-I1601)</x:f>
        <x:v>3600</x:v>
      </x:c>
      <x:c r="K1601" s="47" t="n">
        <x:v>820</x:v>
      </x:c>
      <x:c r="L1601" s="47" t="n">
        <x:f>G1601*K1601</x:f>
        <x:v>1640</x:v>
      </x:c>
      <x:c r="M1601" s="47" t="n">
        <x:f>J1601-L1601</x:f>
        <x:v>1960</x:v>
      </x:c>
      <x:c r="N1601" s="5" t="str">
        <x:v>Takeaway</x:v>
      </x:c>
      <x:c r="O1601" s="5" t="str">
        <x:v>Cash</x:v>
      </x:c>
      <x:c r="P1601" s="5" t="str">
        <x:v>Lunch</x:v>
      </x:c>
      <x:c r="Q1601" s="48" t="n">
        <x:v>12</x:v>
      </x:c>
      <x:c r="R1601" s="5" t="n">
        <x:v>5</x:v>
      </x:c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5" t="str">
        <x:v>ORD-00088</x:v>
      </x:c>
      <x:c r="B1602" s="43" t="n">
        <x:v>46237</x:v>
      </x:c>
      <x:c r="C1602" s="5" t="str">
        <x:v>CUST-0114</x:v>
      </x:c>
      <x:c r="D1602" s="5" t="str">
        <x:v>FD006</x:v>
      </x:c>
      <x:c r="E1602" s="5" t="str">
        <x:v>Eba &amp; Egusi Soup</x:v>
      </x:c>
      <x:c r="F1602" s="5" t="str">
        <x:v>Swallow</x:v>
      </x:c>
      <x:c r="G1602" s="44" t="n">
        <x:v>4</x:v>
      </x:c>
      <x:c r="H1602" s="45" t="n">
        <x:v>2600</x:v>
      </x:c>
      <x:c r="I1602" s="46" t="n">
        <x:v>0</x:v>
      </x:c>
      <x:c r="J1602" s="47" t="n">
        <x:f>G1602*H1602*(1-I1602)</x:f>
        <x:v>10400</x:v>
      </x:c>
      <x:c r="K1602" s="47" t="n">
        <x:v>1320</x:v>
      </x:c>
      <x:c r="L1602" s="47" t="n">
        <x:f>G1602*K1602</x:f>
        <x:v>5280</x:v>
      </x:c>
      <x:c r="M1602" s="47" t="n">
        <x:f>J1602-L1602</x:f>
        <x:v>5120</x:v>
      </x:c>
      <x:c r="N1602" s="5" t="str">
        <x:v>Walk-in</x:v>
      </x:c>
      <x:c r="O1602" s="5" t="str">
        <x:v>POS</x:v>
      </x:c>
      <x:c r="P1602" s="5" t="str">
        <x:v>Lunch</x:v>
      </x:c>
      <x:c r="Q1602" s="48" t="n">
        <x:v>11</x:v>
      </x:c>
      <x:c r="R1602" s="5" t="n">
        <x:v>3</x:v>
      </x:c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5" t="str">
        <x:v>ORD-00307</x:v>
      </x:c>
      <x:c r="B1603" s="43" t="n">
        <x:v>46237</x:v>
      </x:c>
      <x:c r="C1603" s="5" t="str">
        <x:v>CUST-0134</x:v>
      </x:c>
      <x:c r="D1603" s="5" t="str">
        <x:v>FD005</x:v>
      </x:c>
      <x:c r="E1603" s="5" t="str">
        <x:v>Yam Porridge</x:v>
      </x:c>
      <x:c r="F1603" s="5" t="str">
        <x:v>Traditional Meals</x:v>
      </x:c>
      <x:c r="G1603" s="44" t="n">
        <x:v>3</x:v>
      </x:c>
      <x:c r="H1603" s="45" t="n">
        <x:v>2200</x:v>
      </x:c>
      <x:c r="I1603" s="46" t="n">
        <x:v>0</x:v>
      </x:c>
      <x:c r="J1603" s="47" t="n">
        <x:f>G1603*H1603*(1-I1603)</x:f>
        <x:v>6600</x:v>
      </x:c>
      <x:c r="K1603" s="47" t="n">
        <x:v>1050</x:v>
      </x:c>
      <x:c r="L1603" s="47" t="n">
        <x:f>G1603*K1603</x:f>
        <x:v>3150</x:v>
      </x:c>
      <x:c r="M1603" s="47" t="n">
        <x:f>J1603-L1603</x:f>
        <x:v>3450</x:v>
      </x:c>
      <x:c r="N1603" s="5" t="str">
        <x:v>Walk-in</x:v>
      </x:c>
      <x:c r="O1603" s="5" t="str">
        <x:v>Cash</x:v>
      </x:c>
      <x:c r="P1603" s="5" t="str">
        <x:v>Lunch</x:v>
      </x:c>
      <x:c r="Q1603" s="48" t="n">
        <x:v>11</x:v>
      </x:c>
      <x:c r="R1603" s="5" t="n">
        <x:v>4</x:v>
      </x:c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5" t="str">
        <x:v>ORD-00459</x:v>
      </x:c>
      <x:c r="B1604" s="43" t="n">
        <x:v>46237</x:v>
      </x:c>
      <x:c r="C1604" s="5" t="str">
        <x:v>CUST-0608</x:v>
      </x:c>
      <x:c r="D1604" s="5" t="str">
        <x:v>FD001</x:v>
      </x:c>
      <x:c r="E1604" s="5" t="str">
        <x:v>White Rice &amp; Stew</x:v>
      </x:c>
      <x:c r="F1604" s="5" t="str">
        <x:v>Rice Meals</x:v>
      </x:c>
      <x:c r="G1604" s="44" t="n">
        <x:v>1</x:v>
      </x:c>
      <x:c r="H1604" s="45" t="n">
        <x:v>1800</x:v>
      </x:c>
      <x:c r="I1604" s="46" t="n">
        <x:v>0.05</x:v>
      </x:c>
      <x:c r="J1604" s="47" t="n">
        <x:f>G1604*H1604*(1-I1604)</x:f>
        <x:v>1710</x:v>
      </x:c>
      <x:c r="K1604" s="47" t="n">
        <x:v>820</x:v>
      </x:c>
      <x:c r="L1604" s="47" t="n">
        <x:f>G1604*K1604</x:f>
        <x:v>820</x:v>
      </x:c>
      <x:c r="M1604" s="47" t="n">
        <x:f>J1604-L1604</x:f>
        <x:v>890</x:v>
      </x:c>
      <x:c r="N1604" s="5" t="str">
        <x:v>Takeaway</x:v>
      </x:c>
      <x:c r="O1604" s="5" t="str">
        <x:v>Transfer</x:v>
      </x:c>
      <x:c r="P1604" s="5" t="str">
        <x:v>Breakfast</x:v>
      </x:c>
      <x:c r="Q1604" s="48" t="n">
        <x:v>9</x:v>
      </x:c>
      <x:c r="R1604" s="5" t="n">
        <x:v>5</x:v>
      </x:c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5" t="str">
        <x:v>ORD-00644</x:v>
      </x:c>
      <x:c r="B1605" s="43" t="n">
        <x:v>46237</x:v>
      </x:c>
      <x:c r="C1605" s="5" t="str">
        <x:v>CUST-0060</x:v>
      </x:c>
      <x:c r="D1605" s="5" t="str">
        <x:v>FD003</x:v>
      </x:c>
      <x:c r="E1605" s="5" t="str">
        <x:v>Fried Rice &amp; Chicken</x:v>
      </x:c>
      <x:c r="F1605" s="5" t="str">
        <x:v>Rice Meals</x:v>
      </x:c>
      <x:c r="G1605" s="44" t="n">
        <x:v>4</x:v>
      </x:c>
      <x:c r="H1605" s="45" t="n">
        <x:v>3000</x:v>
      </x:c>
      <x:c r="I1605" s="46" t="n">
        <x:v>0</x:v>
      </x:c>
      <x:c r="J1605" s="47" t="n">
        <x:f>G1605*H1605*(1-I1605)</x:f>
        <x:v>12000</x:v>
      </x:c>
      <x:c r="K1605" s="47" t="n">
        <x:v>1580</x:v>
      </x:c>
      <x:c r="L1605" s="47" t="n">
        <x:f>G1605*K1605</x:f>
        <x:v>6320</x:v>
      </x:c>
      <x:c r="M1605" s="47" t="n">
        <x:f>J1605-L1605</x:f>
        <x:v>5680</x:v>
      </x:c>
      <x:c r="N1605" s="5" t="str">
        <x:v>Walk-in</x:v>
      </x:c>
      <x:c r="O1605" s="5" t="str">
        <x:v>POS</x:v>
      </x:c>
      <x:c r="P1605" s="5" t="str">
        <x:v>Lunch</x:v>
      </x:c>
      <x:c r="Q1605" s="48" t="n">
        <x:v>15</x:v>
      </x:c>
      <x:c r="R1605" s="5" t="n">
        <x:v>5</x:v>
      </x:c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5" t="str">
        <x:v>ORD-00685</x:v>
      </x:c>
      <x:c r="B1606" s="43" t="n">
        <x:v>46237</x:v>
      </x:c>
      <x:c r="C1606" s="5" t="str">
        <x:v>CUST-0253</x:v>
      </x:c>
      <x:c r="D1606" s="5" t="str">
        <x:v>FD003</x:v>
      </x:c>
      <x:c r="E1606" s="5" t="str">
        <x:v>Fried Rice &amp; Chicken</x:v>
      </x:c>
      <x:c r="F1606" s="5" t="str">
        <x:v>Rice Meals</x:v>
      </x:c>
      <x:c r="G1606" s="44" t="n">
        <x:v>3</x:v>
      </x:c>
      <x:c r="H1606" s="45" t="n">
        <x:v>3000</x:v>
      </x:c>
      <x:c r="I1606" s="46" t="n">
        <x:v>0</x:v>
      </x:c>
      <x:c r="J1606" s="47" t="n">
        <x:f>G1606*H1606*(1-I1606)</x:f>
        <x:v>9000</x:v>
      </x:c>
      <x:c r="K1606" s="47" t="n">
        <x:v>1580</x:v>
      </x:c>
      <x:c r="L1606" s="47" t="n">
        <x:f>G1606*K1606</x:f>
        <x:v>4740</x:v>
      </x:c>
      <x:c r="M1606" s="47" t="n">
        <x:f>J1606-L1606</x:f>
        <x:v>4260</x:v>
      </x:c>
      <x:c r="N1606" s="5" t="str">
        <x:v>Delivery</x:v>
      </x:c>
      <x:c r="O1606" s="5" t="str">
        <x:v>Transfer</x:v>
      </x:c>
      <x:c r="P1606" s="5" t="str">
        <x:v>Breakfast</x:v>
      </x:c>
      <x:c r="Q1606" s="48" t="n">
        <x:v>8</x:v>
      </x:c>
      <x:c r="R1606" s="5" t="n">
        <x:v>4</x:v>
      </x:c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5" t="str">
        <x:v>ORD-00881</x:v>
      </x:c>
      <x:c r="B1607" s="43" t="n">
        <x:v>46237</x:v>
      </x:c>
      <x:c r="C1607" s="5" t="str">
        <x:v>CUST-0175</x:v>
      </x:c>
      <x:c r="D1607" s="5" t="str">
        <x:v>FD004</x:v>
      </x:c>
      <x:c r="E1607" s="5" t="str">
        <x:v>Beans &amp; Plantain</x:v>
      </x:c>
      <x:c r="F1607" s="5" t="str">
        <x:v>Traditional Meals</x:v>
      </x:c>
      <x:c r="G1607" s="44" t="n">
        <x:v>2</x:v>
      </x:c>
      <x:c r="H1607" s="45" t="n">
        <x:v>2000</x:v>
      </x:c>
      <x:c r="I1607" s="46" t="n">
        <x:v>0</x:v>
      </x:c>
      <x:c r="J1607" s="47" t="n">
        <x:f>G1607*H1607*(1-I1607)</x:f>
        <x:v>4000</x:v>
      </x:c>
      <x:c r="K1607" s="47" t="n">
        <x:v>960</x:v>
      </x:c>
      <x:c r="L1607" s="47" t="n">
        <x:f>G1607*K1607</x:f>
        <x:v>1920</x:v>
      </x:c>
      <x:c r="M1607" s="47" t="n">
        <x:f>J1607-L1607</x:f>
        <x:v>2080</x:v>
      </x:c>
      <x:c r="N1607" s="5" t="str">
        <x:v>Delivery</x:v>
      </x:c>
      <x:c r="O1607" s="5" t="str">
        <x:v>Transfer</x:v>
      </x:c>
      <x:c r="P1607" s="5" t="str">
        <x:v>Dinner</x:v>
      </x:c>
      <x:c r="Q1607" s="48" t="n">
        <x:v>17</x:v>
      </x:c>
      <x:c r="R1607" s="5" t="n">
        <x:v>5</x:v>
      </x:c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5" t="str">
        <x:v>ORD-00945</x:v>
      </x:c>
      <x:c r="B1608" s="43" t="n">
        <x:v>46237</x:v>
      </x:c>
      <x:c r="C1608" s="5" t="str">
        <x:v>CUST-0464</x:v>
      </x:c>
      <x:c r="D1608" s="5" t="str">
        <x:v>FD006</x:v>
      </x:c>
      <x:c r="E1608" s="5" t="str">
        <x:v>Eba &amp; Egusi Soup</x:v>
      </x:c>
      <x:c r="F1608" s="5" t="str">
        <x:v>Swallow</x:v>
      </x:c>
      <x:c r="G1608" s="44" t="n">
        <x:v>4</x:v>
      </x:c>
      <x:c r="H1608" s="45" t="n">
        <x:v>2600</x:v>
      </x:c>
      <x:c r="I1608" s="46" t="n">
        <x:v>0</x:v>
      </x:c>
      <x:c r="J1608" s="47" t="n">
        <x:f>G1608*H1608*(1-I1608)</x:f>
        <x:v>10400</x:v>
      </x:c>
      <x:c r="K1608" s="47" t="n">
        <x:v>1320</x:v>
      </x:c>
      <x:c r="L1608" s="47" t="n">
        <x:f>G1608*K1608</x:f>
        <x:v>5280</x:v>
      </x:c>
      <x:c r="M1608" s="47" t="n">
        <x:f>J1608-L1608</x:f>
        <x:v>5120</x:v>
      </x:c>
      <x:c r="N1608" s="5" t="str">
        <x:v>Delivery</x:v>
      </x:c>
      <x:c r="O1608" s="5" t="str">
        <x:v>Cash</x:v>
      </x:c>
      <x:c r="P1608" s="5" t="str">
        <x:v>Dinner</x:v>
      </x:c>
      <x:c r="Q1608" s="48" t="n">
        <x:v>19</x:v>
      </x:c>
      <x:c r="R1608" s="5" t="n">
        <x:v>5</x:v>
      </x:c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5" t="str">
        <x:v>ORD-01015</x:v>
      </x:c>
      <x:c r="B1609" s="43" t="n">
        <x:v>46237</x:v>
      </x:c>
      <x:c r="C1609" s="5" t="str">
        <x:v>CUST-0588</x:v>
      </x:c>
      <x:c r="D1609" s="5" t="str">
        <x:v>FD001</x:v>
      </x:c>
      <x:c r="E1609" s="5" t="str">
        <x:v>White Rice &amp; Stew</x:v>
      </x:c>
      <x:c r="F1609" s="5" t="str">
        <x:v>Rice Meals</x:v>
      </x:c>
      <x:c r="G1609" s="44" t="n">
        <x:v>3</x:v>
      </x:c>
      <x:c r="H1609" s="45" t="n">
        <x:v>1800</x:v>
      </x:c>
      <x:c r="I1609" s="46" t="n">
        <x:v>0</x:v>
      </x:c>
      <x:c r="J1609" s="47" t="n">
        <x:f>G1609*H1609*(1-I1609)</x:f>
        <x:v>5400</x:v>
      </x:c>
      <x:c r="K1609" s="47" t="n">
        <x:v>820</x:v>
      </x:c>
      <x:c r="L1609" s="47" t="n">
        <x:f>G1609*K1609</x:f>
        <x:v>2460</x:v>
      </x:c>
      <x:c r="M1609" s="47" t="n">
        <x:f>J1609-L1609</x:f>
        <x:v>2940</x:v>
      </x:c>
      <x:c r="N1609" s="5" t="str">
        <x:v>Walk-in</x:v>
      </x:c>
      <x:c r="O1609" s="5" t="str">
        <x:v>Transfer</x:v>
      </x:c>
      <x:c r="P1609" s="5" t="str">
        <x:v>Dinner</x:v>
      </x:c>
      <x:c r="Q1609" s="48" t="n">
        <x:v>18</x:v>
      </x:c>
      <x:c r="R1609" s="5" t="n">
        <x:v>4</x:v>
      </x:c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5" t="str">
        <x:v>ORD-01028</x:v>
      </x:c>
      <x:c r="B1610" s="43" t="n">
        <x:v>46237</x:v>
      </x:c>
      <x:c r="C1610" s="5" t="str">
        <x:v>CUST-0117</x:v>
      </x:c>
      <x:c r="D1610" s="5" t="str">
        <x:v>FD001</x:v>
      </x:c>
      <x:c r="E1610" s="5" t="str">
        <x:v>White Rice &amp; Stew</x:v>
      </x:c>
      <x:c r="F1610" s="5" t="str">
        <x:v>Rice Meals</x:v>
      </x:c>
      <x:c r="G1610" s="44" t="n">
        <x:v>3</x:v>
      </x:c>
      <x:c r="H1610" s="45" t="n">
        <x:v>1800</x:v>
      </x:c>
      <x:c r="I1610" s="46" t="n">
        <x:v>0</x:v>
      </x:c>
      <x:c r="J1610" s="47" t="n">
        <x:f>G1610*H1610*(1-I1610)</x:f>
        <x:v>5400</x:v>
      </x:c>
      <x:c r="K1610" s="47" t="n">
        <x:v>820</x:v>
      </x:c>
      <x:c r="L1610" s="47" t="n">
        <x:f>G1610*K1610</x:f>
        <x:v>2460</x:v>
      </x:c>
      <x:c r="M1610" s="47" t="n">
        <x:f>J1610-L1610</x:f>
        <x:v>2940</x:v>
      </x:c>
      <x:c r="N1610" s="5" t="str">
        <x:v>Walk-in</x:v>
      </x:c>
      <x:c r="O1610" s="5" t="str">
        <x:v>Cash</x:v>
      </x:c>
      <x:c r="P1610" s="5" t="str">
        <x:v>Dinner</x:v>
      </x:c>
      <x:c r="Q1610" s="48" t="n">
        <x:v>20</x:v>
      </x:c>
      <x:c r="R1610" s="5" t="n">
        <x:v>4</x:v>
      </x:c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5" t="str">
        <x:v>ORD-01172</x:v>
      </x:c>
      <x:c r="B1611" s="43" t="n">
        <x:v>46237</x:v>
      </x:c>
      <x:c r="C1611" s="5" t="str">
        <x:v>CUST-0387</x:v>
      </x:c>
      <x:c r="D1611" s="5" t="str">
        <x:v>FD007</x:v>
      </x:c>
      <x:c r="E1611" s="5" t="str">
        <x:v>Amala &amp; Ewedu</x:v>
      </x:c>
      <x:c r="F1611" s="5" t="str">
        <x:v>Swallow</x:v>
      </x:c>
      <x:c r="G1611" s="44" t="n">
        <x:v>4</x:v>
      </x:c>
      <x:c r="H1611" s="45" t="n">
        <x:v>2500</x:v>
      </x:c>
      <x:c r="I1611" s="46" t="n">
        <x:v>0.05</x:v>
      </x:c>
      <x:c r="J1611" s="47" t="n">
        <x:f>G1611*H1611*(1-I1611)</x:f>
        <x:v>9500</x:v>
      </x:c>
      <x:c r="K1611" s="47" t="n">
        <x:v>1250</x:v>
      </x:c>
      <x:c r="L1611" s="47" t="n">
        <x:f>G1611*K1611</x:f>
        <x:v>5000</x:v>
      </x:c>
      <x:c r="M1611" s="47" t="n">
        <x:f>J1611-L1611</x:f>
        <x:v>4500</x:v>
      </x:c>
      <x:c r="N1611" s="5" t="str">
        <x:v>Walk-in</x:v>
      </x:c>
      <x:c r="O1611" s="5" t="str">
        <x:v>Cash</x:v>
      </x:c>
      <x:c r="P1611" s="5" t="str">
        <x:v>Lunch</x:v>
      </x:c>
      <x:c r="Q1611" s="48" t="n">
        <x:v>15</x:v>
      </x:c>
      <x:c r="R1611" s="5" t="n">
        <x:v>5</x:v>
      </x:c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5" t="str">
        <x:v>ORD-01535</x:v>
      </x:c>
      <x:c r="B1612" s="43" t="n">
        <x:v>46237</x:v>
      </x:c>
      <x:c r="C1612" s="5" t="str">
        <x:v>CUST-0181</x:v>
      </x:c>
      <x:c r="D1612" s="5" t="str">
        <x:v>FD006</x:v>
      </x:c>
      <x:c r="E1612" s="5" t="str">
        <x:v>Eba &amp; Egusi Soup</x:v>
      </x:c>
      <x:c r="F1612" s="5" t="str">
        <x:v>Swallow</x:v>
      </x:c>
      <x:c r="G1612" s="44" t="n">
        <x:v>3</x:v>
      </x:c>
      <x:c r="H1612" s="45" t="n">
        <x:v>2600</x:v>
      </x:c>
      <x:c r="I1612" s="46" t="n">
        <x:v>0</x:v>
      </x:c>
      <x:c r="J1612" s="47" t="n">
        <x:f>G1612*H1612*(1-I1612)</x:f>
        <x:v>7800</x:v>
      </x:c>
      <x:c r="K1612" s="47" t="n">
        <x:v>1320</x:v>
      </x:c>
      <x:c r="L1612" s="47" t="n">
        <x:f>G1612*K1612</x:f>
        <x:v>3960</x:v>
      </x:c>
      <x:c r="M1612" s="47" t="n">
        <x:f>J1612-L1612</x:f>
        <x:v>3840</x:v>
      </x:c>
      <x:c r="N1612" s="5" t="str">
        <x:v>Takeaway</x:v>
      </x:c>
      <x:c r="O1612" s="5" t="str">
        <x:v>Cash</x:v>
      </x:c>
      <x:c r="P1612" s="5" t="str">
        <x:v>Dinner</x:v>
      </x:c>
      <x:c r="Q1612" s="48" t="n">
        <x:v>19</x:v>
      </x:c>
      <x:c r="R1612" s="5" t="n">
        <x:v>4</x:v>
      </x:c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5" t="str">
        <x:v>ORD-01603</x:v>
      </x:c>
      <x:c r="B1613" s="43" t="n">
        <x:v>46237</x:v>
      </x:c>
      <x:c r="C1613" s="5" t="str">
        <x:v>CUST-0470</x:v>
      </x:c>
      <x:c r="D1613" s="5" t="str">
        <x:v>FD006</x:v>
      </x:c>
      <x:c r="E1613" s="5" t="str">
        <x:v>Eba &amp; Egusi Soup</x:v>
      </x:c>
      <x:c r="F1613" s="5" t="str">
        <x:v>Swallow</x:v>
      </x:c>
      <x:c r="G1613" s="44" t="n">
        <x:v>1</x:v>
      </x:c>
      <x:c r="H1613" s="45" t="n">
        <x:v>2600</x:v>
      </x:c>
      <x:c r="I1613" s="46" t="n">
        <x:v>0</x:v>
      </x:c>
      <x:c r="J1613" s="47" t="n">
        <x:f>G1613*H1613*(1-I1613)</x:f>
        <x:v>2600</x:v>
      </x:c>
      <x:c r="K1613" s="47" t="n">
        <x:v>1320</x:v>
      </x:c>
      <x:c r="L1613" s="47" t="n">
        <x:f>G1613*K1613</x:f>
        <x:v>1320</x:v>
      </x:c>
      <x:c r="M1613" s="47" t="n">
        <x:f>J1613-L1613</x:f>
        <x:v>1280</x:v>
      </x:c>
      <x:c r="N1613" s="5" t="str">
        <x:v>Walk-in</x:v>
      </x:c>
      <x:c r="O1613" s="5" t="str">
        <x:v>Transfer</x:v>
      </x:c>
      <x:c r="P1613" s="5" t="str">
        <x:v>Dinner</x:v>
      </x:c>
      <x:c r="Q1613" s="48" t="n">
        <x:v>19</x:v>
      </x:c>
      <x:c r="R1613" s="5" t="n">
        <x:v>5</x:v>
      </x:c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5" t="str">
        <x:v>ORD-01752</x:v>
      </x:c>
      <x:c r="B1614" s="43" t="n">
        <x:v>46237</x:v>
      </x:c>
      <x:c r="C1614" s="5" t="str">
        <x:v>CUST-0072</x:v>
      </x:c>
      <x:c r="D1614" s="5" t="str">
        <x:v>FD003</x:v>
      </x:c>
      <x:c r="E1614" s="5" t="str">
        <x:v>Fried Rice &amp; Chicken</x:v>
      </x:c>
      <x:c r="F1614" s="5" t="str">
        <x:v>Rice Meals</x:v>
      </x:c>
      <x:c r="G1614" s="44" t="n">
        <x:v>1</x:v>
      </x:c>
      <x:c r="H1614" s="45" t="n">
        <x:v>3000</x:v>
      </x:c>
      <x:c r="I1614" s="46" t="n">
        <x:v>0</x:v>
      </x:c>
      <x:c r="J1614" s="47" t="n">
        <x:f>G1614*H1614*(1-I1614)</x:f>
        <x:v>3000</x:v>
      </x:c>
      <x:c r="K1614" s="47" t="n">
        <x:v>1580</x:v>
      </x:c>
      <x:c r="L1614" s="47" t="n">
        <x:f>G1614*K1614</x:f>
        <x:v>1580</x:v>
      </x:c>
      <x:c r="M1614" s="47" t="n">
        <x:f>J1614-L1614</x:f>
        <x:v>1420</x:v>
      </x:c>
      <x:c r="N1614" s="5" t="str">
        <x:v>Takeaway</x:v>
      </x:c>
      <x:c r="O1614" s="5" t="str">
        <x:v>POS</x:v>
      </x:c>
      <x:c r="P1614" s="5" t="str">
        <x:v>Lunch</x:v>
      </x:c>
      <x:c r="Q1614" s="48" t="n">
        <x:v>12</x:v>
      </x:c>
      <x:c r="R1614" s="5" t="n">
        <x:v>5</x:v>
      </x:c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5" t="str">
        <x:v>ORD-00383</x:v>
      </x:c>
      <x:c r="B1615" s="43" t="n">
        <x:v>46238</x:v>
      </x:c>
      <x:c r="C1615" s="5" t="str">
        <x:v>CUST-0409</x:v>
      </x:c>
      <x:c r="D1615" s="5" t="str">
        <x:v>FD008</x:v>
      </x:c>
      <x:c r="E1615" s="5" t="str">
        <x:v>Pounded Yam &amp; Vegetable Soup</x:v>
      </x:c>
      <x:c r="F1615" s="5" t="str">
        <x:v>Swallow</x:v>
      </x:c>
      <x:c r="G1615" s="44" t="n">
        <x:v>1</x:v>
      </x:c>
      <x:c r="H1615" s="45" t="n">
        <x:v>3200</x:v>
      </x:c>
      <x:c r="I1615" s="46" t="n">
        <x:v>0</x:v>
      </x:c>
      <x:c r="J1615" s="47" t="n">
        <x:f>G1615*H1615*(1-I1615)</x:f>
        <x:v>3200</x:v>
      </x:c>
      <x:c r="K1615" s="47" t="n">
        <x:v>1710</x:v>
      </x:c>
      <x:c r="L1615" s="47" t="n">
        <x:f>G1615*K1615</x:f>
        <x:v>1710</x:v>
      </x:c>
      <x:c r="M1615" s="47" t="n">
        <x:f>J1615-L1615</x:f>
        <x:v>1490</x:v>
      </x:c>
      <x:c r="N1615" s="5" t="str">
        <x:v>Delivery</x:v>
      </x:c>
      <x:c r="O1615" s="5" t="str">
        <x:v>Cash</x:v>
      </x:c>
      <x:c r="P1615" s="5" t="str">
        <x:v>Lunch</x:v>
      </x:c>
      <x:c r="Q1615" s="48" t="n">
        <x:v>14</x:v>
      </x:c>
      <x:c r="R1615" s="5" t="n">
        <x:v>5</x:v>
      </x:c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5" t="str">
        <x:v>ORD-00417</x:v>
      </x:c>
      <x:c r="B1616" s="43" t="n">
        <x:v>46238</x:v>
      </x:c>
      <x:c r="C1616" s="5" t="str">
        <x:v>CUST-0574</x:v>
      </x:c>
      <x:c r="D1616" s="5" t="str">
        <x:v>FD001</x:v>
      </x:c>
      <x:c r="E1616" s="5" t="str">
        <x:v>White Rice &amp; Stew</x:v>
      </x:c>
      <x:c r="F1616" s="5" t="str">
        <x:v>Rice Meals</x:v>
      </x:c>
      <x:c r="G1616" s="44" t="n">
        <x:v>3</x:v>
      </x:c>
      <x:c r="H1616" s="45" t="n">
        <x:v>1800</x:v>
      </x:c>
      <x:c r="I1616" s="46" t="n">
        <x:v>0</x:v>
      </x:c>
      <x:c r="J1616" s="47" t="n">
        <x:f>G1616*H1616*(1-I1616)</x:f>
        <x:v>5400</x:v>
      </x:c>
      <x:c r="K1616" s="47" t="n">
        <x:v>820</x:v>
      </x:c>
      <x:c r="L1616" s="47" t="n">
        <x:f>G1616*K1616</x:f>
        <x:v>2460</x:v>
      </x:c>
      <x:c r="M1616" s="47" t="n">
        <x:f>J1616-L1616</x:f>
        <x:v>2940</x:v>
      </x:c>
      <x:c r="N1616" s="5" t="str">
        <x:v>Walk-in</x:v>
      </x:c>
      <x:c r="O1616" s="5" t="str">
        <x:v>Transfer</x:v>
      </x:c>
      <x:c r="P1616" s="5" t="str">
        <x:v>Breakfast</x:v>
      </x:c>
      <x:c r="Q1616" s="48" t="n">
        <x:v>8</x:v>
      </x:c>
      <x:c r="R1616" s="5" t="n">
        <x:v>5</x:v>
      </x:c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5" t="str">
        <x:v>ORD-00567</x:v>
      </x:c>
      <x:c r="B1617" s="43" t="n">
        <x:v>46238</x:v>
      </x:c>
      <x:c r="C1617" s="5" t="str">
        <x:v>CUST-0450</x:v>
      </x:c>
      <x:c r="D1617" s="5" t="str">
        <x:v>FD004</x:v>
      </x:c>
      <x:c r="E1617" s="5" t="str">
        <x:v>Beans &amp; Plantain</x:v>
      </x:c>
      <x:c r="F1617" s="5" t="str">
        <x:v>Traditional Meals</x:v>
      </x:c>
      <x:c r="G1617" s="44" t="n">
        <x:v>4</x:v>
      </x:c>
      <x:c r="H1617" s="45" t="n">
        <x:v>2000</x:v>
      </x:c>
      <x:c r="I1617" s="46" t="n">
        <x:v>0.1</x:v>
      </x:c>
      <x:c r="J1617" s="47" t="n">
        <x:f>G1617*H1617*(1-I1617)</x:f>
        <x:v>7200</x:v>
      </x:c>
      <x:c r="K1617" s="47" t="n">
        <x:v>960</x:v>
      </x:c>
      <x:c r="L1617" s="47" t="n">
        <x:f>G1617*K1617</x:f>
        <x:v>3840</x:v>
      </x:c>
      <x:c r="M1617" s="47" t="n">
        <x:f>J1617-L1617</x:f>
        <x:v>3360</x:v>
      </x:c>
      <x:c r="N1617" s="5" t="str">
        <x:v>Walk-in</x:v>
      </x:c>
      <x:c r="O1617" s="5" t="str">
        <x:v>POS</x:v>
      </x:c>
      <x:c r="P1617" s="5" t="str">
        <x:v>Dinner</x:v>
      </x:c>
      <x:c r="Q1617" s="48" t="n">
        <x:v>18</x:v>
      </x:c>
      <x:c r="R1617" s="5" t="n">
        <x:v>5</x:v>
      </x:c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5" t="str">
        <x:v>ORD-00883</x:v>
      </x:c>
      <x:c r="B1618" s="43" t="n">
        <x:v>46238</x:v>
      </x:c>
      <x:c r="C1618" s="5" t="str">
        <x:v>CUST-0006</x:v>
      </x:c>
      <x:c r="D1618" s="5" t="str">
        <x:v>FD004</x:v>
      </x:c>
      <x:c r="E1618" s="5" t="str">
        <x:v>Beans &amp; Plantain</x:v>
      </x:c>
      <x:c r="F1618" s="5" t="str">
        <x:v>Traditional Meals</x:v>
      </x:c>
      <x:c r="G1618" s="44" t="n">
        <x:v>2</x:v>
      </x:c>
      <x:c r="H1618" s="45" t="n">
        <x:v>2000</x:v>
      </x:c>
      <x:c r="I1618" s="46" t="n">
        <x:v>0</x:v>
      </x:c>
      <x:c r="J1618" s="47" t="n">
        <x:f>G1618*H1618*(1-I1618)</x:f>
        <x:v>4000</x:v>
      </x:c>
      <x:c r="K1618" s="47" t="n">
        <x:v>960</x:v>
      </x:c>
      <x:c r="L1618" s="47" t="n">
        <x:f>G1618*K1618</x:f>
        <x:v>1920</x:v>
      </x:c>
      <x:c r="M1618" s="47" t="n">
        <x:f>J1618-L1618</x:f>
        <x:v>2080</x:v>
      </x:c>
      <x:c r="N1618" s="5" t="str">
        <x:v>Walk-in</x:v>
      </x:c>
      <x:c r="O1618" s="5" t="str">
        <x:v>Transfer</x:v>
      </x:c>
      <x:c r="P1618" s="5" t="str">
        <x:v>Lunch</x:v>
      </x:c>
      <x:c r="Q1618" s="48" t="n">
        <x:v>12</x:v>
      </x:c>
      <x:c r="R1618" s="5" t="n">
        <x:v>5</x:v>
      </x:c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5" t="str">
        <x:v>ORD-01317</x:v>
      </x:c>
      <x:c r="B1619" s="43" t="n">
        <x:v>46238</x:v>
      </x:c>
      <x:c r="C1619" s="5" t="str">
        <x:v>CUST-0171</x:v>
      </x:c>
      <x:c r="D1619" s="5" t="str">
        <x:v>FD002</x:v>
      </x:c>
      <x:c r="E1619" s="5" t="str">
        <x:v>Jollof Rice &amp; Chicken</x:v>
      </x:c>
      <x:c r="F1619" s="5" t="str">
        <x:v>Rice Meals</x:v>
      </x:c>
      <x:c r="G1619" s="44" t="n">
        <x:v>2</x:v>
      </x:c>
      <x:c r="H1619" s="45" t="n">
        <x:v>2800</x:v>
      </x:c>
      <x:c r="I1619" s="46" t="n">
        <x:v>0</x:v>
      </x:c>
      <x:c r="J1619" s="47" t="n">
        <x:f>G1619*H1619*(1-I1619)</x:f>
        <x:v>5600</x:v>
      </x:c>
      <x:c r="K1619" s="47" t="n">
        <x:v>1450</x:v>
      </x:c>
      <x:c r="L1619" s="47" t="n">
        <x:f>G1619*K1619</x:f>
        <x:v>2900</x:v>
      </x:c>
      <x:c r="M1619" s="47" t="n">
        <x:f>J1619-L1619</x:f>
        <x:v>2700</x:v>
      </x:c>
      <x:c r="N1619" s="5" t="str">
        <x:v>Takeaway</x:v>
      </x:c>
      <x:c r="O1619" s="5" t="str">
        <x:v>POS</x:v>
      </x:c>
      <x:c r="P1619" s="5" t="str">
        <x:v>Lunch</x:v>
      </x:c>
      <x:c r="Q1619" s="48" t="n">
        <x:v>14</x:v>
      </x:c>
      <x:c r="R1619" s="5" t="n">
        <x:v>5</x:v>
      </x:c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5" t="str">
        <x:v>ORD-01544</x:v>
      </x:c>
      <x:c r="B1620" s="43" t="n">
        <x:v>46238</x:v>
      </x:c>
      <x:c r="C1620" s="5" t="str">
        <x:v>CUST-0573</x:v>
      </x:c>
      <x:c r="D1620" s="5" t="str">
        <x:v>FD006</x:v>
      </x:c>
      <x:c r="E1620" s="5" t="str">
        <x:v>Eba &amp; Egusi Soup</x:v>
      </x:c>
      <x:c r="F1620" s="5" t="str">
        <x:v>Swallow</x:v>
      </x:c>
      <x:c r="G1620" s="44" t="n">
        <x:v>4</x:v>
      </x:c>
      <x:c r="H1620" s="45" t="n">
        <x:v>2600</x:v>
      </x:c>
      <x:c r="I1620" s="46" t="n">
        <x:v>0</x:v>
      </x:c>
      <x:c r="J1620" s="47" t="n">
        <x:f>G1620*H1620*(1-I1620)</x:f>
        <x:v>10400</x:v>
      </x:c>
      <x:c r="K1620" s="47" t="n">
        <x:v>1320</x:v>
      </x:c>
      <x:c r="L1620" s="47" t="n">
        <x:f>G1620*K1620</x:f>
        <x:v>5280</x:v>
      </x:c>
      <x:c r="M1620" s="47" t="n">
        <x:f>J1620-L1620</x:f>
        <x:v>5120</x:v>
      </x:c>
      <x:c r="N1620" s="5" t="str">
        <x:v>Takeaway</x:v>
      </x:c>
      <x:c r="O1620" s="5" t="str">
        <x:v>Transfer</x:v>
      </x:c>
      <x:c r="P1620" s="5" t="str">
        <x:v>Breakfast</x:v>
      </x:c>
      <x:c r="Q1620" s="48" t="n">
        <x:v>8</x:v>
      </x:c>
      <x:c r="R1620" s="5" t="n">
        <x:v>4</x:v>
      </x:c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5" t="str">
        <x:v>ORD-01787</x:v>
      </x:c>
      <x:c r="B1621" s="43" t="n">
        <x:v>46238</x:v>
      </x:c>
      <x:c r="C1621" s="5" t="str">
        <x:v>CUST-0508</x:v>
      </x:c>
      <x:c r="D1621" s="5" t="str">
        <x:v>FD006</x:v>
      </x:c>
      <x:c r="E1621" s="5" t="str">
        <x:v>Eba &amp; Egusi Soup</x:v>
      </x:c>
      <x:c r="F1621" s="5" t="str">
        <x:v>Swallow</x:v>
      </x:c>
      <x:c r="G1621" s="44" t="n">
        <x:v>2</x:v>
      </x:c>
      <x:c r="H1621" s="45" t="n">
        <x:v>2600</x:v>
      </x:c>
      <x:c r="I1621" s="46" t="n">
        <x:v>0</x:v>
      </x:c>
      <x:c r="J1621" s="47" t="n">
        <x:f>G1621*H1621*(1-I1621)</x:f>
        <x:v>5200</x:v>
      </x:c>
      <x:c r="K1621" s="47" t="n">
        <x:v>1320</x:v>
      </x:c>
      <x:c r="L1621" s="47" t="n">
        <x:f>G1621*K1621</x:f>
        <x:v>2640</x:v>
      </x:c>
      <x:c r="M1621" s="47" t="n">
        <x:f>J1621-L1621</x:f>
        <x:v>2560</x:v>
      </x:c>
      <x:c r="N1621" s="5" t="str">
        <x:v>Walk-in</x:v>
      </x:c>
      <x:c r="O1621" s="5" t="str">
        <x:v>Transfer</x:v>
      </x:c>
      <x:c r="P1621" s="5" t="str">
        <x:v>Lunch</x:v>
      </x:c>
      <x:c r="Q1621" s="48" t="n">
        <x:v>15</x:v>
      </x:c>
      <x:c r="R1621" s="5" t="n">
        <x:v>4</x:v>
      </x:c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5" t="str">
        <x:v>ORD-00493</x:v>
      </x:c>
      <x:c r="B1622" s="43" t="n">
        <x:v>46239</x:v>
      </x:c>
      <x:c r="C1622" s="5" t="str">
        <x:v>CUST-0427</x:v>
      </x:c>
      <x:c r="D1622" s="5" t="str">
        <x:v>FD001</x:v>
      </x:c>
      <x:c r="E1622" s="5" t="str">
        <x:v>White Rice &amp; Stew</x:v>
      </x:c>
      <x:c r="F1622" s="5" t="str">
        <x:v>Rice Meals</x:v>
      </x:c>
      <x:c r="G1622" s="44" t="n">
        <x:v>4</x:v>
      </x:c>
      <x:c r="H1622" s="45" t="n">
        <x:v>1800</x:v>
      </x:c>
      <x:c r="I1622" s="46" t="n">
        <x:v>0.05</x:v>
      </x:c>
      <x:c r="J1622" s="47" t="n">
        <x:f>G1622*H1622*(1-I1622)</x:f>
        <x:v>6840</x:v>
      </x:c>
      <x:c r="K1622" s="47" t="n">
        <x:v>820</x:v>
      </x:c>
      <x:c r="L1622" s="47" t="n">
        <x:f>G1622*K1622</x:f>
        <x:v>3280</x:v>
      </x:c>
      <x:c r="M1622" s="47" t="n">
        <x:f>J1622-L1622</x:f>
        <x:v>3560</x:v>
      </x:c>
      <x:c r="N1622" s="5" t="str">
        <x:v>Walk-in</x:v>
      </x:c>
      <x:c r="O1622" s="5" t="str">
        <x:v>POS</x:v>
      </x:c>
      <x:c r="P1622" s="5" t="str">
        <x:v>Breakfast</x:v>
      </x:c>
      <x:c r="Q1622" s="48" t="n">
        <x:v>8</x:v>
      </x:c>
      <x:c r="R1622" s="5" t="n">
        <x:v>4</x:v>
      </x:c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5" t="str">
        <x:v>ORD-01593</x:v>
      </x:c>
      <x:c r="B1623" s="43" t="n">
        <x:v>46239</x:v>
      </x:c>
      <x:c r="C1623" s="5" t="str">
        <x:v>CUST-0184</x:v>
      </x:c>
      <x:c r="D1623" s="5" t="str">
        <x:v>FD001</x:v>
      </x:c>
      <x:c r="E1623" s="5" t="str">
        <x:v>White Rice &amp; Stew</x:v>
      </x:c>
      <x:c r="F1623" s="5" t="str">
        <x:v>Rice Meals</x:v>
      </x:c>
      <x:c r="G1623" s="44" t="n">
        <x:v>2</x:v>
      </x:c>
      <x:c r="H1623" s="45" t="n">
        <x:v>1800</x:v>
      </x:c>
      <x:c r="I1623" s="46" t="n">
        <x:v>0</x:v>
      </x:c>
      <x:c r="J1623" s="47" t="n">
        <x:f>G1623*H1623*(1-I1623)</x:f>
        <x:v>3600</x:v>
      </x:c>
      <x:c r="K1623" s="47" t="n">
        <x:v>820</x:v>
      </x:c>
      <x:c r="L1623" s="47" t="n">
        <x:f>G1623*K1623</x:f>
        <x:v>1640</x:v>
      </x:c>
      <x:c r="M1623" s="47" t="n">
        <x:f>J1623-L1623</x:f>
        <x:v>1960</x:v>
      </x:c>
      <x:c r="N1623" s="5" t="str">
        <x:v>Walk-in</x:v>
      </x:c>
      <x:c r="O1623" s="5" t="str">
        <x:v>Cash</x:v>
      </x:c>
      <x:c r="P1623" s="5" t="str">
        <x:v>Lunch</x:v>
      </x:c>
      <x:c r="Q1623" s="48" t="n">
        <x:v>15</x:v>
      </x:c>
      <x:c r="R1623" s="5" t="n">
        <x:v>4</x:v>
      </x:c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5" t="str">
        <x:v>ORD-01691</x:v>
      </x:c>
      <x:c r="B1624" s="43" t="n">
        <x:v>46239</x:v>
      </x:c>
      <x:c r="C1624" s="5" t="str">
        <x:v>CUST-0624</x:v>
      </x:c>
      <x:c r="D1624" s="5" t="str">
        <x:v>FD005</x:v>
      </x:c>
      <x:c r="E1624" s="5" t="str">
        <x:v>Yam Porridge</x:v>
      </x:c>
      <x:c r="F1624" s="5" t="str">
        <x:v>Traditional Meals</x:v>
      </x:c>
      <x:c r="G1624" s="44" t="n">
        <x:v>3</x:v>
      </x:c>
      <x:c r="H1624" s="45" t="n">
        <x:v>2200</x:v>
      </x:c>
      <x:c r="I1624" s="46" t="n">
        <x:v>0</x:v>
      </x:c>
      <x:c r="J1624" s="47" t="n">
        <x:f>G1624*H1624*(1-I1624)</x:f>
        <x:v>6600</x:v>
      </x:c>
      <x:c r="K1624" s="47" t="n">
        <x:v>1050</x:v>
      </x:c>
      <x:c r="L1624" s="47" t="n">
        <x:f>G1624*K1624</x:f>
        <x:v>3150</x:v>
      </x:c>
      <x:c r="M1624" s="47" t="n">
        <x:f>J1624-L1624</x:f>
        <x:v>3450</x:v>
      </x:c>
      <x:c r="N1624" s="5" t="str">
        <x:v>Takeaway</x:v>
      </x:c>
      <x:c r="O1624" s="5" t="str">
        <x:v>Transfer</x:v>
      </x:c>
      <x:c r="P1624" s="5" t="str">
        <x:v>Lunch</x:v>
      </x:c>
      <x:c r="Q1624" s="48" t="n">
        <x:v>11</x:v>
      </x:c>
      <x:c r="R1624" s="5" t="n">
        <x:v>5</x:v>
      </x:c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5" t="str">
        <x:v>ORD-00341</x:v>
      </x:c>
      <x:c r="B1625" s="43" t="n">
        <x:v>46240</x:v>
      </x:c>
      <x:c r="C1625" s="5" t="str">
        <x:v>CUST-0042</x:v>
      </x:c>
      <x:c r="D1625" s="5" t="str">
        <x:v>FD005</x:v>
      </x:c>
      <x:c r="E1625" s="5" t="str">
        <x:v>Yam Porridge</x:v>
      </x:c>
      <x:c r="F1625" s="5" t="str">
        <x:v>Traditional Meals</x:v>
      </x:c>
      <x:c r="G1625" s="44" t="n">
        <x:v>3</x:v>
      </x:c>
      <x:c r="H1625" s="45" t="n">
        <x:v>2200</x:v>
      </x:c>
      <x:c r="I1625" s="46" t="n">
        <x:v>0</x:v>
      </x:c>
      <x:c r="J1625" s="47" t="n">
        <x:f>G1625*H1625*(1-I1625)</x:f>
        <x:v>6600</x:v>
      </x:c>
      <x:c r="K1625" s="47" t="n">
        <x:v>1050</x:v>
      </x:c>
      <x:c r="L1625" s="47" t="n">
        <x:f>G1625*K1625</x:f>
        <x:v>3150</x:v>
      </x:c>
      <x:c r="M1625" s="47" t="n">
        <x:f>J1625-L1625</x:f>
        <x:v>3450</x:v>
      </x:c>
      <x:c r="N1625" s="5" t="str">
        <x:v>Walk-in</x:v>
      </x:c>
      <x:c r="O1625" s="5" t="str">
        <x:v>Transfer</x:v>
      </x:c>
      <x:c r="P1625" s="5" t="str">
        <x:v>Dinner</x:v>
      </x:c>
      <x:c r="Q1625" s="48" t="n">
        <x:v>20</x:v>
      </x:c>
      <x:c r="R1625" s="5" t="n">
        <x:v>4</x:v>
      </x:c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5" t="str">
        <x:v>ORD-00827</x:v>
      </x:c>
      <x:c r="B1626" s="43" t="n">
        <x:v>46240</x:v>
      </x:c>
      <x:c r="C1626" s="5" t="str">
        <x:v>CUST-0214</x:v>
      </x:c>
      <x:c r="D1626" s="5" t="str">
        <x:v>FD001</x:v>
      </x:c>
      <x:c r="E1626" s="5" t="str">
        <x:v>White Rice &amp; Stew</x:v>
      </x:c>
      <x:c r="F1626" s="5" t="str">
        <x:v>Rice Meals</x:v>
      </x:c>
      <x:c r="G1626" s="44" t="n">
        <x:v>3</x:v>
      </x:c>
      <x:c r="H1626" s="45" t="n">
        <x:v>1800</x:v>
      </x:c>
      <x:c r="I1626" s="46" t="n">
        <x:v>0</x:v>
      </x:c>
      <x:c r="J1626" s="47" t="n">
        <x:f>G1626*H1626*(1-I1626)</x:f>
        <x:v>5400</x:v>
      </x:c>
      <x:c r="K1626" s="47" t="n">
        <x:v>820</x:v>
      </x:c>
      <x:c r="L1626" s="47" t="n">
        <x:f>G1626*K1626</x:f>
        <x:v>2460</x:v>
      </x:c>
      <x:c r="M1626" s="47" t="n">
        <x:f>J1626-L1626</x:f>
        <x:v>2940</x:v>
      </x:c>
      <x:c r="N1626" s="5" t="str">
        <x:v>Delivery</x:v>
      </x:c>
      <x:c r="O1626" s="5" t="str">
        <x:v>Cash</x:v>
      </x:c>
      <x:c r="P1626" s="5" t="str">
        <x:v>Lunch</x:v>
      </x:c>
      <x:c r="Q1626" s="48" t="n">
        <x:v>13</x:v>
      </x:c>
      <x:c r="R1626" s="5" t="n">
        <x:v>5</x:v>
      </x:c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5" t="str">
        <x:v>ORD-01391</x:v>
      </x:c>
      <x:c r="B1627" s="43" t="n">
        <x:v>46240</x:v>
      </x:c>
      <x:c r="C1627" s="5" t="str">
        <x:v>CUST-0346</x:v>
      </x:c>
      <x:c r="D1627" s="5" t="str">
        <x:v>FD004</x:v>
      </x:c>
      <x:c r="E1627" s="5" t="str">
        <x:v>Beans &amp; Plantain</x:v>
      </x:c>
      <x:c r="F1627" s="5" t="str">
        <x:v>Traditional Meals</x:v>
      </x:c>
      <x:c r="G1627" s="44" t="n">
        <x:v>1</x:v>
      </x:c>
      <x:c r="H1627" s="45" t="n">
        <x:v>2000</x:v>
      </x:c>
      <x:c r="I1627" s="46" t="n">
        <x:v>0</x:v>
      </x:c>
      <x:c r="J1627" s="47" t="n">
        <x:f>G1627*H1627*(1-I1627)</x:f>
        <x:v>2000</x:v>
      </x:c>
      <x:c r="K1627" s="47" t="n">
        <x:v>960</x:v>
      </x:c>
      <x:c r="L1627" s="47" t="n">
        <x:f>G1627*K1627</x:f>
        <x:v>960</x:v>
      </x:c>
      <x:c r="M1627" s="47" t="n">
        <x:f>J1627-L1627</x:f>
        <x:v>1040</x:v>
      </x:c>
      <x:c r="N1627" s="5" t="str">
        <x:v>Walk-in</x:v>
      </x:c>
      <x:c r="O1627" s="5" t="str">
        <x:v>Transfer</x:v>
      </x:c>
      <x:c r="P1627" s="5" t="str">
        <x:v>Breakfast</x:v>
      </x:c>
      <x:c r="Q1627" s="48" t="n">
        <x:v>8</x:v>
      </x:c>
      <x:c r="R1627" s="5" t="n">
        <x:v>3</x:v>
      </x:c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5" t="str">
        <x:v>ORD-01467</x:v>
      </x:c>
      <x:c r="B1628" s="43" t="n">
        <x:v>46240</x:v>
      </x:c>
      <x:c r="C1628" s="5" t="str">
        <x:v>CUST-0632</x:v>
      </x:c>
      <x:c r="D1628" s="5" t="str">
        <x:v>FD002</x:v>
      </x:c>
      <x:c r="E1628" s="5" t="str">
        <x:v>Jollof Rice &amp; Chicken</x:v>
      </x:c>
      <x:c r="F1628" s="5" t="str">
        <x:v>Rice Meals</x:v>
      </x:c>
      <x:c r="G1628" s="44" t="n">
        <x:v>3</x:v>
      </x:c>
      <x:c r="H1628" s="45" t="n">
        <x:v>2800</x:v>
      </x:c>
      <x:c r="I1628" s="46" t="n">
        <x:v>0.05</x:v>
      </x:c>
      <x:c r="J1628" s="47" t="n">
        <x:f>G1628*H1628*(1-I1628)</x:f>
        <x:v>7980</x:v>
      </x:c>
      <x:c r="K1628" s="47" t="n">
        <x:v>1450</x:v>
      </x:c>
      <x:c r="L1628" s="47" t="n">
        <x:f>G1628*K1628</x:f>
        <x:v>4350</x:v>
      </x:c>
      <x:c r="M1628" s="47" t="n">
        <x:f>J1628-L1628</x:f>
        <x:v>3630</x:v>
      </x:c>
      <x:c r="N1628" s="5" t="str">
        <x:v>Walk-in</x:v>
      </x:c>
      <x:c r="O1628" s="5" t="str">
        <x:v>Cash</x:v>
      </x:c>
      <x:c r="P1628" s="5" t="str">
        <x:v>Breakfast</x:v>
      </x:c>
      <x:c r="Q1628" s="48" t="n">
        <x:v>9</x:v>
      </x:c>
      <x:c r="R1628" s="5" t="n">
        <x:v>5</x:v>
      </x:c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5" t="str">
        <x:v>ORD-01584</x:v>
      </x:c>
      <x:c r="B1629" s="43" t="n">
        <x:v>46240</x:v>
      </x:c>
      <x:c r="C1629" s="5" t="str">
        <x:v>CUST-0144</x:v>
      </x:c>
      <x:c r="D1629" s="5" t="str">
        <x:v>FD003</x:v>
      </x:c>
      <x:c r="E1629" s="5" t="str">
        <x:v>Fried Rice &amp; Chicken</x:v>
      </x:c>
      <x:c r="F1629" s="5" t="str">
        <x:v>Rice Meals</x:v>
      </x:c>
      <x:c r="G1629" s="44" t="n">
        <x:v>3</x:v>
      </x:c>
      <x:c r="H1629" s="45" t="n">
        <x:v>3000</x:v>
      </x:c>
      <x:c r="I1629" s="46" t="n">
        <x:v>0</x:v>
      </x:c>
      <x:c r="J1629" s="47" t="n">
        <x:f>G1629*H1629*(1-I1629)</x:f>
        <x:v>9000</x:v>
      </x:c>
      <x:c r="K1629" s="47" t="n">
        <x:v>1580</x:v>
      </x:c>
      <x:c r="L1629" s="47" t="n">
        <x:f>G1629*K1629</x:f>
        <x:v>4740</x:v>
      </x:c>
      <x:c r="M1629" s="47" t="n">
        <x:f>J1629-L1629</x:f>
        <x:v>4260</x:v>
      </x:c>
      <x:c r="N1629" s="5" t="str">
        <x:v>Delivery</x:v>
      </x:c>
      <x:c r="O1629" s="5" t="str">
        <x:v>Cash</x:v>
      </x:c>
      <x:c r="P1629" s="5" t="str">
        <x:v>Lunch</x:v>
      </x:c>
      <x:c r="Q1629" s="48" t="n">
        <x:v>11</x:v>
      </x:c>
      <x:c r="R1629" s="5" t="n">
        <x:v>5</x:v>
      </x:c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5" t="str">
        <x:v>ORD-00166</x:v>
      </x:c>
      <x:c r="B1630" s="43" t="n">
        <x:v>46241</x:v>
      </x:c>
      <x:c r="C1630" s="5" t="str">
        <x:v>CUST-0080</x:v>
      </x:c>
      <x:c r="D1630" s="5" t="str">
        <x:v>FD010</x:v>
      </x:c>
      <x:c r="E1630" s="5" t="str">
        <x:v>Soft Drink</x:v>
      </x:c>
      <x:c r="F1630" s="5" t="str">
        <x:v>Beverages</x:v>
      </x:c>
      <x:c r="G1630" s="44" t="n">
        <x:v>2</x:v>
      </x:c>
      <x:c r="H1630" s="45" t="n">
        <x:v>600</x:v>
      </x:c>
      <x:c r="I1630" s="46" t="n">
        <x:v>0</x:v>
      </x:c>
      <x:c r="J1630" s="47" t="n">
        <x:f>G1630*H1630*(1-I1630)</x:f>
        <x:v>1200</x:v>
      </x:c>
      <x:c r="K1630" s="47" t="n">
        <x:v>280</x:v>
      </x:c>
      <x:c r="L1630" s="47" t="n">
        <x:f>G1630*K1630</x:f>
        <x:v>560</x:v>
      </x:c>
      <x:c r="M1630" s="47" t="n">
        <x:f>J1630-L1630</x:f>
        <x:v>640</x:v>
      </x:c>
      <x:c r="N1630" s="5" t="str">
        <x:v>Takeaway</x:v>
      </x:c>
      <x:c r="O1630" s="5" t="str">
        <x:v>Cash</x:v>
      </x:c>
      <x:c r="P1630" s="5" t="str">
        <x:v>Lunch</x:v>
      </x:c>
      <x:c r="Q1630" s="48" t="n">
        <x:v>11</x:v>
      </x:c>
      <x:c r="R1630" s="5" t="n">
        <x:v>5</x:v>
      </x:c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5" t="str">
        <x:v>ORD-00482</x:v>
      </x:c>
      <x:c r="B1631" s="43" t="n">
        <x:v>46241</x:v>
      </x:c>
      <x:c r="C1631" s="5" t="str">
        <x:v>CUST-0293</x:v>
      </x:c>
      <x:c r="D1631" s="5" t="str">
        <x:v>FD004</x:v>
      </x:c>
      <x:c r="E1631" s="5" t="str">
        <x:v>Beans &amp; Plantain</x:v>
      </x:c>
      <x:c r="F1631" s="5" t="str">
        <x:v>Traditional Meals</x:v>
      </x:c>
      <x:c r="G1631" s="44" t="n">
        <x:v>3</x:v>
      </x:c>
      <x:c r="H1631" s="45" t="n">
        <x:v>2000</x:v>
      </x:c>
      <x:c r="I1631" s="46" t="n">
        <x:v>0.1</x:v>
      </x:c>
      <x:c r="J1631" s="47" t="n">
        <x:f>G1631*H1631*(1-I1631)</x:f>
        <x:v>5400</x:v>
      </x:c>
      <x:c r="K1631" s="47" t="n">
        <x:v>960</x:v>
      </x:c>
      <x:c r="L1631" s="47" t="n">
        <x:f>G1631*K1631</x:f>
        <x:v>2880</x:v>
      </x:c>
      <x:c r="M1631" s="47" t="n">
        <x:f>J1631-L1631</x:f>
        <x:v>2520</x:v>
      </x:c>
      <x:c r="N1631" s="5" t="str">
        <x:v>Walk-in</x:v>
      </x:c>
      <x:c r="O1631" s="5" t="str">
        <x:v>Cash</x:v>
      </x:c>
      <x:c r="P1631" s="5" t="str">
        <x:v>Lunch</x:v>
      </x:c>
      <x:c r="Q1631" s="48" t="n">
        <x:v>15</x:v>
      </x:c>
      <x:c r="R1631" s="5" t="n">
        <x:v>4</x:v>
      </x:c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5" t="str">
        <x:v>ORD-01133</x:v>
      </x:c>
      <x:c r="B1632" s="43" t="n">
        <x:v>46241</x:v>
      </x:c>
      <x:c r="C1632" s="5" t="str">
        <x:v>CUST-0586</x:v>
      </x:c>
      <x:c r="D1632" s="5" t="str">
        <x:v>FD009</x:v>
      </x:c>
      <x:c r="E1632" s="5" t="str">
        <x:v>Moi Moi</x:v>
      </x:c>
      <x:c r="F1632" s="5" t="str">
        <x:v>Sides</x:v>
      </x:c>
      <x:c r="G1632" s="44" t="n">
        <x:v>4</x:v>
      </x:c>
      <x:c r="H1632" s="45" t="n">
        <x:v>900</x:v>
      </x:c>
      <x:c r="I1632" s="46" t="n">
        <x:v>0</x:v>
      </x:c>
      <x:c r="J1632" s="47" t="n">
        <x:f>G1632*H1632*(1-I1632)</x:f>
        <x:v>3600</x:v>
      </x:c>
      <x:c r="K1632" s="47" t="n">
        <x:v>380</x:v>
      </x:c>
      <x:c r="L1632" s="47" t="n">
        <x:f>G1632*K1632</x:f>
        <x:v>1520</x:v>
      </x:c>
      <x:c r="M1632" s="47" t="n">
        <x:f>J1632-L1632</x:f>
        <x:v>2080</x:v>
      </x:c>
      <x:c r="N1632" s="5" t="str">
        <x:v>Takeaway</x:v>
      </x:c>
      <x:c r="O1632" s="5" t="str">
        <x:v>Transfer</x:v>
      </x:c>
      <x:c r="P1632" s="5" t="str">
        <x:v>Lunch</x:v>
      </x:c>
      <x:c r="Q1632" s="48" t="n">
        <x:v>12</x:v>
      </x:c>
      <x:c r="R1632" s="5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5" t="str">
        <x:v>ORD-01307</x:v>
      </x:c>
      <x:c r="B1633" s="43" t="n">
        <x:v>46241</x:v>
      </x:c>
      <x:c r="C1633" s="5" t="str">
        <x:v>CUST-0198</x:v>
      </x:c>
      <x:c r="D1633" s="5" t="str">
        <x:v>FD003</x:v>
      </x:c>
      <x:c r="E1633" s="5" t="str">
        <x:v>Fried Rice &amp; Chicken</x:v>
      </x:c>
      <x:c r="F1633" s="5" t="str">
        <x:v>Rice Meals</x:v>
      </x:c>
      <x:c r="G1633" s="44" t="n">
        <x:v>1</x:v>
      </x:c>
      <x:c r="H1633" s="45" t="n">
        <x:v>3000</x:v>
      </x:c>
      <x:c r="I1633" s="46" t="n">
        <x:v>0</x:v>
      </x:c>
      <x:c r="J1633" s="47" t="n">
        <x:f>G1633*H1633*(1-I1633)</x:f>
        <x:v>3000</x:v>
      </x:c>
      <x:c r="K1633" s="47" t="n">
        <x:v>1580</x:v>
      </x:c>
      <x:c r="L1633" s="47" t="n">
        <x:f>G1633*K1633</x:f>
        <x:v>1580</x:v>
      </x:c>
      <x:c r="M1633" s="47" t="n">
        <x:f>J1633-L1633</x:f>
        <x:v>1420</x:v>
      </x:c>
      <x:c r="N1633" s="5" t="str">
        <x:v>Walk-in</x:v>
      </x:c>
      <x:c r="O1633" s="5" t="str">
        <x:v>POS</x:v>
      </x:c>
      <x:c r="P1633" s="5" t="str">
        <x:v>Dinner</x:v>
      </x:c>
      <x:c r="Q1633" s="48" t="n">
        <x:v>18</x:v>
      </x:c>
      <x:c r="R1633" s="5" t="n">
        <x:v>5</x:v>
      </x:c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5" t="str">
        <x:v>ORD-01553</x:v>
      </x:c>
      <x:c r="B1634" s="43" t="n">
        <x:v>46241</x:v>
      </x:c>
      <x:c r="C1634" s="5" t="str">
        <x:v>CUST-0137</x:v>
      </x:c>
      <x:c r="D1634" s="5" t="str">
        <x:v>FD001</x:v>
      </x:c>
      <x:c r="E1634" s="5" t="str">
        <x:v>White Rice &amp; Stew</x:v>
      </x:c>
      <x:c r="F1634" s="5" t="str">
        <x:v>Rice Meals</x:v>
      </x:c>
      <x:c r="G1634" s="44" t="n">
        <x:v>3</x:v>
      </x:c>
      <x:c r="H1634" s="45" t="n">
        <x:v>1800</x:v>
      </x:c>
      <x:c r="I1634" s="46" t="n">
        <x:v>0</x:v>
      </x:c>
      <x:c r="J1634" s="47" t="n">
        <x:f>G1634*H1634*(1-I1634)</x:f>
        <x:v>5400</x:v>
      </x:c>
      <x:c r="K1634" s="47" t="n">
        <x:v>820</x:v>
      </x:c>
      <x:c r="L1634" s="47" t="n">
        <x:f>G1634*K1634</x:f>
        <x:v>2460</x:v>
      </x:c>
      <x:c r="M1634" s="47" t="n">
        <x:f>J1634-L1634</x:f>
        <x:v>2940</x:v>
      </x:c>
      <x:c r="N1634" s="5" t="str">
        <x:v>Takeaway</x:v>
      </x:c>
      <x:c r="O1634" s="5" t="str">
        <x:v>POS</x:v>
      </x:c>
      <x:c r="P1634" s="5" t="str">
        <x:v>Lunch</x:v>
      </x:c>
      <x:c r="Q1634" s="48" t="n">
        <x:v>11</x:v>
      </x:c>
      <x:c r="R1634" s="5" t="n">
        <x:v>4</x:v>
      </x:c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5" t="str">
        <x:v>ORD-00034</x:v>
      </x:c>
      <x:c r="B1635" s="43" t="n">
        <x:v>46242</x:v>
      </x:c>
      <x:c r="C1635" s="5" t="str">
        <x:v>CUST-0232</x:v>
      </x:c>
      <x:c r="D1635" s="5" t="str">
        <x:v>FD005</x:v>
      </x:c>
      <x:c r="E1635" s="5" t="str">
        <x:v>Yam Porridge</x:v>
      </x:c>
      <x:c r="F1635" s="5" t="str">
        <x:v>Traditional Meals</x:v>
      </x:c>
      <x:c r="G1635" s="44" t="n">
        <x:v>1</x:v>
      </x:c>
      <x:c r="H1635" s="45" t="n">
        <x:v>2200</x:v>
      </x:c>
      <x:c r="I1635" s="46" t="n">
        <x:v>0</x:v>
      </x:c>
      <x:c r="J1635" s="47" t="n">
        <x:f>G1635*H1635*(1-I1635)</x:f>
        <x:v>2200</x:v>
      </x:c>
      <x:c r="K1635" s="47" t="n">
        <x:v>1050</x:v>
      </x:c>
      <x:c r="L1635" s="47" t="n">
        <x:f>G1635*K1635</x:f>
        <x:v>1050</x:v>
      </x:c>
      <x:c r="M1635" s="47" t="n">
        <x:f>J1635-L1635</x:f>
        <x:v>1150</x:v>
      </x:c>
      <x:c r="N1635" s="5" t="str">
        <x:v>Delivery</x:v>
      </x:c>
      <x:c r="O1635" s="5" t="str">
        <x:v>Transfer</x:v>
      </x:c>
      <x:c r="P1635" s="5" t="str">
        <x:v>Lunch</x:v>
      </x:c>
      <x:c r="Q1635" s="48" t="n">
        <x:v>12</x:v>
      </x:c>
      <x:c r="R1635" s="5" t="n">
        <x:v>4</x:v>
      </x:c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5" t="str">
        <x:v>ORD-00526</x:v>
      </x:c>
      <x:c r="B1636" s="43" t="n">
        <x:v>46242</x:v>
      </x:c>
      <x:c r="C1636" s="5" t="str">
        <x:v>CUST-0016</x:v>
      </x:c>
      <x:c r="D1636" s="5" t="str">
        <x:v>FD001</x:v>
      </x:c>
      <x:c r="E1636" s="5" t="str">
        <x:v>White Rice &amp; Stew</x:v>
      </x:c>
      <x:c r="F1636" s="5" t="str">
        <x:v>Rice Meals</x:v>
      </x:c>
      <x:c r="G1636" s="44" t="n">
        <x:v>4</x:v>
      </x:c>
      <x:c r="H1636" s="45" t="n">
        <x:v>1800</x:v>
      </x:c>
      <x:c r="I1636" s="46" t="n">
        <x:v>0</x:v>
      </x:c>
      <x:c r="J1636" s="47" t="n">
        <x:f>G1636*H1636*(1-I1636)</x:f>
        <x:v>7200</x:v>
      </x:c>
      <x:c r="K1636" s="47" t="n">
        <x:v>820</x:v>
      </x:c>
      <x:c r="L1636" s="47" t="n">
        <x:f>G1636*K1636</x:f>
        <x:v>3280</x:v>
      </x:c>
      <x:c r="M1636" s="47" t="n">
        <x:f>J1636-L1636</x:f>
        <x:v>3920</x:v>
      </x:c>
      <x:c r="N1636" s="5" t="str">
        <x:v>Walk-in</x:v>
      </x:c>
      <x:c r="O1636" s="5" t="str">
        <x:v>Cash</x:v>
      </x:c>
      <x:c r="P1636" s="5" t="str">
        <x:v>Lunch</x:v>
      </x:c>
      <x:c r="Q1636" s="48" t="n">
        <x:v>13</x:v>
      </x:c>
      <x:c r="R1636" s="5" t="n">
        <x:v>4</x:v>
      </x:c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5" t="str">
        <x:v>ORD-00635</x:v>
      </x:c>
      <x:c r="B1637" s="43" t="n">
        <x:v>46242</x:v>
      </x:c>
      <x:c r="C1637" s="5" t="str">
        <x:v>CUST-0233</x:v>
      </x:c>
      <x:c r="D1637" s="5" t="str">
        <x:v>FD003</x:v>
      </x:c>
      <x:c r="E1637" s="5" t="str">
        <x:v>Fried Rice &amp; Chicken</x:v>
      </x:c>
      <x:c r="F1637" s="5" t="str">
        <x:v>Rice Meals</x:v>
      </x:c>
      <x:c r="G1637" s="44" t="n">
        <x:v>4</x:v>
      </x:c>
      <x:c r="H1637" s="45" t="n">
        <x:v>3000</x:v>
      </x:c>
      <x:c r="I1637" s="46" t="n">
        <x:v>0.1</x:v>
      </x:c>
      <x:c r="J1637" s="47" t="n">
        <x:f>G1637*H1637*(1-I1637)</x:f>
        <x:v>10800</x:v>
      </x:c>
      <x:c r="K1637" s="47" t="n">
        <x:v>1580</x:v>
      </x:c>
      <x:c r="L1637" s="47" t="n">
        <x:f>G1637*K1637</x:f>
        <x:v>6320</x:v>
      </x:c>
      <x:c r="M1637" s="47" t="n">
        <x:f>J1637-L1637</x:f>
        <x:v>4480</x:v>
      </x:c>
      <x:c r="N1637" s="5" t="str">
        <x:v>Walk-in</x:v>
      </x:c>
      <x:c r="O1637" s="5" t="str">
        <x:v>Transfer</x:v>
      </x:c>
      <x:c r="P1637" s="5" t="str">
        <x:v>Dinner</x:v>
      </x:c>
      <x:c r="Q1637" s="48" t="n">
        <x:v>20</x:v>
      </x:c>
      <x:c r="R1637" s="5" t="n">
        <x:v>4</x:v>
      </x:c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5" t="str">
        <x:v>ORD-00731</x:v>
      </x:c>
      <x:c r="B1638" s="43" t="n">
        <x:v>46242</x:v>
      </x:c>
      <x:c r="C1638" s="5" t="str">
        <x:v>CUST-0313</x:v>
      </x:c>
      <x:c r="D1638" s="5" t="str">
        <x:v>FD002</x:v>
      </x:c>
      <x:c r="E1638" s="5" t="str">
        <x:v>Jollof Rice &amp; Chicken</x:v>
      </x:c>
      <x:c r="F1638" s="5" t="str">
        <x:v>Rice Meals</x:v>
      </x:c>
      <x:c r="G1638" s="44" t="n">
        <x:v>3</x:v>
      </x:c>
      <x:c r="H1638" s="45" t="n">
        <x:v>2800</x:v>
      </x:c>
      <x:c r="I1638" s="46" t="n">
        <x:v>0</x:v>
      </x:c>
      <x:c r="J1638" s="47" t="n">
        <x:f>G1638*H1638*(1-I1638)</x:f>
        <x:v>8400</x:v>
      </x:c>
      <x:c r="K1638" s="47" t="n">
        <x:v>1450</x:v>
      </x:c>
      <x:c r="L1638" s="47" t="n">
        <x:f>G1638*K1638</x:f>
        <x:v>4350</x:v>
      </x:c>
      <x:c r="M1638" s="47" t="n">
        <x:f>J1638-L1638</x:f>
        <x:v>4050</x:v>
      </x:c>
      <x:c r="N1638" s="5" t="str">
        <x:v>Walk-in</x:v>
      </x:c>
      <x:c r="O1638" s="5" t="str">
        <x:v>Transfer</x:v>
      </x:c>
      <x:c r="P1638" s="5" t="str">
        <x:v>Lunch</x:v>
      </x:c>
      <x:c r="Q1638" s="48" t="n">
        <x:v>15</x:v>
      </x:c>
      <x:c r="R1638" s="5" t="n">
        <x:v>5</x:v>
      </x:c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5" t="str">
        <x:v>ORD-00872</x:v>
      </x:c>
      <x:c r="B1639" s="43" t="n">
        <x:v>46242</x:v>
      </x:c>
      <x:c r="C1639" s="5" t="str">
        <x:v>CUST-0415</x:v>
      </x:c>
      <x:c r="D1639" s="5" t="str">
        <x:v>FD012</x:v>
      </x:c>
      <x:c r="E1639" s="5" t="str">
        <x:v>Fried Plantain</x:v>
      </x:c>
      <x:c r="F1639" s="5" t="str">
        <x:v>Sides</x:v>
      </x:c>
      <x:c r="G1639" s="44" t="n">
        <x:v>2</x:v>
      </x:c>
      <x:c r="H1639" s="45" t="n">
        <x:v>700</x:v>
      </x:c>
      <x:c r="I1639" s="46" t="n">
        <x:v>0</x:v>
      </x:c>
      <x:c r="J1639" s="47" t="n">
        <x:f>G1639*H1639*(1-I1639)</x:f>
        <x:v>1400</x:v>
      </x:c>
      <x:c r="K1639" s="47" t="n">
        <x:v>300</x:v>
      </x:c>
      <x:c r="L1639" s="47" t="n">
        <x:f>G1639*K1639</x:f>
        <x:v>600</x:v>
      </x:c>
      <x:c r="M1639" s="47" t="n">
        <x:f>J1639-L1639</x:f>
        <x:v>800</x:v>
      </x:c>
      <x:c r="N1639" s="5" t="str">
        <x:v>Takeaway</x:v>
      </x:c>
      <x:c r="O1639" s="5" t="str">
        <x:v>POS</x:v>
      </x:c>
      <x:c r="P1639" s="5" t="str">
        <x:v>Lunch</x:v>
      </x:c>
      <x:c r="Q1639" s="48" t="n">
        <x:v>15</x:v>
      </x:c>
      <x:c r="R1639" s="5" t="n">
        <x:v>5</x:v>
      </x:c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5" t="str">
        <x:v>ORD-01008</x:v>
      </x:c>
      <x:c r="B1640" s="43" t="n">
        <x:v>46242</x:v>
      </x:c>
      <x:c r="C1640" s="5" t="str">
        <x:v>CUST-0473</x:v>
      </x:c>
      <x:c r="D1640" s="5" t="str">
        <x:v>FD012</x:v>
      </x:c>
      <x:c r="E1640" s="5" t="str">
        <x:v>Fried Plantain</x:v>
      </x:c>
      <x:c r="F1640" s="5" t="str">
        <x:v>Sides</x:v>
      </x:c>
      <x:c r="G1640" s="44" t="n">
        <x:v>4</x:v>
      </x:c>
      <x:c r="H1640" s="45" t="n">
        <x:v>700</x:v>
      </x:c>
      <x:c r="I1640" s="46" t="n">
        <x:v>0</x:v>
      </x:c>
      <x:c r="J1640" s="47" t="n">
        <x:f>G1640*H1640*(1-I1640)</x:f>
        <x:v>2800</x:v>
      </x:c>
      <x:c r="K1640" s="47" t="n">
        <x:v>300</x:v>
      </x:c>
      <x:c r="L1640" s="47" t="n">
        <x:f>G1640*K1640</x:f>
        <x:v>1200</x:v>
      </x:c>
      <x:c r="M1640" s="47" t="n">
        <x:f>J1640-L1640</x:f>
        <x:v>1600</x:v>
      </x:c>
      <x:c r="N1640" s="5" t="str">
        <x:v>Delivery</x:v>
      </x:c>
      <x:c r="O1640" s="5" t="str">
        <x:v>Cash</x:v>
      </x:c>
      <x:c r="P1640" s="5" t="str">
        <x:v>Breakfast</x:v>
      </x:c>
      <x:c r="Q1640" s="48" t="n">
        <x:v>10</x:v>
      </x:c>
      <x:c r="R1640" s="5" t="n">
        <x:v>4</x:v>
      </x:c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5" t="str">
        <x:v>ORD-01102</x:v>
      </x:c>
      <x:c r="B1641" s="43" t="n">
        <x:v>46242</x:v>
      </x:c>
      <x:c r="C1641" s="5" t="str">
        <x:v>CUST-0346</x:v>
      </x:c>
      <x:c r="D1641" s="5" t="str">
        <x:v>FD012</x:v>
      </x:c>
      <x:c r="E1641" s="5" t="str">
        <x:v>Fried Plantain</x:v>
      </x:c>
      <x:c r="F1641" s="5" t="str">
        <x:v>Sides</x:v>
      </x:c>
      <x:c r="G1641" s="44" t="n">
        <x:v>2</x:v>
      </x:c>
      <x:c r="H1641" s="45" t="n">
        <x:v>700</x:v>
      </x:c>
      <x:c r="I1641" s="46" t="n">
        <x:v>0</x:v>
      </x:c>
      <x:c r="J1641" s="47" t="n">
        <x:f>G1641*H1641*(1-I1641)</x:f>
        <x:v>1400</x:v>
      </x:c>
      <x:c r="K1641" s="47" t="n">
        <x:v>300</x:v>
      </x:c>
      <x:c r="L1641" s="47" t="n">
        <x:f>G1641*K1641</x:f>
        <x:v>600</x:v>
      </x:c>
      <x:c r="M1641" s="47" t="n">
        <x:f>J1641-L1641</x:f>
        <x:v>800</x:v>
      </x:c>
      <x:c r="N1641" s="5" t="str">
        <x:v>Takeaway</x:v>
      </x:c>
      <x:c r="O1641" s="5" t="str">
        <x:v>POS</x:v>
      </x:c>
      <x:c r="P1641" s="5" t="str">
        <x:v>Lunch</x:v>
      </x:c>
      <x:c r="Q1641" s="48" t="n">
        <x:v>12</x:v>
      </x:c>
      <x:c r="R1641" s="5" t="n">
        <x:v>4</x:v>
      </x:c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5" t="str">
        <x:v>ORD-01142</x:v>
      </x:c>
      <x:c r="B1642" s="43" t="n">
        <x:v>46242</x:v>
      </x:c>
      <x:c r="C1642" s="5" t="str">
        <x:v>CUST-0600</x:v>
      </x:c>
      <x:c r="D1642" s="5" t="str">
        <x:v>FD003</x:v>
      </x:c>
      <x:c r="E1642" s="5" t="str">
        <x:v>Fried Rice &amp; Chicken</x:v>
      </x:c>
      <x:c r="F1642" s="5" t="str">
        <x:v>Rice Meals</x:v>
      </x:c>
      <x:c r="G1642" s="44" t="n">
        <x:v>2</x:v>
      </x:c>
      <x:c r="H1642" s="45" t="n">
        <x:v>3000</x:v>
      </x:c>
      <x:c r="I1642" s="46" t="n">
        <x:v>0</x:v>
      </x:c>
      <x:c r="J1642" s="47" t="n">
        <x:f>G1642*H1642*(1-I1642)</x:f>
        <x:v>6000</x:v>
      </x:c>
      <x:c r="K1642" s="47" t="n">
        <x:v>1580</x:v>
      </x:c>
      <x:c r="L1642" s="47" t="n">
        <x:f>G1642*K1642</x:f>
        <x:v>3160</x:v>
      </x:c>
      <x:c r="M1642" s="47" t="n">
        <x:f>J1642-L1642</x:f>
        <x:v>2840</x:v>
      </x:c>
      <x:c r="N1642" s="5" t="str">
        <x:v>Walk-in</x:v>
      </x:c>
      <x:c r="O1642" s="5" t="str">
        <x:v>POS</x:v>
      </x:c>
      <x:c r="P1642" s="5" t="str">
        <x:v>Breakfast</x:v>
      </x:c>
      <x:c r="Q1642" s="48" t="n">
        <x:v>9</x:v>
      </x:c>
      <x:c r="R1642" s="5" t="n">
        <x:v>3</x:v>
      </x:c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5" t="str">
        <x:v>ORD-01335</x:v>
      </x:c>
      <x:c r="B1643" s="43" t="n">
        <x:v>46242</x:v>
      </x:c>
      <x:c r="C1643" s="5" t="str">
        <x:v>CUST-0254</x:v>
      </x:c>
      <x:c r="D1643" s="5" t="str">
        <x:v>FD003</x:v>
      </x:c>
      <x:c r="E1643" s="5" t="str">
        <x:v>Fried Rice &amp; Chicken</x:v>
      </x:c>
      <x:c r="F1643" s="5" t="str">
        <x:v>Rice Meals</x:v>
      </x:c>
      <x:c r="G1643" s="44" t="n">
        <x:v>4</x:v>
      </x:c>
      <x:c r="H1643" s="45" t="n">
        <x:v>3000</x:v>
      </x:c>
      <x:c r="I1643" s="46" t="n">
        <x:v>0</x:v>
      </x:c>
      <x:c r="J1643" s="47" t="n">
        <x:f>G1643*H1643*(1-I1643)</x:f>
        <x:v>12000</x:v>
      </x:c>
      <x:c r="K1643" s="47" t="n">
        <x:v>1580</x:v>
      </x:c>
      <x:c r="L1643" s="47" t="n">
        <x:f>G1643*K1643</x:f>
        <x:v>6320</x:v>
      </x:c>
      <x:c r="M1643" s="47" t="n">
        <x:f>J1643-L1643</x:f>
        <x:v>5680</x:v>
      </x:c>
      <x:c r="N1643" s="5" t="str">
        <x:v>Delivery</x:v>
      </x:c>
      <x:c r="O1643" s="5" t="str">
        <x:v>POS</x:v>
      </x:c>
      <x:c r="P1643" s="5" t="str">
        <x:v>Dinner</x:v>
      </x:c>
      <x:c r="Q1643" s="48" t="n">
        <x:v>16</x:v>
      </x:c>
      <x:c r="R1643" s="5" t="n">
        <x:v>4</x:v>
      </x:c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5" t="str">
        <x:v>ORD-01685</x:v>
      </x:c>
      <x:c r="B1644" s="43" t="n">
        <x:v>46242</x:v>
      </x:c>
      <x:c r="C1644" s="5" t="str">
        <x:v>CUST-0553</x:v>
      </x:c>
      <x:c r="D1644" s="5" t="str">
        <x:v>FD004</x:v>
      </x:c>
      <x:c r="E1644" s="5" t="str">
        <x:v>Beans &amp; Plantain</x:v>
      </x:c>
      <x:c r="F1644" s="5" t="str">
        <x:v>Traditional Meals</x:v>
      </x:c>
      <x:c r="G1644" s="44" t="n">
        <x:v>2</x:v>
      </x:c>
      <x:c r="H1644" s="45" t="n">
        <x:v>2000</x:v>
      </x:c>
      <x:c r="I1644" s="46" t="n">
        <x:v>0</x:v>
      </x:c>
      <x:c r="J1644" s="47" t="n">
        <x:f>G1644*H1644*(1-I1644)</x:f>
        <x:v>4000</x:v>
      </x:c>
      <x:c r="K1644" s="47" t="n">
        <x:v>960</x:v>
      </x:c>
      <x:c r="L1644" s="47" t="n">
        <x:f>G1644*K1644</x:f>
        <x:v>1920</x:v>
      </x:c>
      <x:c r="M1644" s="47" t="n">
        <x:f>J1644-L1644</x:f>
        <x:v>2080</x:v>
      </x:c>
      <x:c r="N1644" s="5" t="str">
        <x:v>Takeaway</x:v>
      </x:c>
      <x:c r="O1644" s="5" t="str">
        <x:v>Transfer</x:v>
      </x:c>
      <x:c r="P1644" s="5" t="str">
        <x:v>Breakfast</x:v>
      </x:c>
      <x:c r="Q1644" s="48" t="n">
        <x:v>8</x:v>
      </x:c>
      <x:c r="R1644" s="5" t="n">
        <x:v>4</x:v>
      </x:c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5" t="str">
        <x:v>ORD-01793</x:v>
      </x:c>
      <x:c r="B1645" s="43" t="n">
        <x:v>46242</x:v>
      </x:c>
      <x:c r="C1645" s="5" t="str">
        <x:v>CUST-0266</x:v>
      </x:c>
      <x:c r="D1645" s="5" t="str">
        <x:v>FD002</x:v>
      </x:c>
      <x:c r="E1645" s="5" t="str">
        <x:v>Jollof Rice &amp; Chicken</x:v>
      </x:c>
      <x:c r="F1645" s="5" t="str">
        <x:v>Rice Meals</x:v>
      </x:c>
      <x:c r="G1645" s="44" t="n">
        <x:v>2</x:v>
      </x:c>
      <x:c r="H1645" s="45" t="n">
        <x:v>2800</x:v>
      </x:c>
      <x:c r="I1645" s="46" t="n">
        <x:v>0</x:v>
      </x:c>
      <x:c r="J1645" s="47" t="n">
        <x:f>G1645*H1645*(1-I1645)</x:f>
        <x:v>5600</x:v>
      </x:c>
      <x:c r="K1645" s="47" t="n">
        <x:v>1450</x:v>
      </x:c>
      <x:c r="L1645" s="47" t="n">
        <x:f>G1645*K1645</x:f>
        <x:v>2900</x:v>
      </x:c>
      <x:c r="M1645" s="47" t="n">
        <x:f>J1645-L1645</x:f>
        <x:v>2700</x:v>
      </x:c>
      <x:c r="N1645" s="5" t="str">
        <x:v>Walk-in</x:v>
      </x:c>
      <x:c r="O1645" s="5" t="str">
        <x:v>POS</x:v>
      </x:c>
      <x:c r="P1645" s="5" t="str">
        <x:v>Breakfast</x:v>
      </x:c>
      <x:c r="Q1645" s="48" t="n">
        <x:v>10</x:v>
      </x:c>
      <x:c r="R1645" s="5" t="n">
        <x:v>5</x:v>
      </x:c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5" t="str">
        <x:v>ORD-00157</x:v>
      </x:c>
      <x:c r="B1646" s="43" t="n">
        <x:v>46243</x:v>
      </x:c>
      <x:c r="C1646" s="5" t="str">
        <x:v>CUST-0599</x:v>
      </x:c>
      <x:c r="D1646" s="5" t="str">
        <x:v>FD011</x:v>
      </x:c>
      <x:c r="E1646" s="5" t="str">
        <x:v>Bottled Water</x:v>
      </x:c>
      <x:c r="F1646" s="5" t="str">
        <x:v>Beverages</x:v>
      </x:c>
      <x:c r="G1646" s="44" t="n">
        <x:v>2</x:v>
      </x:c>
      <x:c r="H1646" s="45" t="n">
        <x:v>300</x:v>
      </x:c>
      <x:c r="I1646" s="46" t="n">
        <x:v>0</x:v>
      </x:c>
      <x:c r="J1646" s="47" t="n">
        <x:f>G1646*H1646*(1-I1646)</x:f>
        <x:v>600</x:v>
      </x:c>
      <x:c r="K1646" s="47" t="n">
        <x:v>120</x:v>
      </x:c>
      <x:c r="L1646" s="47" t="n">
        <x:f>G1646*K1646</x:f>
        <x:v>240</x:v>
      </x:c>
      <x:c r="M1646" s="47" t="n">
        <x:f>J1646-L1646</x:f>
        <x:v>360</x:v>
      </x:c>
      <x:c r="N1646" s="5" t="str">
        <x:v>Delivery</x:v>
      </x:c>
      <x:c r="O1646" s="5" t="str">
        <x:v>POS</x:v>
      </x:c>
      <x:c r="P1646" s="5" t="str">
        <x:v>Lunch</x:v>
      </x:c>
      <x:c r="Q1646" s="48" t="n">
        <x:v>15</x:v>
      </x:c>
      <x:c r="R1646" s="5" t="n">
        <x:v>5</x:v>
      </x:c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5" t="str">
        <x:v>ORD-00509</x:v>
      </x:c>
      <x:c r="B1647" s="43" t="n">
        <x:v>46243</x:v>
      </x:c>
      <x:c r="C1647" s="5" t="str">
        <x:v>CUST-0159</x:v>
      </x:c>
      <x:c r="D1647" s="5" t="str">
        <x:v>FD001</x:v>
      </x:c>
      <x:c r="E1647" s="5" t="str">
        <x:v>White Rice &amp; Stew</x:v>
      </x:c>
      <x:c r="F1647" s="5" t="str">
        <x:v>Rice Meals</x:v>
      </x:c>
      <x:c r="G1647" s="44" t="n">
        <x:v>1</x:v>
      </x:c>
      <x:c r="H1647" s="45" t="n">
        <x:v>1800</x:v>
      </x:c>
      <x:c r="I1647" s="46" t="n">
        <x:v>0</x:v>
      </x:c>
      <x:c r="J1647" s="47" t="n">
        <x:f>G1647*H1647*(1-I1647)</x:f>
        <x:v>1800</x:v>
      </x:c>
      <x:c r="K1647" s="47" t="n">
        <x:v>820</x:v>
      </x:c>
      <x:c r="L1647" s="47" t="n">
        <x:f>G1647*K1647</x:f>
        <x:v>820</x:v>
      </x:c>
      <x:c r="M1647" s="47" t="n">
        <x:f>J1647-L1647</x:f>
        <x:v>980</x:v>
      </x:c>
      <x:c r="N1647" s="5" t="str">
        <x:v>Walk-in</x:v>
      </x:c>
      <x:c r="O1647" s="5" t="str">
        <x:v>Cash</x:v>
      </x:c>
      <x:c r="P1647" s="5" t="str">
        <x:v>Dinner</x:v>
      </x:c>
      <x:c r="Q1647" s="48" t="n">
        <x:v>19</x:v>
      </x:c>
      <x:c r="R1647" s="5" t="n">
        <x:v>3</x:v>
      </x:c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5" t="str">
        <x:v>ORD-00598</x:v>
      </x:c>
      <x:c r="B1648" s="43" t="n">
        <x:v>46243</x:v>
      </x:c>
      <x:c r="C1648" s="5" t="str">
        <x:v>CUST-0545</x:v>
      </x:c>
      <x:c r="D1648" s="5" t="str">
        <x:v>FD010</x:v>
      </x:c>
      <x:c r="E1648" s="5" t="str">
        <x:v>Soft Drink</x:v>
      </x:c>
      <x:c r="F1648" s="5" t="str">
        <x:v>Beverages</x:v>
      </x:c>
      <x:c r="G1648" s="44" t="n">
        <x:v>3</x:v>
      </x:c>
      <x:c r="H1648" s="45" t="n">
        <x:v>600</x:v>
      </x:c>
      <x:c r="I1648" s="46" t="n">
        <x:v>0</x:v>
      </x:c>
      <x:c r="J1648" s="47" t="n">
        <x:f>G1648*H1648*(1-I1648)</x:f>
        <x:v>1800</x:v>
      </x:c>
      <x:c r="K1648" s="47" t="n">
        <x:v>280</x:v>
      </x:c>
      <x:c r="L1648" s="47" t="n">
        <x:f>G1648*K1648</x:f>
        <x:v>840</x:v>
      </x:c>
      <x:c r="M1648" s="47" t="n">
        <x:f>J1648-L1648</x:f>
        <x:v>960</x:v>
      </x:c>
      <x:c r="N1648" s="5" t="str">
        <x:v>Walk-in</x:v>
      </x:c>
      <x:c r="O1648" s="5" t="str">
        <x:v>POS</x:v>
      </x:c>
      <x:c r="P1648" s="5" t="str">
        <x:v>Lunch</x:v>
      </x:c>
      <x:c r="Q1648" s="48" t="n">
        <x:v>13</x:v>
      </x:c>
      <x:c r="R1648" s="5" t="n">
        <x:v>3</x:v>
      </x:c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5" t="str">
        <x:v>ORD-00906</x:v>
      </x:c>
      <x:c r="B1649" s="43" t="n">
        <x:v>46243</x:v>
      </x:c>
      <x:c r="C1649" s="5" t="str">
        <x:v>CUST-0410</x:v>
      </x:c>
      <x:c r="D1649" s="5" t="str">
        <x:v>FD001</x:v>
      </x:c>
      <x:c r="E1649" s="5" t="str">
        <x:v>White Rice &amp; Stew</x:v>
      </x:c>
      <x:c r="F1649" s="5" t="str">
        <x:v>Rice Meals</x:v>
      </x:c>
      <x:c r="G1649" s="44" t="n">
        <x:v>3</x:v>
      </x:c>
      <x:c r="H1649" s="45" t="n">
        <x:v>1800</x:v>
      </x:c>
      <x:c r="I1649" s="46" t="n">
        <x:v>0</x:v>
      </x:c>
      <x:c r="J1649" s="47" t="n">
        <x:f>G1649*H1649*(1-I1649)</x:f>
        <x:v>5400</x:v>
      </x:c>
      <x:c r="K1649" s="47" t="n">
        <x:v>820</x:v>
      </x:c>
      <x:c r="L1649" s="47" t="n">
        <x:f>G1649*K1649</x:f>
        <x:v>2460</x:v>
      </x:c>
      <x:c r="M1649" s="47" t="n">
        <x:f>J1649-L1649</x:f>
        <x:v>2940</x:v>
      </x:c>
      <x:c r="N1649" s="5" t="str">
        <x:v>Takeaway</x:v>
      </x:c>
      <x:c r="O1649" s="5" t="str">
        <x:v>Transfer</x:v>
      </x:c>
      <x:c r="P1649" s="5" t="str">
        <x:v>Lunch</x:v>
      </x:c>
      <x:c r="Q1649" s="48" t="n">
        <x:v>15</x:v>
      </x:c>
      <x:c r="R1649" s="5" t="n">
        <x:v>4</x:v>
      </x:c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5" t="str">
        <x:v>ORD-01276</x:v>
      </x:c>
      <x:c r="B1650" s="43" t="n">
        <x:v>46243</x:v>
      </x:c>
      <x:c r="C1650" s="5" t="str">
        <x:v>CUST-0338</x:v>
      </x:c>
      <x:c r="D1650" s="5" t="str">
        <x:v>FD004</x:v>
      </x:c>
      <x:c r="E1650" s="5" t="str">
        <x:v>Beans &amp; Plantain</x:v>
      </x:c>
      <x:c r="F1650" s="5" t="str">
        <x:v>Traditional Meals</x:v>
      </x:c>
      <x:c r="G1650" s="44" t="n">
        <x:v>2</x:v>
      </x:c>
      <x:c r="H1650" s="45" t="n">
        <x:v>2000</x:v>
      </x:c>
      <x:c r="I1650" s="46" t="n">
        <x:v>0</x:v>
      </x:c>
      <x:c r="J1650" s="47" t="n">
        <x:f>G1650*H1650*(1-I1650)</x:f>
        <x:v>4000</x:v>
      </x:c>
      <x:c r="K1650" s="47" t="n">
        <x:v>960</x:v>
      </x:c>
      <x:c r="L1650" s="47" t="n">
        <x:f>G1650*K1650</x:f>
        <x:v>1920</x:v>
      </x:c>
      <x:c r="M1650" s="47" t="n">
        <x:f>J1650-L1650</x:f>
        <x:v>2080</x:v>
      </x:c>
      <x:c r="N1650" s="5" t="str">
        <x:v>Walk-in</x:v>
      </x:c>
      <x:c r="O1650" s="5" t="str">
        <x:v>POS</x:v>
      </x:c>
      <x:c r="P1650" s="5" t="str">
        <x:v>Dinner</x:v>
      </x:c>
      <x:c r="Q1650" s="48" t="n">
        <x:v>19</x:v>
      </x:c>
      <x:c r="R1650" s="5" t="n">
        <x:v>4</x:v>
      </x:c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5" t="str">
        <x:v>ORD-00408</x:v>
      </x:c>
      <x:c r="B1651" s="43" t="n">
        <x:v>46244</x:v>
      </x:c>
      <x:c r="C1651" s="5" t="str">
        <x:v>CUST-0590</x:v>
      </x:c>
      <x:c r="D1651" s="5" t="str">
        <x:v>FD012</x:v>
      </x:c>
      <x:c r="E1651" s="5" t="str">
        <x:v>Fried Plantain</x:v>
      </x:c>
      <x:c r="F1651" s="5" t="str">
        <x:v>Sides</x:v>
      </x:c>
      <x:c r="G1651" s="44" t="n">
        <x:v>3</x:v>
      </x:c>
      <x:c r="H1651" s="45" t="n">
        <x:v>700</x:v>
      </x:c>
      <x:c r="I1651" s="46" t="n">
        <x:v>0</x:v>
      </x:c>
      <x:c r="J1651" s="47" t="n">
        <x:f>G1651*H1651*(1-I1651)</x:f>
        <x:v>2100</x:v>
      </x:c>
      <x:c r="K1651" s="47" t="n">
        <x:v>300</x:v>
      </x:c>
      <x:c r="L1651" s="47" t="n">
        <x:f>G1651*K1651</x:f>
        <x:v>900</x:v>
      </x:c>
      <x:c r="M1651" s="47" t="n">
        <x:f>J1651-L1651</x:f>
        <x:v>1200</x:v>
      </x:c>
      <x:c r="N1651" s="5" t="str">
        <x:v>Walk-in</x:v>
      </x:c>
      <x:c r="O1651" s="5" t="str">
        <x:v>Cash</x:v>
      </x:c>
      <x:c r="P1651" s="5" t="str">
        <x:v>Dinner</x:v>
      </x:c>
      <x:c r="Q1651" s="48" t="n">
        <x:v>18</x:v>
      </x:c>
      <x:c r="R1651" s="5" t="n">
        <x:v>3</x:v>
      </x:c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5" t="str">
        <x:v>ORD-00920</x:v>
      </x:c>
      <x:c r="B1652" s="43" t="n">
        <x:v>46244</x:v>
      </x:c>
      <x:c r="C1652" s="5" t="str">
        <x:v>CUST-0137</x:v>
      </x:c>
      <x:c r="D1652" s="5" t="str">
        <x:v>FD001</x:v>
      </x:c>
      <x:c r="E1652" s="5" t="str">
        <x:v>White Rice &amp; Stew</x:v>
      </x:c>
      <x:c r="F1652" s="5" t="str">
        <x:v>Rice Meals</x:v>
      </x:c>
      <x:c r="G1652" s="44" t="n">
        <x:v>2</x:v>
      </x:c>
      <x:c r="H1652" s="45" t="n">
        <x:v>1800</x:v>
      </x:c>
      <x:c r="I1652" s="46" t="n">
        <x:v>0</x:v>
      </x:c>
      <x:c r="J1652" s="47" t="n">
        <x:f>G1652*H1652*(1-I1652)</x:f>
        <x:v>3600</x:v>
      </x:c>
      <x:c r="K1652" s="47" t="n">
        <x:v>820</x:v>
      </x:c>
      <x:c r="L1652" s="47" t="n">
        <x:f>G1652*K1652</x:f>
        <x:v>1640</x:v>
      </x:c>
      <x:c r="M1652" s="47" t="n">
        <x:f>J1652-L1652</x:f>
        <x:v>1960</x:v>
      </x:c>
      <x:c r="N1652" s="5" t="str">
        <x:v>Delivery</x:v>
      </x:c>
      <x:c r="O1652" s="5" t="str">
        <x:v>Cash</x:v>
      </x:c>
      <x:c r="P1652" s="5" t="str">
        <x:v>Dinner</x:v>
      </x:c>
      <x:c r="Q1652" s="48" t="n">
        <x:v>19</x:v>
      </x:c>
      <x:c r="R1652" s="5" t="n">
        <x:v>5</x:v>
      </x:c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5" t="str">
        <x:v>ORD-01254</x:v>
      </x:c>
      <x:c r="B1653" s="43" t="n">
        <x:v>46244</x:v>
      </x:c>
      <x:c r="C1653" s="5" t="str">
        <x:v>CUST-0543</x:v>
      </x:c>
      <x:c r="D1653" s="5" t="str">
        <x:v>FD012</x:v>
      </x:c>
      <x:c r="E1653" s="5" t="str">
        <x:v>Fried Plantain</x:v>
      </x:c>
      <x:c r="F1653" s="5" t="str">
        <x:v>Sides</x:v>
      </x:c>
      <x:c r="G1653" s="44" t="n">
        <x:v>4</x:v>
      </x:c>
      <x:c r="H1653" s="45" t="n">
        <x:v>700</x:v>
      </x:c>
      <x:c r="I1653" s="46" t="n">
        <x:v>0</x:v>
      </x:c>
      <x:c r="J1653" s="47" t="n">
        <x:f>G1653*H1653*(1-I1653)</x:f>
        <x:v>2800</x:v>
      </x:c>
      <x:c r="K1653" s="47" t="n">
        <x:v>300</x:v>
      </x:c>
      <x:c r="L1653" s="47" t="n">
        <x:f>G1653*K1653</x:f>
        <x:v>1200</x:v>
      </x:c>
      <x:c r="M1653" s="47" t="n">
        <x:f>J1653-L1653</x:f>
        <x:v>1600</x:v>
      </x:c>
      <x:c r="N1653" s="5" t="str">
        <x:v>Takeaway</x:v>
      </x:c>
      <x:c r="O1653" s="5" t="str">
        <x:v>POS</x:v>
      </x:c>
      <x:c r="P1653" s="5" t="str">
        <x:v>Lunch</x:v>
      </x:c>
      <x:c r="Q1653" s="48" t="n">
        <x:v>12</x:v>
      </x:c>
      <x:c r="R1653" s="5" t="n">
        <x:v>3</x:v>
      </x:c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5" t="str">
        <x:v>ORD-01608</x:v>
      </x:c>
      <x:c r="B1654" s="43" t="n">
        <x:v>46244</x:v>
      </x:c>
      <x:c r="C1654" s="5" t="str">
        <x:v>CUST-0470</x:v>
      </x:c>
      <x:c r="D1654" s="5" t="str">
        <x:v>FD011</x:v>
      </x:c>
      <x:c r="E1654" s="5" t="str">
        <x:v>Bottled Water</x:v>
      </x:c>
      <x:c r="F1654" s="5" t="str">
        <x:v>Beverages</x:v>
      </x:c>
      <x:c r="G1654" s="44" t="n">
        <x:v>2</x:v>
      </x:c>
      <x:c r="H1654" s="45" t="n">
        <x:v>300</x:v>
      </x:c>
      <x:c r="I1654" s="46" t="n">
        <x:v>0</x:v>
      </x:c>
      <x:c r="J1654" s="47" t="n">
        <x:f>G1654*H1654*(1-I1654)</x:f>
        <x:v>600</x:v>
      </x:c>
      <x:c r="K1654" s="47" t="n">
        <x:v>120</x:v>
      </x:c>
      <x:c r="L1654" s="47" t="n">
        <x:f>G1654*K1654</x:f>
        <x:v>240</x:v>
      </x:c>
      <x:c r="M1654" s="47" t="n">
        <x:f>J1654-L1654</x:f>
        <x:v>360</x:v>
      </x:c>
      <x:c r="N1654" s="5" t="str">
        <x:v>Walk-in</x:v>
      </x:c>
      <x:c r="O1654" s="5" t="str">
        <x:v>Transfer</x:v>
      </x:c>
      <x:c r="P1654" s="5" t="str">
        <x:v>Dinner</x:v>
      </x:c>
      <x:c r="Q1654" s="48" t="n">
        <x:v>20</x:v>
      </x:c>
      <x:c r="R1654" s="5" t="n">
        <x:v>5</x:v>
      </x:c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5" t="str">
        <x:v>ORD-01727</x:v>
      </x:c>
      <x:c r="B1655" s="43" t="n">
        <x:v>46244</x:v>
      </x:c>
      <x:c r="C1655" s="5" t="str">
        <x:v>CUST-0477</x:v>
      </x:c>
      <x:c r="D1655" s="5" t="str">
        <x:v>FD005</x:v>
      </x:c>
      <x:c r="E1655" s="5" t="str">
        <x:v>Yam Porridge</x:v>
      </x:c>
      <x:c r="F1655" s="5" t="str">
        <x:v>Traditional Meals</x:v>
      </x:c>
      <x:c r="G1655" s="44" t="n">
        <x:v>1</x:v>
      </x:c>
      <x:c r="H1655" s="45" t="n">
        <x:v>2200</x:v>
      </x:c>
      <x:c r="I1655" s="46" t="n">
        <x:v>0</x:v>
      </x:c>
      <x:c r="J1655" s="47" t="n">
        <x:f>G1655*H1655*(1-I1655)</x:f>
        <x:v>2200</x:v>
      </x:c>
      <x:c r="K1655" s="47" t="n">
        <x:v>1050</x:v>
      </x:c>
      <x:c r="L1655" s="47" t="n">
        <x:f>G1655*K1655</x:f>
        <x:v>1050</x:v>
      </x:c>
      <x:c r="M1655" s="47" t="n">
        <x:f>J1655-L1655</x:f>
        <x:v>1150</x:v>
      </x:c>
      <x:c r="N1655" s="5" t="str">
        <x:v>Delivery</x:v>
      </x:c>
      <x:c r="O1655" s="5" t="str">
        <x:v>Cash</x:v>
      </x:c>
      <x:c r="P1655" s="5" t="str">
        <x:v>Lunch</x:v>
      </x:c>
      <x:c r="Q1655" s="48" t="n">
        <x:v>14</x:v>
      </x:c>
      <x:c r="R1655" s="5" t="n">
        <x:v>3</x:v>
      </x:c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5" t="str">
        <x:v>ORD-01731</x:v>
      </x:c>
      <x:c r="B1656" s="43" t="n">
        <x:v>46244</x:v>
      </x:c>
      <x:c r="C1656" s="5" t="str">
        <x:v>CUST-0321</x:v>
      </x:c>
      <x:c r="D1656" s="5" t="str">
        <x:v>FD006</x:v>
      </x:c>
      <x:c r="E1656" s="5" t="str">
        <x:v>Eba &amp; Egusi Soup</x:v>
      </x:c>
      <x:c r="F1656" s="5" t="str">
        <x:v>Swallow</x:v>
      </x:c>
      <x:c r="G1656" s="44" t="n">
        <x:v>4</x:v>
      </x:c>
      <x:c r="H1656" s="45" t="n">
        <x:v>2600</x:v>
      </x:c>
      <x:c r="I1656" s="46" t="n">
        <x:v>0</x:v>
      </x:c>
      <x:c r="J1656" s="47" t="n">
        <x:f>G1656*H1656*(1-I1656)</x:f>
        <x:v>10400</x:v>
      </x:c>
      <x:c r="K1656" s="47" t="n">
        <x:v>1320</x:v>
      </x:c>
      <x:c r="L1656" s="47" t="n">
        <x:f>G1656*K1656</x:f>
        <x:v>5280</x:v>
      </x:c>
      <x:c r="M1656" s="47" t="n">
        <x:f>J1656-L1656</x:f>
        <x:v>5120</x:v>
      </x:c>
      <x:c r="N1656" s="5" t="str">
        <x:v>Takeaway</x:v>
      </x:c>
      <x:c r="O1656" s="5" t="str">
        <x:v>Transfer</x:v>
      </x:c>
      <x:c r="P1656" s="5" t="str">
        <x:v>Dinner</x:v>
      </x:c>
      <x:c r="Q1656" s="48" t="n">
        <x:v>16</x:v>
      </x:c>
      <x:c r="R1656" s="5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5" t="str">
        <x:v>ORD-00466</x:v>
      </x:c>
      <x:c r="B1657" s="43" t="n">
        <x:v>46245</x:v>
      </x:c>
      <x:c r="C1657" s="5" t="str">
        <x:v>CUST-0583</x:v>
      </x:c>
      <x:c r="D1657" s="5" t="str">
        <x:v>FD005</x:v>
      </x:c>
      <x:c r="E1657" s="5" t="str">
        <x:v>Yam Porridge</x:v>
      </x:c>
      <x:c r="F1657" s="5" t="str">
        <x:v>Traditional Meals</x:v>
      </x:c>
      <x:c r="G1657" s="44" t="n">
        <x:v>2</x:v>
      </x:c>
      <x:c r="H1657" s="45" t="n">
        <x:v>2200</x:v>
      </x:c>
      <x:c r="I1657" s="46" t="n">
        <x:v>0</x:v>
      </x:c>
      <x:c r="J1657" s="47" t="n">
        <x:f>G1657*H1657*(1-I1657)</x:f>
        <x:v>4400</x:v>
      </x:c>
      <x:c r="K1657" s="47" t="n">
        <x:v>1050</x:v>
      </x:c>
      <x:c r="L1657" s="47" t="n">
        <x:f>G1657*K1657</x:f>
        <x:v>2100</x:v>
      </x:c>
      <x:c r="M1657" s="47" t="n">
        <x:f>J1657-L1657</x:f>
        <x:v>2300</x:v>
      </x:c>
      <x:c r="N1657" s="5" t="str">
        <x:v>Delivery</x:v>
      </x:c>
      <x:c r="O1657" s="5" t="str">
        <x:v>Transfer</x:v>
      </x:c>
      <x:c r="P1657" s="5" t="str">
        <x:v>Lunch</x:v>
      </x:c>
      <x:c r="Q1657" s="48" t="n">
        <x:v>11</x:v>
      </x:c>
      <x:c r="R1657" s="5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5" t="str">
        <x:v>ORD-00478</x:v>
      </x:c>
      <x:c r="B1658" s="43" t="n">
        <x:v>46245</x:v>
      </x:c>
      <x:c r="C1658" s="5" t="str">
        <x:v>CUST-0396</x:v>
      </x:c>
      <x:c r="D1658" s="5" t="str">
        <x:v>FD003</x:v>
      </x:c>
      <x:c r="E1658" s="5" t="str">
        <x:v>Fried Rice &amp; Chicken</x:v>
      </x:c>
      <x:c r="F1658" s="5" t="str">
        <x:v>Rice Meals</x:v>
      </x:c>
      <x:c r="G1658" s="44" t="n">
        <x:v>3</x:v>
      </x:c>
      <x:c r="H1658" s="45" t="n">
        <x:v>3000</x:v>
      </x:c>
      <x:c r="I1658" s="46" t="n">
        <x:v>0</x:v>
      </x:c>
      <x:c r="J1658" s="47" t="n">
        <x:f>G1658*H1658*(1-I1658)</x:f>
        <x:v>9000</x:v>
      </x:c>
      <x:c r="K1658" s="47" t="n">
        <x:v>1580</x:v>
      </x:c>
      <x:c r="L1658" s="47" t="n">
        <x:f>G1658*K1658</x:f>
        <x:v>4740</x:v>
      </x:c>
      <x:c r="M1658" s="47" t="n">
        <x:f>J1658-L1658</x:f>
        <x:v>4260</x:v>
      </x:c>
      <x:c r="N1658" s="5" t="str">
        <x:v>Walk-in</x:v>
      </x:c>
      <x:c r="O1658" s="5" t="str">
        <x:v>POS</x:v>
      </x:c>
      <x:c r="P1658" s="5" t="str">
        <x:v>Breakfast</x:v>
      </x:c>
      <x:c r="Q1658" s="48" t="n">
        <x:v>9</x:v>
      </x:c>
      <x:c r="R1658" s="5" t="n">
        <x:v>4</x:v>
      </x:c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5" t="str">
        <x:v>ORD-00784</x:v>
      </x:c>
      <x:c r="B1659" s="43" t="n">
        <x:v>46245</x:v>
      </x:c>
      <x:c r="C1659" s="5" t="str">
        <x:v>CUST-0318</x:v>
      </x:c>
      <x:c r="D1659" s="5" t="str">
        <x:v>FD005</x:v>
      </x:c>
      <x:c r="E1659" s="5" t="str">
        <x:v>Yam Porridge</x:v>
      </x:c>
      <x:c r="F1659" s="5" t="str">
        <x:v>Traditional Meals</x:v>
      </x:c>
      <x:c r="G1659" s="44" t="n">
        <x:v>4</x:v>
      </x:c>
      <x:c r="H1659" s="45" t="n">
        <x:v>2200</x:v>
      </x:c>
      <x:c r="I1659" s="46" t="n">
        <x:v>0</x:v>
      </x:c>
      <x:c r="J1659" s="47" t="n">
        <x:f>G1659*H1659*(1-I1659)</x:f>
        <x:v>8800</x:v>
      </x:c>
      <x:c r="K1659" s="47" t="n">
        <x:v>1050</x:v>
      </x:c>
      <x:c r="L1659" s="47" t="n">
        <x:f>G1659*K1659</x:f>
        <x:v>4200</x:v>
      </x:c>
      <x:c r="M1659" s="47" t="n">
        <x:f>J1659-L1659</x:f>
        <x:v>4600</x:v>
      </x:c>
      <x:c r="N1659" s="5" t="str">
        <x:v>Delivery</x:v>
      </x:c>
      <x:c r="O1659" s="5" t="str">
        <x:v>Transfer</x:v>
      </x:c>
      <x:c r="P1659" s="5" t="str">
        <x:v>Dinner</x:v>
      </x:c>
      <x:c r="Q1659" s="48" t="n">
        <x:v>17</x:v>
      </x:c>
      <x:c r="R1659" s="5" t="n">
        <x:v>5</x:v>
      </x:c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5" t="str">
        <x:v>ORD-00890</x:v>
      </x:c>
      <x:c r="B1660" s="43" t="n">
        <x:v>46245</x:v>
      </x:c>
      <x:c r="C1660" s="5" t="str">
        <x:v>CUST-0378</x:v>
      </x:c>
      <x:c r="D1660" s="5" t="str">
        <x:v>FD001</x:v>
      </x:c>
      <x:c r="E1660" s="5" t="str">
        <x:v>White Rice &amp; Stew</x:v>
      </x:c>
      <x:c r="F1660" s="5" t="str">
        <x:v>Rice Meals</x:v>
      </x:c>
      <x:c r="G1660" s="44" t="n">
        <x:v>1</x:v>
      </x:c>
      <x:c r="H1660" s="45" t="n">
        <x:v>1800</x:v>
      </x:c>
      <x:c r="I1660" s="46" t="n">
        <x:v>0</x:v>
      </x:c>
      <x:c r="J1660" s="47" t="n">
        <x:f>G1660*H1660*(1-I1660)</x:f>
        <x:v>1800</x:v>
      </x:c>
      <x:c r="K1660" s="47" t="n">
        <x:v>820</x:v>
      </x:c>
      <x:c r="L1660" s="47" t="n">
        <x:f>G1660*K1660</x:f>
        <x:v>820</x:v>
      </x:c>
      <x:c r="M1660" s="47" t="n">
        <x:f>J1660-L1660</x:f>
        <x:v>980</x:v>
      </x:c>
      <x:c r="N1660" s="5" t="str">
        <x:v>Walk-in</x:v>
      </x:c>
      <x:c r="O1660" s="5" t="str">
        <x:v>POS</x:v>
      </x:c>
      <x:c r="P1660" s="5" t="str">
        <x:v>Lunch</x:v>
      </x:c>
      <x:c r="Q1660" s="48" t="n">
        <x:v>11</x:v>
      </x:c>
      <x:c r="R1660" s="5" t="n">
        <x:v>4</x:v>
      </x:c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5" t="str">
        <x:v>ORD-01215</x:v>
      </x:c>
      <x:c r="B1661" s="43" t="n">
        <x:v>46245</x:v>
      </x:c>
      <x:c r="C1661" s="5" t="str">
        <x:v>CUST-0296</x:v>
      </x:c>
      <x:c r="D1661" s="5" t="str">
        <x:v>FD005</x:v>
      </x:c>
      <x:c r="E1661" s="5" t="str">
        <x:v>Yam Porridge</x:v>
      </x:c>
      <x:c r="F1661" s="5" t="str">
        <x:v>Traditional Meals</x:v>
      </x:c>
      <x:c r="G1661" s="44" t="n">
        <x:v>2</x:v>
      </x:c>
      <x:c r="H1661" s="45" t="n">
        <x:v>2200</x:v>
      </x:c>
      <x:c r="I1661" s="46" t="n">
        <x:v>0</x:v>
      </x:c>
      <x:c r="J1661" s="47" t="n">
        <x:f>G1661*H1661*(1-I1661)</x:f>
        <x:v>4400</x:v>
      </x:c>
      <x:c r="K1661" s="47" t="n">
        <x:v>1050</x:v>
      </x:c>
      <x:c r="L1661" s="47" t="n">
        <x:f>G1661*K1661</x:f>
        <x:v>2100</x:v>
      </x:c>
      <x:c r="M1661" s="47" t="n">
        <x:f>J1661-L1661</x:f>
        <x:v>2300</x:v>
      </x:c>
      <x:c r="N1661" s="5" t="str">
        <x:v>Takeaway</x:v>
      </x:c>
      <x:c r="O1661" s="5" t="str">
        <x:v>POS</x:v>
      </x:c>
      <x:c r="P1661" s="5" t="str">
        <x:v>Lunch</x:v>
      </x:c>
      <x:c r="Q1661" s="48" t="n">
        <x:v>13</x:v>
      </x:c>
      <x:c r="R1661" s="5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5" t="str">
        <x:v>ORD-01397</x:v>
      </x:c>
      <x:c r="B1662" s="43" t="n">
        <x:v>46245</x:v>
      </x:c>
      <x:c r="C1662" s="5" t="str">
        <x:v>CUST-0138</x:v>
      </x:c>
      <x:c r="D1662" s="5" t="str">
        <x:v>FD002</x:v>
      </x:c>
      <x:c r="E1662" s="5" t="str">
        <x:v>Jollof Rice &amp; Chicken</x:v>
      </x:c>
      <x:c r="F1662" s="5" t="str">
        <x:v>Rice Meals</x:v>
      </x:c>
      <x:c r="G1662" s="44" t="n">
        <x:v>3</x:v>
      </x:c>
      <x:c r="H1662" s="45" t="n">
        <x:v>2800</x:v>
      </x:c>
      <x:c r="I1662" s="46" t="n">
        <x:v>0</x:v>
      </x:c>
      <x:c r="J1662" s="47" t="n">
        <x:f>G1662*H1662*(1-I1662)</x:f>
        <x:v>8400</x:v>
      </x:c>
      <x:c r="K1662" s="47" t="n">
        <x:v>1450</x:v>
      </x:c>
      <x:c r="L1662" s="47" t="n">
        <x:f>G1662*K1662</x:f>
        <x:v>4350</x:v>
      </x:c>
      <x:c r="M1662" s="47" t="n">
        <x:f>J1662-L1662</x:f>
        <x:v>4050</x:v>
      </x:c>
      <x:c r="N1662" s="5" t="str">
        <x:v>Walk-in</x:v>
      </x:c>
      <x:c r="O1662" s="5" t="str">
        <x:v>POS</x:v>
      </x:c>
      <x:c r="P1662" s="5" t="str">
        <x:v>Lunch</x:v>
      </x:c>
      <x:c r="Q1662" s="48" t="n">
        <x:v>12</x:v>
      </x:c>
      <x:c r="R1662" s="5" t="n">
        <x:v>4</x:v>
      </x:c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5" t="str">
        <x:v>ORD-01689</x:v>
      </x:c>
      <x:c r="B1663" s="43" t="n">
        <x:v>46245</x:v>
      </x:c>
      <x:c r="C1663" s="5" t="str">
        <x:v>CUST-0406</x:v>
      </x:c>
      <x:c r="D1663" s="5" t="str">
        <x:v>FD006</x:v>
      </x:c>
      <x:c r="E1663" s="5" t="str">
        <x:v>Eba &amp; Egusi Soup</x:v>
      </x:c>
      <x:c r="F1663" s="5" t="str">
        <x:v>Swallow</x:v>
      </x:c>
      <x:c r="G1663" s="44" t="n">
        <x:v>2</x:v>
      </x:c>
      <x:c r="H1663" s="45" t="n">
        <x:v>2600</x:v>
      </x:c>
      <x:c r="I1663" s="46" t="n">
        <x:v>0</x:v>
      </x:c>
      <x:c r="J1663" s="47" t="n">
        <x:f>G1663*H1663*(1-I1663)</x:f>
        <x:v>5200</x:v>
      </x:c>
      <x:c r="K1663" s="47" t="n">
        <x:v>1320</x:v>
      </x:c>
      <x:c r="L1663" s="47" t="n">
        <x:f>G1663*K1663</x:f>
        <x:v>2640</x:v>
      </x:c>
      <x:c r="M1663" s="47" t="n">
        <x:f>J1663-L1663</x:f>
        <x:v>2560</x:v>
      </x:c>
      <x:c r="N1663" s="5" t="str">
        <x:v>Takeaway</x:v>
      </x:c>
      <x:c r="O1663" s="5" t="str">
        <x:v>Transfer</x:v>
      </x:c>
      <x:c r="P1663" s="5" t="str">
        <x:v>Lunch</x:v>
      </x:c>
      <x:c r="Q1663" s="48" t="n">
        <x:v>11</x:v>
      </x:c>
      <x:c r="R1663" s="5" t="n">
        <x:v>3</x:v>
      </x:c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5" t="str">
        <x:v>ORD-00054</x:v>
      </x:c>
      <x:c r="B1664" s="43" t="n">
        <x:v>46246</x:v>
      </x:c>
      <x:c r="C1664" s="5" t="str">
        <x:v>CUST-0252</x:v>
      </x:c>
      <x:c r="D1664" s="5" t="str">
        <x:v>FD008</x:v>
      </x:c>
      <x:c r="E1664" s="5" t="str">
        <x:v>Pounded Yam &amp; Vegetable Soup</x:v>
      </x:c>
      <x:c r="F1664" s="5" t="str">
        <x:v>Swallow</x:v>
      </x:c>
      <x:c r="G1664" s="44" t="n">
        <x:v>1</x:v>
      </x:c>
      <x:c r="H1664" s="45" t="n">
        <x:v>3200</x:v>
      </x:c>
      <x:c r="I1664" s="46" t="n">
        <x:v>0</x:v>
      </x:c>
      <x:c r="J1664" s="47" t="n">
        <x:f>G1664*H1664*(1-I1664)</x:f>
        <x:v>3200</x:v>
      </x:c>
      <x:c r="K1664" s="47" t="n">
        <x:v>1710</x:v>
      </x:c>
      <x:c r="L1664" s="47" t="n">
        <x:f>G1664*K1664</x:f>
        <x:v>1710</x:v>
      </x:c>
      <x:c r="M1664" s="47" t="n">
        <x:f>J1664-L1664</x:f>
        <x:v>1490</x:v>
      </x:c>
      <x:c r="N1664" s="5" t="str">
        <x:v>Delivery</x:v>
      </x:c>
      <x:c r="O1664" s="5" t="str">
        <x:v>Transfer</x:v>
      </x:c>
      <x:c r="P1664" s="5" t="str">
        <x:v>Lunch</x:v>
      </x:c>
      <x:c r="Q1664" s="48" t="n">
        <x:v>11</x:v>
      </x:c>
      <x:c r="R1664" s="5" t="n">
        <x:v>4</x:v>
      </x:c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5" t="str">
        <x:v>ORD-00128</x:v>
      </x:c>
      <x:c r="B1665" s="43" t="n">
        <x:v>46246</x:v>
      </x:c>
      <x:c r="C1665" s="5" t="str">
        <x:v>CUST-0335</x:v>
      </x:c>
      <x:c r="D1665" s="5" t="str">
        <x:v>FD003</x:v>
      </x:c>
      <x:c r="E1665" s="5" t="str">
        <x:v>Fried Rice &amp; Chicken</x:v>
      </x:c>
      <x:c r="F1665" s="5" t="str">
        <x:v>Rice Meals</x:v>
      </x:c>
      <x:c r="G1665" s="44" t="n">
        <x:v>1</x:v>
      </x:c>
      <x:c r="H1665" s="45" t="n">
        <x:v>3000</x:v>
      </x:c>
      <x:c r="I1665" s="46" t="n">
        <x:v>0</x:v>
      </x:c>
      <x:c r="J1665" s="47" t="n">
        <x:f>G1665*H1665*(1-I1665)</x:f>
        <x:v>3000</x:v>
      </x:c>
      <x:c r="K1665" s="47" t="n">
        <x:v>1580</x:v>
      </x:c>
      <x:c r="L1665" s="47" t="n">
        <x:f>G1665*K1665</x:f>
        <x:v>1580</x:v>
      </x:c>
      <x:c r="M1665" s="47" t="n">
        <x:f>J1665-L1665</x:f>
        <x:v>1420</x:v>
      </x:c>
      <x:c r="N1665" s="5" t="str">
        <x:v>Delivery</x:v>
      </x:c>
      <x:c r="O1665" s="5" t="str">
        <x:v>Transfer</x:v>
      </x:c>
      <x:c r="P1665" s="5" t="str">
        <x:v>Lunch</x:v>
      </x:c>
      <x:c r="Q1665" s="48" t="n">
        <x:v>12</x:v>
      </x:c>
      <x:c r="R1665" s="5" t="n">
        <x:v>5</x:v>
      </x:c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5" t="str">
        <x:v>ORD-00301</x:v>
      </x:c>
      <x:c r="B1666" s="43" t="n">
        <x:v>46246</x:v>
      </x:c>
      <x:c r="C1666" s="5" t="str">
        <x:v>CUST-0550</x:v>
      </x:c>
      <x:c r="D1666" s="5" t="str">
        <x:v>FD001</x:v>
      </x:c>
      <x:c r="E1666" s="5" t="str">
        <x:v>White Rice &amp; Stew</x:v>
      </x:c>
      <x:c r="F1666" s="5" t="str">
        <x:v>Rice Meals</x:v>
      </x:c>
      <x:c r="G1666" s="44" t="n">
        <x:v>2</x:v>
      </x:c>
      <x:c r="H1666" s="45" t="n">
        <x:v>1800</x:v>
      </x:c>
      <x:c r="I1666" s="46" t="n">
        <x:v>0</x:v>
      </x:c>
      <x:c r="J1666" s="47" t="n">
        <x:f>G1666*H1666*(1-I1666)</x:f>
        <x:v>3600</x:v>
      </x:c>
      <x:c r="K1666" s="47" t="n">
        <x:v>820</x:v>
      </x:c>
      <x:c r="L1666" s="47" t="n">
        <x:f>G1666*K1666</x:f>
        <x:v>1640</x:v>
      </x:c>
      <x:c r="M1666" s="47" t="n">
        <x:f>J1666-L1666</x:f>
        <x:v>1960</x:v>
      </x:c>
      <x:c r="N1666" s="5" t="str">
        <x:v>Walk-in</x:v>
      </x:c>
      <x:c r="O1666" s="5" t="str">
        <x:v>Transfer</x:v>
      </x:c>
      <x:c r="P1666" s="5" t="str">
        <x:v>Lunch</x:v>
      </x:c>
      <x:c r="Q1666" s="48" t="n">
        <x:v>12</x:v>
      </x:c>
      <x:c r="R1666" s="5" t="n">
        <x:v>5</x:v>
      </x:c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5" t="str">
        <x:v>ORD-01196</x:v>
      </x:c>
      <x:c r="B1667" s="43" t="n">
        <x:v>46246</x:v>
      </x:c>
      <x:c r="C1667" s="5" t="str">
        <x:v>CUST-0218</x:v>
      </x:c>
      <x:c r="D1667" s="5" t="str">
        <x:v>FD008</x:v>
      </x:c>
      <x:c r="E1667" s="5" t="str">
        <x:v>Pounded Yam &amp; Vegetable Soup</x:v>
      </x:c>
      <x:c r="F1667" s="5" t="str">
        <x:v>Swallow</x:v>
      </x:c>
      <x:c r="G1667" s="44" t="n">
        <x:v>2</x:v>
      </x:c>
      <x:c r="H1667" s="45" t="n">
        <x:v>3200</x:v>
      </x:c>
      <x:c r="I1667" s="46" t="n">
        <x:v>0</x:v>
      </x:c>
      <x:c r="J1667" s="47" t="n">
        <x:f>G1667*H1667*(1-I1667)</x:f>
        <x:v>6400</x:v>
      </x:c>
      <x:c r="K1667" s="47" t="n">
        <x:v>1710</x:v>
      </x:c>
      <x:c r="L1667" s="47" t="n">
        <x:f>G1667*K1667</x:f>
        <x:v>3420</x:v>
      </x:c>
      <x:c r="M1667" s="47" t="n">
        <x:f>J1667-L1667</x:f>
        <x:v>2980</x:v>
      </x:c>
      <x:c r="N1667" s="5" t="str">
        <x:v>Takeaway</x:v>
      </x:c>
      <x:c r="O1667" s="5" t="str">
        <x:v>Transfer</x:v>
      </x:c>
      <x:c r="P1667" s="5" t="str">
        <x:v>Lunch</x:v>
      </x:c>
      <x:c r="Q1667" s="48" t="n">
        <x:v>13</x:v>
      </x:c>
      <x:c r="R1667" s="5" t="n">
        <x:v>3</x:v>
      </x:c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5" t="str">
        <x:v>ORD-01230</x:v>
      </x:c>
      <x:c r="B1668" s="43" t="n">
        <x:v>46246</x:v>
      </x:c>
      <x:c r="C1668" s="5" t="str">
        <x:v>CUST-0543</x:v>
      </x:c>
      <x:c r="D1668" s="5" t="str">
        <x:v>FD004</x:v>
      </x:c>
      <x:c r="E1668" s="5" t="str">
        <x:v>Beans &amp; Plantain</x:v>
      </x:c>
      <x:c r="F1668" s="5" t="str">
        <x:v>Traditional Meals</x:v>
      </x:c>
      <x:c r="G1668" s="44" t="n">
        <x:v>1</x:v>
      </x:c>
      <x:c r="H1668" s="45" t="n">
        <x:v>2000</x:v>
      </x:c>
      <x:c r="I1668" s="46" t="n">
        <x:v>0</x:v>
      </x:c>
      <x:c r="J1668" s="47" t="n">
        <x:f>G1668*H1668*(1-I1668)</x:f>
        <x:v>2000</x:v>
      </x:c>
      <x:c r="K1668" s="47" t="n">
        <x:v>960</x:v>
      </x:c>
      <x:c r="L1668" s="47" t="n">
        <x:f>G1668*K1668</x:f>
        <x:v>960</x:v>
      </x:c>
      <x:c r="M1668" s="47" t="n">
        <x:f>J1668-L1668</x:f>
        <x:v>1040</x:v>
      </x:c>
      <x:c r="N1668" s="5" t="str">
        <x:v>Delivery</x:v>
      </x:c>
      <x:c r="O1668" s="5" t="str">
        <x:v>Transfer</x:v>
      </x:c>
      <x:c r="P1668" s="5" t="str">
        <x:v>Lunch</x:v>
      </x:c>
      <x:c r="Q1668" s="48" t="n">
        <x:v>14</x:v>
      </x:c>
      <x:c r="R1668" s="5" t="n">
        <x:v>4</x:v>
      </x:c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5" t="str">
        <x:v>ORD-01524</x:v>
      </x:c>
      <x:c r="B1669" s="43" t="n">
        <x:v>46246</x:v>
      </x:c>
      <x:c r="C1669" s="5" t="str">
        <x:v>CUST-0211</x:v>
      </x:c>
      <x:c r="D1669" s="5" t="str">
        <x:v>FD008</x:v>
      </x:c>
      <x:c r="E1669" s="5" t="str">
        <x:v>Pounded Yam &amp; Vegetable Soup</x:v>
      </x:c>
      <x:c r="F1669" s="5" t="str">
        <x:v>Swallow</x:v>
      </x:c>
      <x:c r="G1669" s="44" t="n">
        <x:v>2</x:v>
      </x:c>
      <x:c r="H1669" s="45" t="n">
        <x:v>3200</x:v>
      </x:c>
      <x:c r="I1669" s="46" t="n">
        <x:v>0</x:v>
      </x:c>
      <x:c r="J1669" s="47" t="n">
        <x:f>G1669*H1669*(1-I1669)</x:f>
        <x:v>6400</x:v>
      </x:c>
      <x:c r="K1669" s="47" t="n">
        <x:v>1710</x:v>
      </x:c>
      <x:c r="L1669" s="47" t="n">
        <x:f>G1669*K1669</x:f>
        <x:v>3420</x:v>
      </x:c>
      <x:c r="M1669" s="47" t="n">
        <x:f>J1669-L1669</x:f>
        <x:v>2980</x:v>
      </x:c>
      <x:c r="N1669" s="5" t="str">
        <x:v>Delivery</x:v>
      </x:c>
      <x:c r="O1669" s="5" t="str">
        <x:v>POS</x:v>
      </x:c>
      <x:c r="P1669" s="5" t="str">
        <x:v>Lunch</x:v>
      </x:c>
      <x:c r="Q1669" s="48" t="n">
        <x:v>12</x:v>
      </x:c>
      <x:c r="R1669" s="5" t="n">
        <x:v>3</x:v>
      </x:c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5" t="str">
        <x:v>ORD-00255</x:v>
      </x:c>
      <x:c r="B1670" s="43" t="n">
        <x:v>46247</x:v>
      </x:c>
      <x:c r="C1670" s="5" t="str">
        <x:v>CUST-0372</x:v>
      </x:c>
      <x:c r="D1670" s="5" t="str">
        <x:v>FD010</x:v>
      </x:c>
      <x:c r="E1670" s="5" t="str">
        <x:v>Soft Drink</x:v>
      </x:c>
      <x:c r="F1670" s="5" t="str">
        <x:v>Beverages</x:v>
      </x:c>
      <x:c r="G1670" s="44" t="n">
        <x:v>1</x:v>
      </x:c>
      <x:c r="H1670" s="45" t="n">
        <x:v>600</x:v>
      </x:c>
      <x:c r="I1670" s="46" t="n">
        <x:v>0</x:v>
      </x:c>
      <x:c r="J1670" s="47" t="n">
        <x:f>G1670*H1670*(1-I1670)</x:f>
        <x:v>600</x:v>
      </x:c>
      <x:c r="K1670" s="47" t="n">
        <x:v>280</x:v>
      </x:c>
      <x:c r="L1670" s="47" t="n">
        <x:f>G1670*K1670</x:f>
        <x:v>280</x:v>
      </x:c>
      <x:c r="M1670" s="47" t="n">
        <x:f>J1670-L1670</x:f>
        <x:v>320</x:v>
      </x:c>
      <x:c r="N1670" s="5" t="str">
        <x:v>Delivery</x:v>
      </x:c>
      <x:c r="O1670" s="5" t="str">
        <x:v>POS</x:v>
      </x:c>
      <x:c r="P1670" s="5" t="str">
        <x:v>Lunch</x:v>
      </x:c>
      <x:c r="Q1670" s="48" t="n">
        <x:v>12</x:v>
      </x:c>
      <x:c r="R1670" s="5" t="n">
        <x:v>3</x:v>
      </x:c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5" t="str">
        <x:v>ORD-00349</x:v>
      </x:c>
      <x:c r="B1671" s="43" t="n">
        <x:v>46247</x:v>
      </x:c>
      <x:c r="C1671" s="5" t="str">
        <x:v>CUST-0497</x:v>
      </x:c>
      <x:c r="D1671" s="5" t="str">
        <x:v>FD005</x:v>
      </x:c>
      <x:c r="E1671" s="5" t="str">
        <x:v>Yam Porridge</x:v>
      </x:c>
      <x:c r="F1671" s="5" t="str">
        <x:v>Traditional Meals</x:v>
      </x:c>
      <x:c r="G1671" s="44" t="n">
        <x:v>3</x:v>
      </x:c>
      <x:c r="H1671" s="45" t="n">
        <x:v>2200</x:v>
      </x:c>
      <x:c r="I1671" s="46" t="n">
        <x:v>0</x:v>
      </x:c>
      <x:c r="J1671" s="47" t="n">
        <x:f>G1671*H1671*(1-I1671)</x:f>
        <x:v>6600</x:v>
      </x:c>
      <x:c r="K1671" s="47" t="n">
        <x:v>1050</x:v>
      </x:c>
      <x:c r="L1671" s="47" t="n">
        <x:f>G1671*K1671</x:f>
        <x:v>3150</x:v>
      </x:c>
      <x:c r="M1671" s="47" t="n">
        <x:f>J1671-L1671</x:f>
        <x:v>3450</x:v>
      </x:c>
      <x:c r="N1671" s="5" t="str">
        <x:v>Delivery</x:v>
      </x:c>
      <x:c r="O1671" s="5" t="str">
        <x:v>Cash</x:v>
      </x:c>
      <x:c r="P1671" s="5" t="str">
        <x:v>Dinner</x:v>
      </x:c>
      <x:c r="Q1671" s="48" t="n">
        <x:v>20</x:v>
      </x:c>
      <x:c r="R1671" s="5" t="n">
        <x:v>5</x:v>
      </x:c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5" t="str">
        <x:v>ORD-00745</x:v>
      </x:c>
      <x:c r="B1672" s="43" t="n">
        <x:v>46247</x:v>
      </x:c>
      <x:c r="C1672" s="5" t="str">
        <x:v>CUST-0641</x:v>
      </x:c>
      <x:c r="D1672" s="5" t="str">
        <x:v>FD012</x:v>
      </x:c>
      <x:c r="E1672" s="5" t="str">
        <x:v>Fried Plantain</x:v>
      </x:c>
      <x:c r="F1672" s="5" t="str">
        <x:v>Sides</x:v>
      </x:c>
      <x:c r="G1672" s="44" t="n">
        <x:v>1</x:v>
      </x:c>
      <x:c r="H1672" s="45" t="n">
        <x:v>700</x:v>
      </x:c>
      <x:c r="I1672" s="46" t="n">
        <x:v>0</x:v>
      </x:c>
      <x:c r="J1672" s="47" t="n">
        <x:f>G1672*H1672*(1-I1672)</x:f>
        <x:v>700</x:v>
      </x:c>
      <x:c r="K1672" s="47" t="n">
        <x:v>300</x:v>
      </x:c>
      <x:c r="L1672" s="47" t="n">
        <x:f>G1672*K1672</x:f>
        <x:v>300</x:v>
      </x:c>
      <x:c r="M1672" s="47" t="n">
        <x:f>J1672-L1672</x:f>
        <x:v>400</x:v>
      </x:c>
      <x:c r="N1672" s="5" t="str">
        <x:v>Takeaway</x:v>
      </x:c>
      <x:c r="O1672" s="5" t="str">
        <x:v>POS</x:v>
      </x:c>
      <x:c r="P1672" s="5" t="str">
        <x:v>Lunch</x:v>
      </x:c>
      <x:c r="Q1672" s="48" t="n">
        <x:v>15</x:v>
      </x:c>
      <x:c r="R1672" s="5" t="n">
        <x:v>5</x:v>
      </x:c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5" t="str">
        <x:v>ORD-00796</x:v>
      </x:c>
      <x:c r="B1673" s="43" t="n">
        <x:v>46247</x:v>
      </x:c>
      <x:c r="C1673" s="5" t="str">
        <x:v>CUST-0130</x:v>
      </x:c>
      <x:c r="D1673" s="5" t="str">
        <x:v>FD004</x:v>
      </x:c>
      <x:c r="E1673" s="5" t="str">
        <x:v>Beans &amp; Plantain</x:v>
      </x:c>
      <x:c r="F1673" s="5" t="str">
        <x:v>Traditional Meals</x:v>
      </x:c>
      <x:c r="G1673" s="44" t="n">
        <x:v>4</x:v>
      </x:c>
      <x:c r="H1673" s="45" t="n">
        <x:v>2000</x:v>
      </x:c>
      <x:c r="I1673" s="46" t="n">
        <x:v>0</x:v>
      </x:c>
      <x:c r="J1673" s="47" t="n">
        <x:f>G1673*H1673*(1-I1673)</x:f>
        <x:v>8000</x:v>
      </x:c>
      <x:c r="K1673" s="47" t="n">
        <x:v>960</x:v>
      </x:c>
      <x:c r="L1673" s="47" t="n">
        <x:f>G1673*K1673</x:f>
        <x:v>3840</x:v>
      </x:c>
      <x:c r="M1673" s="47" t="n">
        <x:f>J1673-L1673</x:f>
        <x:v>4160</x:v>
      </x:c>
      <x:c r="N1673" s="5" t="str">
        <x:v>Delivery</x:v>
      </x:c>
      <x:c r="O1673" s="5" t="str">
        <x:v>Cash</x:v>
      </x:c>
      <x:c r="P1673" s="5" t="str">
        <x:v>Lunch</x:v>
      </x:c>
      <x:c r="Q1673" s="48" t="n">
        <x:v>14</x:v>
      </x:c>
      <x:c r="R1673" s="5" t="n">
        <x:v>3</x:v>
      </x:c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5" t="str">
        <x:v>ORD-01085</x:v>
      </x:c>
      <x:c r="B1674" s="43" t="n">
        <x:v>46247</x:v>
      </x:c>
      <x:c r="C1674" s="5" t="str">
        <x:v>CUST-0201</x:v>
      </x:c>
      <x:c r="D1674" s="5" t="str">
        <x:v>FD002</x:v>
      </x:c>
      <x:c r="E1674" s="5" t="str">
        <x:v>Jollof Rice &amp; Chicken</x:v>
      </x:c>
      <x:c r="F1674" s="5" t="str">
        <x:v>Rice Meals</x:v>
      </x:c>
      <x:c r="G1674" s="44" t="n">
        <x:v>4</x:v>
      </x:c>
      <x:c r="H1674" s="45" t="n">
        <x:v>2800</x:v>
      </x:c>
      <x:c r="I1674" s="46" t="n">
        <x:v>0</x:v>
      </x:c>
      <x:c r="J1674" s="47" t="n">
        <x:f>G1674*H1674*(1-I1674)</x:f>
        <x:v>11200</x:v>
      </x:c>
      <x:c r="K1674" s="47" t="n">
        <x:v>1450</x:v>
      </x:c>
      <x:c r="L1674" s="47" t="n">
        <x:f>G1674*K1674</x:f>
        <x:v>5800</x:v>
      </x:c>
      <x:c r="M1674" s="47" t="n">
        <x:f>J1674-L1674</x:f>
        <x:v>5400</x:v>
      </x:c>
      <x:c r="N1674" s="5" t="str">
        <x:v>Walk-in</x:v>
      </x:c>
      <x:c r="O1674" s="5" t="str">
        <x:v>Cash</x:v>
      </x:c>
      <x:c r="P1674" s="5" t="str">
        <x:v>Lunch</x:v>
      </x:c>
      <x:c r="Q1674" s="48" t="n">
        <x:v>14</x:v>
      </x:c>
      <x:c r="R1674" s="5" t="n">
        <x:v>3</x:v>
      </x:c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5" t="str">
        <x:v>ORD-01344</x:v>
      </x:c>
      <x:c r="B1675" s="43" t="n">
        <x:v>46247</x:v>
      </x:c>
      <x:c r="C1675" s="5" t="str">
        <x:v>CUST-0449</x:v>
      </x:c>
      <x:c r="D1675" s="5" t="str">
        <x:v>FD002</x:v>
      </x:c>
      <x:c r="E1675" s="5" t="str">
        <x:v>Jollof Rice &amp; Chicken</x:v>
      </x:c>
      <x:c r="F1675" s="5" t="str">
        <x:v>Rice Meals</x:v>
      </x:c>
      <x:c r="G1675" s="44" t="n">
        <x:v>3</x:v>
      </x:c>
      <x:c r="H1675" s="45" t="n">
        <x:v>2800</x:v>
      </x:c>
      <x:c r="I1675" s="46" t="n">
        <x:v>0</x:v>
      </x:c>
      <x:c r="J1675" s="47" t="n">
        <x:f>G1675*H1675*(1-I1675)</x:f>
        <x:v>8400</x:v>
      </x:c>
      <x:c r="K1675" s="47" t="n">
        <x:v>1450</x:v>
      </x:c>
      <x:c r="L1675" s="47" t="n">
        <x:f>G1675*K1675</x:f>
        <x:v>4350</x:v>
      </x:c>
      <x:c r="M1675" s="47" t="n">
        <x:f>J1675-L1675</x:f>
        <x:v>4050</x:v>
      </x:c>
      <x:c r="N1675" s="5" t="str">
        <x:v>Walk-in</x:v>
      </x:c>
      <x:c r="O1675" s="5" t="str">
        <x:v>POS</x:v>
      </x:c>
      <x:c r="P1675" s="5" t="str">
        <x:v>Lunch</x:v>
      </x:c>
      <x:c r="Q1675" s="48" t="n">
        <x:v>13</x:v>
      </x:c>
      <x:c r="R1675" s="5" t="n">
        <x:v>4</x:v>
      </x:c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5" t="str">
        <x:v>ORD-01510</x:v>
      </x:c>
      <x:c r="B1676" s="43" t="n">
        <x:v>46247</x:v>
      </x:c>
      <x:c r="C1676" s="5" t="str">
        <x:v>CUST-0054</x:v>
      </x:c>
      <x:c r="D1676" s="5" t="str">
        <x:v>FD012</x:v>
      </x:c>
      <x:c r="E1676" s="5" t="str">
        <x:v>Fried Plantain</x:v>
      </x:c>
      <x:c r="F1676" s="5" t="str">
        <x:v>Sides</x:v>
      </x:c>
      <x:c r="G1676" s="44" t="n">
        <x:v>2</x:v>
      </x:c>
      <x:c r="H1676" s="45" t="n">
        <x:v>700</x:v>
      </x:c>
      <x:c r="I1676" s="46" t="n">
        <x:v>0</x:v>
      </x:c>
      <x:c r="J1676" s="47" t="n">
        <x:f>G1676*H1676*(1-I1676)</x:f>
        <x:v>1400</x:v>
      </x:c>
      <x:c r="K1676" s="47" t="n">
        <x:v>300</x:v>
      </x:c>
      <x:c r="L1676" s="47" t="n">
        <x:f>G1676*K1676</x:f>
        <x:v>600</x:v>
      </x:c>
      <x:c r="M1676" s="47" t="n">
        <x:f>J1676-L1676</x:f>
        <x:v>800</x:v>
      </x:c>
      <x:c r="N1676" s="5" t="str">
        <x:v>Takeaway</x:v>
      </x:c>
      <x:c r="O1676" s="5" t="str">
        <x:v>Transfer</x:v>
      </x:c>
      <x:c r="P1676" s="5" t="str">
        <x:v>Lunch</x:v>
      </x:c>
      <x:c r="Q1676" s="48" t="n">
        <x:v>15</x:v>
      </x:c>
      <x:c r="R1676" s="5" t="n">
        <x:v>5</x:v>
      </x:c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5" t="str">
        <x:v>ORD-00921</x:v>
      </x:c>
      <x:c r="B1677" s="43" t="n">
        <x:v>46248</x:v>
      </x:c>
      <x:c r="C1677" s="5" t="str">
        <x:v>CUST-0326</x:v>
      </x:c>
      <x:c r="D1677" s="5" t="str">
        <x:v>FD008</x:v>
      </x:c>
      <x:c r="E1677" s="5" t="str">
        <x:v>Pounded Yam &amp; Vegetable Soup</x:v>
      </x:c>
      <x:c r="F1677" s="5" t="str">
        <x:v>Swallow</x:v>
      </x:c>
      <x:c r="G1677" s="44" t="n">
        <x:v>3</x:v>
      </x:c>
      <x:c r="H1677" s="45" t="n">
        <x:v>3200</x:v>
      </x:c>
      <x:c r="I1677" s="46" t="n">
        <x:v>0</x:v>
      </x:c>
      <x:c r="J1677" s="47" t="n">
        <x:f>G1677*H1677*(1-I1677)</x:f>
        <x:v>9600</x:v>
      </x:c>
      <x:c r="K1677" s="47" t="n">
        <x:v>1710</x:v>
      </x:c>
      <x:c r="L1677" s="47" t="n">
        <x:f>G1677*K1677</x:f>
        <x:v>5130</x:v>
      </x:c>
      <x:c r="M1677" s="47" t="n">
        <x:f>J1677-L1677</x:f>
        <x:v>4470</x:v>
      </x:c>
      <x:c r="N1677" s="5" t="str">
        <x:v>Takeaway</x:v>
      </x:c>
      <x:c r="O1677" s="5" t="str">
        <x:v>POS</x:v>
      </x:c>
      <x:c r="P1677" s="5" t="str">
        <x:v>Dinner</x:v>
      </x:c>
      <x:c r="Q1677" s="48" t="n">
        <x:v>16</x:v>
      </x:c>
      <x:c r="R1677" s="5" t="n">
        <x:v>5</x:v>
      </x:c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5" t="str">
        <x:v>ORD-01001</x:v>
      </x:c>
      <x:c r="B1678" s="43" t="n">
        <x:v>46248</x:v>
      </x:c>
      <x:c r="C1678" s="5" t="str">
        <x:v>CUST-0374</x:v>
      </x:c>
      <x:c r="D1678" s="5" t="str">
        <x:v>FD002</x:v>
      </x:c>
      <x:c r="E1678" s="5" t="str">
        <x:v>Jollof Rice &amp; Chicken</x:v>
      </x:c>
      <x:c r="F1678" s="5" t="str">
        <x:v>Rice Meals</x:v>
      </x:c>
      <x:c r="G1678" s="44" t="n">
        <x:v>2</x:v>
      </x:c>
      <x:c r="H1678" s="45" t="n">
        <x:v>2800</x:v>
      </x:c>
      <x:c r="I1678" s="46" t="n">
        <x:v>0</x:v>
      </x:c>
      <x:c r="J1678" s="47" t="n">
        <x:f>G1678*H1678*(1-I1678)</x:f>
        <x:v>5600</x:v>
      </x:c>
      <x:c r="K1678" s="47" t="n">
        <x:v>1450</x:v>
      </x:c>
      <x:c r="L1678" s="47" t="n">
        <x:f>G1678*K1678</x:f>
        <x:v>2900</x:v>
      </x:c>
      <x:c r="M1678" s="47" t="n">
        <x:f>J1678-L1678</x:f>
        <x:v>2700</x:v>
      </x:c>
      <x:c r="N1678" s="5" t="str">
        <x:v>Walk-in</x:v>
      </x:c>
      <x:c r="O1678" s="5" t="str">
        <x:v>POS</x:v>
      </x:c>
      <x:c r="P1678" s="5" t="str">
        <x:v>Lunch</x:v>
      </x:c>
      <x:c r="Q1678" s="48" t="n">
        <x:v>12</x:v>
      </x:c>
      <x:c r="R1678" s="5" t="n">
        <x:v>5</x:v>
      </x:c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5" t="str">
        <x:v>ORD-01677</x:v>
      </x:c>
      <x:c r="B1679" s="43" t="n">
        <x:v>46248</x:v>
      </x:c>
      <x:c r="C1679" s="5" t="str">
        <x:v>CUST-0571</x:v>
      </x:c>
      <x:c r="D1679" s="5" t="str">
        <x:v>FD003</x:v>
      </x:c>
      <x:c r="E1679" s="5" t="str">
        <x:v>Fried Rice &amp; Chicken</x:v>
      </x:c>
      <x:c r="F1679" s="5" t="str">
        <x:v>Rice Meals</x:v>
      </x:c>
      <x:c r="G1679" s="44" t="n">
        <x:v>2</x:v>
      </x:c>
      <x:c r="H1679" s="45" t="n">
        <x:v>3000</x:v>
      </x:c>
      <x:c r="I1679" s="46" t="n">
        <x:v>0</x:v>
      </x:c>
      <x:c r="J1679" s="47" t="n">
        <x:f>G1679*H1679*(1-I1679)</x:f>
        <x:v>6000</x:v>
      </x:c>
      <x:c r="K1679" s="47" t="n">
        <x:v>1580</x:v>
      </x:c>
      <x:c r="L1679" s="47" t="n">
        <x:f>G1679*K1679</x:f>
        <x:v>3160</x:v>
      </x:c>
      <x:c r="M1679" s="47" t="n">
        <x:f>J1679-L1679</x:f>
        <x:v>2840</x:v>
      </x:c>
      <x:c r="N1679" s="5" t="str">
        <x:v>Takeaway</x:v>
      </x:c>
      <x:c r="O1679" s="5" t="str">
        <x:v>POS</x:v>
      </x:c>
      <x:c r="P1679" s="5" t="str">
        <x:v>Lunch</x:v>
      </x:c>
      <x:c r="Q1679" s="48" t="n">
        <x:v>15</x:v>
      </x:c>
      <x:c r="R1679" s="5" t="n">
        <x:v>5</x:v>
      </x:c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5" t="str">
        <x:v>ORD-01705</x:v>
      </x:c>
      <x:c r="B1680" s="43" t="n">
        <x:v>46248</x:v>
      </x:c>
      <x:c r="C1680" s="5" t="str">
        <x:v>CUST-0633</x:v>
      </x:c>
      <x:c r="D1680" s="5" t="str">
        <x:v>FD011</x:v>
      </x:c>
      <x:c r="E1680" s="5" t="str">
        <x:v>Bottled Water</x:v>
      </x:c>
      <x:c r="F1680" s="5" t="str">
        <x:v>Beverages</x:v>
      </x:c>
      <x:c r="G1680" s="44" t="n">
        <x:v>4</x:v>
      </x:c>
      <x:c r="H1680" s="45" t="n">
        <x:v>300</x:v>
      </x:c>
      <x:c r="I1680" s="46" t="n">
        <x:v>0</x:v>
      </x:c>
      <x:c r="J1680" s="47" t="n">
        <x:f>G1680*H1680*(1-I1680)</x:f>
        <x:v>1200</x:v>
      </x:c>
      <x:c r="K1680" s="47" t="n">
        <x:v>120</x:v>
      </x:c>
      <x:c r="L1680" s="47" t="n">
        <x:f>G1680*K1680</x:f>
        <x:v>480</x:v>
      </x:c>
      <x:c r="M1680" s="47" t="n">
        <x:f>J1680-L1680</x:f>
        <x:v>720</x:v>
      </x:c>
      <x:c r="N1680" s="5" t="str">
        <x:v>Takeaway</x:v>
      </x:c>
      <x:c r="O1680" s="5" t="str">
        <x:v>Transfer</x:v>
      </x:c>
      <x:c r="P1680" s="5" t="str">
        <x:v>Dinner</x:v>
      </x:c>
      <x:c r="Q1680" s="48" t="n">
        <x:v>16</x:v>
      </x:c>
      <x:c r="R1680" s="5" t="n">
        <x:v>3</x:v>
      </x:c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5" t="str">
        <x:v>ORD-00163</x:v>
      </x:c>
      <x:c r="B1681" s="43" t="n">
        <x:v>46249</x:v>
      </x:c>
      <x:c r="C1681" s="5" t="str">
        <x:v>CUST-0225</x:v>
      </x:c>
      <x:c r="D1681" s="5" t="str">
        <x:v>FD001</x:v>
      </x:c>
      <x:c r="E1681" s="5" t="str">
        <x:v>White Rice &amp; Stew</x:v>
      </x:c>
      <x:c r="F1681" s="5" t="str">
        <x:v>Rice Meals</x:v>
      </x:c>
      <x:c r="G1681" s="44" t="n">
        <x:v>2</x:v>
      </x:c>
      <x:c r="H1681" s="45" t="n">
        <x:v>1800</x:v>
      </x:c>
      <x:c r="I1681" s="46" t="n">
        <x:v>0</x:v>
      </x:c>
      <x:c r="J1681" s="47" t="n">
        <x:f>G1681*H1681*(1-I1681)</x:f>
        <x:v>3600</x:v>
      </x:c>
      <x:c r="K1681" s="47" t="n">
        <x:v>820</x:v>
      </x:c>
      <x:c r="L1681" s="47" t="n">
        <x:f>G1681*K1681</x:f>
        <x:v>1640</x:v>
      </x:c>
      <x:c r="M1681" s="47" t="n">
        <x:f>J1681-L1681</x:f>
        <x:v>1960</x:v>
      </x:c>
      <x:c r="N1681" s="5" t="str">
        <x:v>Walk-in</x:v>
      </x:c>
      <x:c r="O1681" s="5" t="str">
        <x:v>Cash</x:v>
      </x:c>
      <x:c r="P1681" s="5" t="str">
        <x:v>Lunch</x:v>
      </x:c>
      <x:c r="Q1681" s="48" t="n">
        <x:v>15</x:v>
      </x:c>
      <x:c r="R1681" s="5" t="n">
        <x:v>5</x:v>
      </x:c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5" t="str">
        <x:v>ORD-00210</x:v>
      </x:c>
      <x:c r="B1682" s="43" t="n">
        <x:v>46249</x:v>
      </x:c>
      <x:c r="C1682" s="5" t="str">
        <x:v>CUST-0168</x:v>
      </x:c>
      <x:c r="D1682" s="5" t="str">
        <x:v>FD006</x:v>
      </x:c>
      <x:c r="E1682" s="5" t="str">
        <x:v>Eba &amp; Egusi Soup</x:v>
      </x:c>
      <x:c r="F1682" s="5" t="str">
        <x:v>Swallow</x:v>
      </x:c>
      <x:c r="G1682" s="44" t="n">
        <x:v>1</x:v>
      </x:c>
      <x:c r="H1682" s="45" t="n">
        <x:v>2600</x:v>
      </x:c>
      <x:c r="I1682" s="46" t="n">
        <x:v>0</x:v>
      </x:c>
      <x:c r="J1682" s="47" t="n">
        <x:f>G1682*H1682*(1-I1682)</x:f>
        <x:v>2600</x:v>
      </x:c>
      <x:c r="K1682" s="47" t="n">
        <x:v>1320</x:v>
      </x:c>
      <x:c r="L1682" s="47" t="n">
        <x:f>G1682*K1682</x:f>
        <x:v>1320</x:v>
      </x:c>
      <x:c r="M1682" s="47" t="n">
        <x:f>J1682-L1682</x:f>
        <x:v>1280</x:v>
      </x:c>
      <x:c r="N1682" s="5" t="str">
        <x:v>Walk-in</x:v>
      </x:c>
      <x:c r="O1682" s="5" t="str">
        <x:v>Transfer</x:v>
      </x:c>
      <x:c r="P1682" s="5" t="str">
        <x:v>Dinner</x:v>
      </x:c>
      <x:c r="Q1682" s="48" t="n">
        <x:v>20</x:v>
      </x:c>
      <x:c r="R1682" s="5" t="n">
        <x:v>3</x:v>
      </x:c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5" t="str">
        <x:v>ORD-00942</x:v>
      </x:c>
      <x:c r="B1683" s="43" t="n">
        <x:v>46249</x:v>
      </x:c>
      <x:c r="C1683" s="5" t="str">
        <x:v>CUST-0187</x:v>
      </x:c>
      <x:c r="D1683" s="5" t="str">
        <x:v>FD002</x:v>
      </x:c>
      <x:c r="E1683" s="5" t="str">
        <x:v>Jollof Rice &amp; Chicken</x:v>
      </x:c>
      <x:c r="F1683" s="5" t="str">
        <x:v>Rice Meals</x:v>
      </x:c>
      <x:c r="G1683" s="44" t="n">
        <x:v>1</x:v>
      </x:c>
      <x:c r="H1683" s="45" t="n">
        <x:v>2800</x:v>
      </x:c>
      <x:c r="I1683" s="46" t="n">
        <x:v>0.05</x:v>
      </x:c>
      <x:c r="J1683" s="47" t="n">
        <x:f>G1683*H1683*(1-I1683)</x:f>
        <x:v>2660</x:v>
      </x:c>
      <x:c r="K1683" s="47" t="n">
        <x:v>1450</x:v>
      </x:c>
      <x:c r="L1683" s="47" t="n">
        <x:f>G1683*K1683</x:f>
        <x:v>1450</x:v>
      </x:c>
      <x:c r="M1683" s="47" t="n">
        <x:f>J1683-L1683</x:f>
        <x:v>1210</x:v>
      </x:c>
      <x:c r="N1683" s="5" t="str">
        <x:v>Takeaway</x:v>
      </x:c>
      <x:c r="O1683" s="5" t="str">
        <x:v>POS</x:v>
      </x:c>
      <x:c r="P1683" s="5" t="str">
        <x:v>Lunch</x:v>
      </x:c>
      <x:c r="Q1683" s="48" t="n">
        <x:v>13</x:v>
      </x:c>
      <x:c r="R1683" s="5" t="n">
        <x:v>4</x:v>
      </x:c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5" t="str">
        <x:v>ORD-01567</x:v>
      </x:c>
      <x:c r="B1684" s="43" t="n">
        <x:v>46249</x:v>
      </x:c>
      <x:c r="C1684" s="5" t="str">
        <x:v>CUST-0383</x:v>
      </x:c>
      <x:c r="D1684" s="5" t="str">
        <x:v>FD004</x:v>
      </x:c>
      <x:c r="E1684" s="5" t="str">
        <x:v>Beans &amp; Plantain</x:v>
      </x:c>
      <x:c r="F1684" s="5" t="str">
        <x:v>Traditional Meals</x:v>
      </x:c>
      <x:c r="G1684" s="44" t="n">
        <x:v>2</x:v>
      </x:c>
      <x:c r="H1684" s="45" t="n">
        <x:v>2000</x:v>
      </x:c>
      <x:c r="I1684" s="46" t="n">
        <x:v>0</x:v>
      </x:c>
      <x:c r="J1684" s="47" t="n">
        <x:f>G1684*H1684*(1-I1684)</x:f>
        <x:v>4000</x:v>
      </x:c>
      <x:c r="K1684" s="47" t="n">
        <x:v>960</x:v>
      </x:c>
      <x:c r="L1684" s="47" t="n">
        <x:f>G1684*K1684</x:f>
        <x:v>1920</x:v>
      </x:c>
      <x:c r="M1684" s="47" t="n">
        <x:f>J1684-L1684</x:f>
        <x:v>2080</x:v>
      </x:c>
      <x:c r="N1684" s="5" t="str">
        <x:v>Delivery</x:v>
      </x:c>
      <x:c r="O1684" s="5" t="str">
        <x:v>POS</x:v>
      </x:c>
      <x:c r="P1684" s="5" t="str">
        <x:v>Breakfast</x:v>
      </x:c>
      <x:c r="Q1684" s="48" t="n">
        <x:v>9</x:v>
      </x:c>
      <x:c r="R1684" s="5" t="n">
        <x:v>5</x:v>
      </x:c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5" t="str">
        <x:v>ORD-01746</x:v>
      </x:c>
      <x:c r="B1685" s="43" t="n">
        <x:v>46250</x:v>
      </x:c>
      <x:c r="C1685" s="5" t="str">
        <x:v>CUST-0478</x:v>
      </x:c>
      <x:c r="D1685" s="5" t="str">
        <x:v>FD002</x:v>
      </x:c>
      <x:c r="E1685" s="5" t="str">
        <x:v>Jollof Rice &amp; Chicken</x:v>
      </x:c>
      <x:c r="F1685" s="5" t="str">
        <x:v>Rice Meals</x:v>
      </x:c>
      <x:c r="G1685" s="44" t="n">
        <x:v>3</x:v>
      </x:c>
      <x:c r="H1685" s="45" t="n">
        <x:v>2800</x:v>
      </x:c>
      <x:c r="I1685" s="46" t="n">
        <x:v>0</x:v>
      </x:c>
      <x:c r="J1685" s="47" t="n">
        <x:f>G1685*H1685*(1-I1685)</x:f>
        <x:v>8400</x:v>
      </x:c>
      <x:c r="K1685" s="47" t="n">
        <x:v>1450</x:v>
      </x:c>
      <x:c r="L1685" s="47" t="n">
        <x:f>G1685*K1685</x:f>
        <x:v>4350</x:v>
      </x:c>
      <x:c r="M1685" s="47" t="n">
        <x:f>J1685-L1685</x:f>
        <x:v>4050</x:v>
      </x:c>
      <x:c r="N1685" s="5" t="str">
        <x:v>Takeaway</x:v>
      </x:c>
      <x:c r="O1685" s="5" t="str">
        <x:v>POS</x:v>
      </x:c>
      <x:c r="P1685" s="5" t="str">
        <x:v>Lunch</x:v>
      </x:c>
      <x:c r="Q1685" s="48" t="n">
        <x:v>14</x:v>
      </x:c>
      <x:c r="R1685" s="5" t="n">
        <x:v>4</x:v>
      </x:c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5" t="str">
        <x:v>ORD-00006</x:v>
      </x:c>
      <x:c r="B1686" s="43" t="n">
        <x:v>46251</x:v>
      </x:c>
      <x:c r="C1686" s="5" t="str">
        <x:v>CUST-0203</x:v>
      </x:c>
      <x:c r="D1686" s="5" t="str">
        <x:v>FD001</x:v>
      </x:c>
      <x:c r="E1686" s="5" t="str">
        <x:v>White Rice &amp; Stew</x:v>
      </x:c>
      <x:c r="F1686" s="5" t="str">
        <x:v>Rice Meals</x:v>
      </x:c>
      <x:c r="G1686" s="44" t="n">
        <x:v>4</x:v>
      </x:c>
      <x:c r="H1686" s="45" t="n">
        <x:v>1800</x:v>
      </x:c>
      <x:c r="I1686" s="46" t="n">
        <x:v>0</x:v>
      </x:c>
      <x:c r="J1686" s="47" t="n">
        <x:f>G1686*H1686*(1-I1686)</x:f>
        <x:v>7200</x:v>
      </x:c>
      <x:c r="K1686" s="47" t="n">
        <x:v>820</x:v>
      </x:c>
      <x:c r="L1686" s="47" t="n">
        <x:f>G1686*K1686</x:f>
        <x:v>3280</x:v>
      </x:c>
      <x:c r="M1686" s="47" t="n">
        <x:f>J1686-L1686</x:f>
        <x:v>3920</x:v>
      </x:c>
      <x:c r="N1686" s="5" t="str">
        <x:v>Delivery</x:v>
      </x:c>
      <x:c r="O1686" s="5" t="str">
        <x:v>POS</x:v>
      </x:c>
      <x:c r="P1686" s="5" t="str">
        <x:v>Lunch</x:v>
      </x:c>
      <x:c r="Q1686" s="48" t="n">
        <x:v>13</x:v>
      </x:c>
      <x:c r="R1686" s="5" t="n">
        <x:v>4</x:v>
      </x:c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5" t="str">
        <x:v>ORD-00126</x:v>
      </x:c>
      <x:c r="B1687" s="43" t="n">
        <x:v>46251</x:v>
      </x:c>
      <x:c r="C1687" s="5" t="str">
        <x:v>CUST-0301</x:v>
      </x:c>
      <x:c r="D1687" s="5" t="str">
        <x:v>FD002</x:v>
      </x:c>
      <x:c r="E1687" s="5" t="str">
        <x:v>Jollof Rice &amp; Chicken</x:v>
      </x:c>
      <x:c r="F1687" s="5" t="str">
        <x:v>Rice Meals</x:v>
      </x:c>
      <x:c r="G1687" s="44" t="n">
        <x:v>4</x:v>
      </x:c>
      <x:c r="H1687" s="45" t="n">
        <x:v>2800</x:v>
      </x:c>
      <x:c r="I1687" s="46" t="n">
        <x:v>0</x:v>
      </x:c>
      <x:c r="J1687" s="47" t="n">
        <x:f>G1687*H1687*(1-I1687)</x:f>
        <x:v>11200</x:v>
      </x:c>
      <x:c r="K1687" s="47" t="n">
        <x:v>1450</x:v>
      </x:c>
      <x:c r="L1687" s="47" t="n">
        <x:f>G1687*K1687</x:f>
        <x:v>5800</x:v>
      </x:c>
      <x:c r="M1687" s="47" t="n">
        <x:f>J1687-L1687</x:f>
        <x:v>5400</x:v>
      </x:c>
      <x:c r="N1687" s="5" t="str">
        <x:v>Takeaway</x:v>
      </x:c>
      <x:c r="O1687" s="5" t="str">
        <x:v>Cash</x:v>
      </x:c>
      <x:c r="P1687" s="5" t="str">
        <x:v>Dinner</x:v>
      </x:c>
      <x:c r="Q1687" s="48" t="n">
        <x:v>16</x:v>
      </x:c>
      <x:c r="R1687" s="5" t="n">
        <x:v>5</x:v>
      </x:c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5" t="str">
        <x:v>ORD-00127</x:v>
      </x:c>
      <x:c r="B1688" s="43" t="n">
        <x:v>46251</x:v>
      </x:c>
      <x:c r="C1688" s="5" t="str">
        <x:v>CUST-0362</x:v>
      </x:c>
      <x:c r="D1688" s="5" t="str">
        <x:v>FD004</x:v>
      </x:c>
      <x:c r="E1688" s="5" t="str">
        <x:v>Beans &amp; Plantain</x:v>
      </x:c>
      <x:c r="F1688" s="5" t="str">
        <x:v>Traditional Meals</x:v>
      </x:c>
      <x:c r="G1688" s="44" t="n">
        <x:v>4</x:v>
      </x:c>
      <x:c r="H1688" s="45" t="n">
        <x:v>2000</x:v>
      </x:c>
      <x:c r="I1688" s="46" t="n">
        <x:v>0.05</x:v>
      </x:c>
      <x:c r="J1688" s="47" t="n">
        <x:f>G1688*H1688*(1-I1688)</x:f>
        <x:v>7600</x:v>
      </x:c>
      <x:c r="K1688" s="47" t="n">
        <x:v>960</x:v>
      </x:c>
      <x:c r="L1688" s="47" t="n">
        <x:f>G1688*K1688</x:f>
        <x:v>3840</x:v>
      </x:c>
      <x:c r="M1688" s="47" t="n">
        <x:f>J1688-L1688</x:f>
        <x:v>3760</x:v>
      </x:c>
      <x:c r="N1688" s="5" t="str">
        <x:v>Walk-in</x:v>
      </x:c>
      <x:c r="O1688" s="5" t="str">
        <x:v>POS</x:v>
      </x:c>
      <x:c r="P1688" s="5" t="str">
        <x:v>Dinner</x:v>
      </x:c>
      <x:c r="Q1688" s="48" t="n">
        <x:v>20</x:v>
      </x:c>
      <x:c r="R1688" s="5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5" t="str">
        <x:v>ORD-00143</x:v>
      </x:c>
      <x:c r="B1689" s="43" t="n">
        <x:v>46251</x:v>
      </x:c>
      <x:c r="C1689" s="5" t="str">
        <x:v>CUST-0262</x:v>
      </x:c>
      <x:c r="D1689" s="5" t="str">
        <x:v>FD005</x:v>
      </x:c>
      <x:c r="E1689" s="5" t="str">
        <x:v>Yam Porridge</x:v>
      </x:c>
      <x:c r="F1689" s="5" t="str">
        <x:v>Traditional Meals</x:v>
      </x:c>
      <x:c r="G1689" s="44" t="n">
        <x:v>2</x:v>
      </x:c>
      <x:c r="H1689" s="45" t="n">
        <x:v>2200</x:v>
      </x:c>
      <x:c r="I1689" s="46" t="n">
        <x:v>0</x:v>
      </x:c>
      <x:c r="J1689" s="47" t="n">
        <x:f>G1689*H1689*(1-I1689)</x:f>
        <x:v>4400</x:v>
      </x:c>
      <x:c r="K1689" s="47" t="n">
        <x:v>1050</x:v>
      </x:c>
      <x:c r="L1689" s="47" t="n">
        <x:f>G1689*K1689</x:f>
        <x:v>2100</x:v>
      </x:c>
      <x:c r="M1689" s="47" t="n">
        <x:f>J1689-L1689</x:f>
        <x:v>2300</x:v>
      </x:c>
      <x:c r="N1689" s="5" t="str">
        <x:v>Takeaway</x:v>
      </x:c>
      <x:c r="O1689" s="5" t="str">
        <x:v>Transfer</x:v>
      </x:c>
      <x:c r="P1689" s="5" t="str">
        <x:v>Lunch</x:v>
      </x:c>
      <x:c r="Q1689" s="48" t="n">
        <x:v>12</x:v>
      </x:c>
      <x:c r="R1689" s="5" t="n">
        <x:v>4</x:v>
      </x:c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5" t="str">
        <x:v>ORD-00316</x:v>
      </x:c>
      <x:c r="B1690" s="43" t="n">
        <x:v>46251</x:v>
      </x:c>
      <x:c r="C1690" s="5" t="str">
        <x:v>CUST-0172</x:v>
      </x:c>
      <x:c r="D1690" s="5" t="str">
        <x:v>FD003</x:v>
      </x:c>
      <x:c r="E1690" s="5" t="str">
        <x:v>Fried Rice &amp; Chicken</x:v>
      </x:c>
      <x:c r="F1690" s="5" t="str">
        <x:v>Rice Meals</x:v>
      </x:c>
      <x:c r="G1690" s="44" t="n">
        <x:v>2</x:v>
      </x:c>
      <x:c r="H1690" s="45" t="n">
        <x:v>3000</x:v>
      </x:c>
      <x:c r="I1690" s="46" t="n">
        <x:v>0</x:v>
      </x:c>
      <x:c r="J1690" s="47" t="n">
        <x:f>G1690*H1690*(1-I1690)</x:f>
        <x:v>6000</x:v>
      </x:c>
      <x:c r="K1690" s="47" t="n">
        <x:v>1580</x:v>
      </x:c>
      <x:c r="L1690" s="47" t="n">
        <x:f>G1690*K1690</x:f>
        <x:v>3160</x:v>
      </x:c>
      <x:c r="M1690" s="47" t="n">
        <x:f>J1690-L1690</x:f>
        <x:v>2840</x:v>
      </x:c>
      <x:c r="N1690" s="5" t="str">
        <x:v>Walk-in</x:v>
      </x:c>
      <x:c r="O1690" s="5" t="str">
        <x:v>Transfer</x:v>
      </x:c>
      <x:c r="P1690" s="5" t="str">
        <x:v>Lunch</x:v>
      </x:c>
      <x:c r="Q1690" s="48" t="n">
        <x:v>12</x:v>
      </x:c>
      <x:c r="R1690" s="5" t="n">
        <x:v>4</x:v>
      </x:c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5" t="str">
        <x:v>ORD-00610</x:v>
      </x:c>
      <x:c r="B1691" s="43" t="n">
        <x:v>46251</x:v>
      </x:c>
      <x:c r="C1691" s="5" t="str">
        <x:v>CUST-0377</x:v>
      </x:c>
      <x:c r="D1691" s="5" t="str">
        <x:v>FD008</x:v>
      </x:c>
      <x:c r="E1691" s="5" t="str">
        <x:v>Pounded Yam &amp; Vegetable Soup</x:v>
      </x:c>
      <x:c r="F1691" s="5" t="str">
        <x:v>Swallow</x:v>
      </x:c>
      <x:c r="G1691" s="44" t="n">
        <x:v>4</x:v>
      </x:c>
      <x:c r="H1691" s="45" t="n">
        <x:v>3200</x:v>
      </x:c>
      <x:c r="I1691" s="46" t="n">
        <x:v>0</x:v>
      </x:c>
      <x:c r="J1691" s="47" t="n">
        <x:f>G1691*H1691*(1-I1691)</x:f>
        <x:v>12800</x:v>
      </x:c>
      <x:c r="K1691" s="47" t="n">
        <x:v>1710</x:v>
      </x:c>
      <x:c r="L1691" s="47" t="n">
        <x:f>G1691*K1691</x:f>
        <x:v>6840</x:v>
      </x:c>
      <x:c r="M1691" s="47" t="n">
        <x:f>J1691-L1691</x:f>
        <x:v>5960</x:v>
      </x:c>
      <x:c r="N1691" s="5" t="str">
        <x:v>Walk-in</x:v>
      </x:c>
      <x:c r="O1691" s="5" t="str">
        <x:v>Cash</x:v>
      </x:c>
      <x:c r="P1691" s="5" t="str">
        <x:v>Dinner</x:v>
      </x:c>
      <x:c r="Q1691" s="48" t="n">
        <x:v>17</x:v>
      </x:c>
      <x:c r="R1691" s="5" t="n">
        <x:v>5</x:v>
      </x:c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5" t="str">
        <x:v>ORD-00661</x:v>
      </x:c>
      <x:c r="B1692" s="43" t="n">
        <x:v>46251</x:v>
      </x:c>
      <x:c r="C1692" s="5" t="str">
        <x:v>CUST-0140</x:v>
      </x:c>
      <x:c r="D1692" s="5" t="str">
        <x:v>FD003</x:v>
      </x:c>
      <x:c r="E1692" s="5" t="str">
        <x:v>Fried Rice &amp; Chicken</x:v>
      </x:c>
      <x:c r="F1692" s="5" t="str">
        <x:v>Rice Meals</x:v>
      </x:c>
      <x:c r="G1692" s="44" t="n">
        <x:v>4</x:v>
      </x:c>
      <x:c r="H1692" s="45" t="n">
        <x:v>3000</x:v>
      </x:c>
      <x:c r="I1692" s="46" t="n">
        <x:v>0</x:v>
      </x:c>
      <x:c r="J1692" s="47" t="n">
        <x:f>G1692*H1692*(1-I1692)</x:f>
        <x:v>12000</x:v>
      </x:c>
      <x:c r="K1692" s="47" t="n">
        <x:v>1580</x:v>
      </x:c>
      <x:c r="L1692" s="47" t="n">
        <x:f>G1692*K1692</x:f>
        <x:v>6320</x:v>
      </x:c>
      <x:c r="M1692" s="47" t="n">
        <x:f>J1692-L1692</x:f>
        <x:v>5680</x:v>
      </x:c>
      <x:c r="N1692" s="5" t="str">
        <x:v>Walk-in</x:v>
      </x:c>
      <x:c r="O1692" s="5" t="str">
        <x:v>POS</x:v>
      </x:c>
      <x:c r="P1692" s="5" t="str">
        <x:v>Lunch</x:v>
      </x:c>
      <x:c r="Q1692" s="48" t="n">
        <x:v>14</x:v>
      </x:c>
      <x:c r="R1692" s="5" t="n">
        <x:v>5</x:v>
      </x:c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5" t="str">
        <x:v>ORD-01064</x:v>
      </x:c>
      <x:c r="B1693" s="43" t="n">
        <x:v>46251</x:v>
      </x:c>
      <x:c r="C1693" s="5" t="str">
        <x:v>CUST-0051</x:v>
      </x:c>
      <x:c r="D1693" s="5" t="str">
        <x:v>FD005</x:v>
      </x:c>
      <x:c r="E1693" s="5" t="str">
        <x:v>Yam Porridge</x:v>
      </x:c>
      <x:c r="F1693" s="5" t="str">
        <x:v>Traditional Meals</x:v>
      </x:c>
      <x:c r="G1693" s="44" t="n">
        <x:v>1</x:v>
      </x:c>
      <x:c r="H1693" s="45" t="n">
        <x:v>2200</x:v>
      </x:c>
      <x:c r="I1693" s="46" t="n">
        <x:v>0</x:v>
      </x:c>
      <x:c r="J1693" s="47" t="n">
        <x:f>G1693*H1693*(1-I1693)</x:f>
        <x:v>2200</x:v>
      </x:c>
      <x:c r="K1693" s="47" t="n">
        <x:v>1050</x:v>
      </x:c>
      <x:c r="L1693" s="47" t="n">
        <x:f>G1693*K1693</x:f>
        <x:v>1050</x:v>
      </x:c>
      <x:c r="M1693" s="47" t="n">
        <x:f>J1693-L1693</x:f>
        <x:v>1150</x:v>
      </x:c>
      <x:c r="N1693" s="5" t="str">
        <x:v>Takeaway</x:v>
      </x:c>
      <x:c r="O1693" s="5" t="str">
        <x:v>Cash</x:v>
      </x:c>
      <x:c r="P1693" s="5" t="str">
        <x:v>Lunch</x:v>
      </x:c>
      <x:c r="Q1693" s="48" t="n">
        <x:v>13</x:v>
      </x:c>
      <x:c r="R1693" s="5" t="n">
        <x:v>5</x:v>
      </x:c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5" t="str">
        <x:v>ORD-01091</x:v>
      </x:c>
      <x:c r="B1694" s="43" t="n">
        <x:v>46251</x:v>
      </x:c>
      <x:c r="C1694" s="5" t="str">
        <x:v>CUST-0638</x:v>
      </x:c>
      <x:c r="D1694" s="5" t="str">
        <x:v>FD002</x:v>
      </x:c>
      <x:c r="E1694" s="5" t="str">
        <x:v>Jollof Rice &amp; Chicken</x:v>
      </x:c>
      <x:c r="F1694" s="5" t="str">
        <x:v>Rice Meals</x:v>
      </x:c>
      <x:c r="G1694" s="44" t="n">
        <x:v>4</x:v>
      </x:c>
      <x:c r="H1694" s="45" t="n">
        <x:v>2800</x:v>
      </x:c>
      <x:c r="I1694" s="46" t="n">
        <x:v>0</x:v>
      </x:c>
      <x:c r="J1694" s="47" t="n">
        <x:f>G1694*H1694*(1-I1694)</x:f>
        <x:v>11200</x:v>
      </x:c>
      <x:c r="K1694" s="47" t="n">
        <x:v>1450</x:v>
      </x:c>
      <x:c r="L1694" s="47" t="n">
        <x:f>G1694*K1694</x:f>
        <x:v>5800</x:v>
      </x:c>
      <x:c r="M1694" s="47" t="n">
        <x:f>J1694-L1694</x:f>
        <x:v>5400</x:v>
      </x:c>
      <x:c r="N1694" s="5" t="str">
        <x:v>Delivery</x:v>
      </x:c>
      <x:c r="O1694" s="5" t="str">
        <x:v>Transfer</x:v>
      </x:c>
      <x:c r="P1694" s="5" t="str">
        <x:v>Dinner</x:v>
      </x:c>
      <x:c r="Q1694" s="48" t="n">
        <x:v>16</x:v>
      </x:c>
      <x:c r="R1694" s="5" t="n">
        <x:v>5</x:v>
      </x:c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5" t="str">
        <x:v>ORD-01131</x:v>
      </x:c>
      <x:c r="B1695" s="43" t="n">
        <x:v>46251</x:v>
      </x:c>
      <x:c r="C1695" s="5" t="str">
        <x:v>CUST-0513</x:v>
      </x:c>
      <x:c r="D1695" s="5" t="str">
        <x:v>FD002</x:v>
      </x:c>
      <x:c r="E1695" s="5" t="str">
        <x:v>Jollof Rice &amp; Chicken</x:v>
      </x:c>
      <x:c r="F1695" s="5" t="str">
        <x:v>Rice Meals</x:v>
      </x:c>
      <x:c r="G1695" s="44" t="n">
        <x:v>2</x:v>
      </x:c>
      <x:c r="H1695" s="45" t="n">
        <x:v>2800</x:v>
      </x:c>
      <x:c r="I1695" s="46" t="n">
        <x:v>0</x:v>
      </x:c>
      <x:c r="J1695" s="47" t="n">
        <x:f>G1695*H1695*(1-I1695)</x:f>
        <x:v>5600</x:v>
      </x:c>
      <x:c r="K1695" s="47" t="n">
        <x:v>1450</x:v>
      </x:c>
      <x:c r="L1695" s="47" t="n">
        <x:f>G1695*K1695</x:f>
        <x:v>2900</x:v>
      </x:c>
      <x:c r="M1695" s="47" t="n">
        <x:f>J1695-L1695</x:f>
        <x:v>2700</x:v>
      </x:c>
      <x:c r="N1695" s="5" t="str">
        <x:v>Walk-in</x:v>
      </x:c>
      <x:c r="O1695" s="5" t="str">
        <x:v>Transfer</x:v>
      </x:c>
      <x:c r="P1695" s="5" t="str">
        <x:v>Lunch</x:v>
      </x:c>
      <x:c r="Q1695" s="48" t="n">
        <x:v>12</x:v>
      </x:c>
      <x:c r="R1695" s="5" t="n">
        <x:v>4</x:v>
      </x:c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5" t="str">
        <x:v>ORD-01158</x:v>
      </x:c>
      <x:c r="B1696" s="43" t="n">
        <x:v>46251</x:v>
      </x:c>
      <x:c r="C1696" s="5" t="str">
        <x:v>CUST-0441</x:v>
      </x:c>
      <x:c r="D1696" s="5" t="str">
        <x:v>FD006</x:v>
      </x:c>
      <x:c r="E1696" s="5" t="str">
        <x:v>Eba &amp; Egusi Soup</x:v>
      </x:c>
      <x:c r="F1696" s="5" t="str">
        <x:v>Swallow</x:v>
      </x:c>
      <x:c r="G1696" s="44" t="n">
        <x:v>4</x:v>
      </x:c>
      <x:c r="H1696" s="45" t="n">
        <x:v>2600</x:v>
      </x:c>
      <x:c r="I1696" s="46" t="n">
        <x:v>0</x:v>
      </x:c>
      <x:c r="J1696" s="47" t="n">
        <x:f>G1696*H1696*(1-I1696)</x:f>
        <x:v>10400</x:v>
      </x:c>
      <x:c r="K1696" s="47" t="n">
        <x:v>1320</x:v>
      </x:c>
      <x:c r="L1696" s="47" t="n">
        <x:f>G1696*K1696</x:f>
        <x:v>5280</x:v>
      </x:c>
      <x:c r="M1696" s="47" t="n">
        <x:f>J1696-L1696</x:f>
        <x:v>5120</x:v>
      </x:c>
      <x:c r="N1696" s="5" t="str">
        <x:v>Walk-in</x:v>
      </x:c>
      <x:c r="O1696" s="5" t="str">
        <x:v>Transfer</x:v>
      </x:c>
      <x:c r="P1696" s="5" t="str">
        <x:v>Lunch</x:v>
      </x:c>
      <x:c r="Q1696" s="48" t="n">
        <x:v>11</x:v>
      </x:c>
      <x:c r="R1696" s="5" t="n">
        <x:v>3</x:v>
      </x:c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5" t="str">
        <x:v>ORD-01408</x:v>
      </x:c>
      <x:c r="B1697" s="43" t="n">
        <x:v>46251</x:v>
      </x:c>
      <x:c r="C1697" s="5" t="str">
        <x:v>CUST-0275</x:v>
      </x:c>
      <x:c r="D1697" s="5" t="str">
        <x:v>FD004</x:v>
      </x:c>
      <x:c r="E1697" s="5" t="str">
        <x:v>Beans &amp; Plantain</x:v>
      </x:c>
      <x:c r="F1697" s="5" t="str">
        <x:v>Traditional Meals</x:v>
      </x:c>
      <x:c r="G1697" s="44" t="n">
        <x:v>3</x:v>
      </x:c>
      <x:c r="H1697" s="45" t="n">
        <x:v>2000</x:v>
      </x:c>
      <x:c r="I1697" s="46" t="n">
        <x:v>0</x:v>
      </x:c>
      <x:c r="J1697" s="47" t="n">
        <x:f>G1697*H1697*(1-I1697)</x:f>
        <x:v>6000</x:v>
      </x:c>
      <x:c r="K1697" s="47" t="n">
        <x:v>960</x:v>
      </x:c>
      <x:c r="L1697" s="47" t="n">
        <x:f>G1697*K1697</x:f>
        <x:v>2880</x:v>
      </x:c>
      <x:c r="M1697" s="47" t="n">
        <x:f>J1697-L1697</x:f>
        <x:v>3120</x:v>
      </x:c>
      <x:c r="N1697" s="5" t="str">
        <x:v>Walk-in</x:v>
      </x:c>
      <x:c r="O1697" s="5" t="str">
        <x:v>Transfer</x:v>
      </x:c>
      <x:c r="P1697" s="5" t="str">
        <x:v>Lunch</x:v>
      </x:c>
      <x:c r="Q1697" s="48" t="n">
        <x:v>11</x:v>
      </x:c>
      <x:c r="R1697" s="5" t="n">
        <x:v>3</x:v>
      </x:c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5" t="str">
        <x:v>ORD-01415</x:v>
      </x:c>
      <x:c r="B1698" s="43" t="n">
        <x:v>46251</x:v>
      </x:c>
      <x:c r="C1698" s="5" t="str">
        <x:v>CUST-0467</x:v>
      </x:c>
      <x:c r="D1698" s="5" t="str">
        <x:v>FD005</x:v>
      </x:c>
      <x:c r="E1698" s="5" t="str">
        <x:v>Yam Porridge</x:v>
      </x:c>
      <x:c r="F1698" s="5" t="str">
        <x:v>Traditional Meals</x:v>
      </x:c>
      <x:c r="G1698" s="44" t="n">
        <x:v>1</x:v>
      </x:c>
      <x:c r="H1698" s="45" t="n">
        <x:v>2200</x:v>
      </x:c>
      <x:c r="I1698" s="46" t="n">
        <x:v>0</x:v>
      </x:c>
      <x:c r="J1698" s="47" t="n">
        <x:f>G1698*H1698*(1-I1698)</x:f>
        <x:v>2200</x:v>
      </x:c>
      <x:c r="K1698" s="47" t="n">
        <x:v>1050</x:v>
      </x:c>
      <x:c r="L1698" s="47" t="n">
        <x:f>G1698*K1698</x:f>
        <x:v>1050</x:v>
      </x:c>
      <x:c r="M1698" s="47" t="n">
        <x:f>J1698-L1698</x:f>
        <x:v>1150</x:v>
      </x:c>
      <x:c r="N1698" s="5" t="str">
        <x:v>Walk-in</x:v>
      </x:c>
      <x:c r="O1698" s="5" t="str">
        <x:v>POS</x:v>
      </x:c>
      <x:c r="P1698" s="5" t="str">
        <x:v>Lunch</x:v>
      </x:c>
      <x:c r="Q1698" s="48" t="n">
        <x:v>14</x:v>
      </x:c>
      <x:c r="R1698" s="5" t="n">
        <x:v>5</x:v>
      </x:c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5" t="str">
        <x:v>ORD-00180</x:v>
      </x:c>
      <x:c r="B1699" s="43" t="n">
        <x:v>46252</x:v>
      </x:c>
      <x:c r="C1699" s="5" t="str">
        <x:v>CUST-0366</x:v>
      </x:c>
      <x:c r="D1699" s="5" t="str">
        <x:v>FD001</x:v>
      </x:c>
      <x:c r="E1699" s="5" t="str">
        <x:v>White Rice &amp; Stew</x:v>
      </x:c>
      <x:c r="F1699" s="5" t="str">
        <x:v>Rice Meals</x:v>
      </x:c>
      <x:c r="G1699" s="44" t="n">
        <x:v>4</x:v>
      </x:c>
      <x:c r="H1699" s="45" t="n">
        <x:v>1800</x:v>
      </x:c>
      <x:c r="I1699" s="46" t="n">
        <x:v>0.05</x:v>
      </x:c>
      <x:c r="J1699" s="47" t="n">
        <x:f>G1699*H1699*(1-I1699)</x:f>
        <x:v>6840</x:v>
      </x:c>
      <x:c r="K1699" s="47" t="n">
        <x:v>820</x:v>
      </x:c>
      <x:c r="L1699" s="47" t="n">
        <x:f>G1699*K1699</x:f>
        <x:v>3280</x:v>
      </x:c>
      <x:c r="M1699" s="47" t="n">
        <x:f>J1699-L1699</x:f>
        <x:v>3560</x:v>
      </x:c>
      <x:c r="N1699" s="5" t="str">
        <x:v>Walk-in</x:v>
      </x:c>
      <x:c r="O1699" s="5" t="str">
        <x:v>Transfer</x:v>
      </x:c>
      <x:c r="P1699" s="5" t="str">
        <x:v>Lunch</x:v>
      </x:c>
      <x:c r="Q1699" s="48" t="n">
        <x:v>15</x:v>
      </x:c>
      <x:c r="R1699" s="5" t="n">
        <x:v>4</x:v>
      </x:c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5" t="str">
        <x:v>ORD-00289</x:v>
      </x:c>
      <x:c r="B1700" s="43" t="n">
        <x:v>46252</x:v>
      </x:c>
      <x:c r="C1700" s="5" t="str">
        <x:v>CUST-0389</x:v>
      </x:c>
      <x:c r="D1700" s="5" t="str">
        <x:v>FD004</x:v>
      </x:c>
      <x:c r="E1700" s="5" t="str">
        <x:v>Beans &amp; Plantain</x:v>
      </x:c>
      <x:c r="F1700" s="5" t="str">
        <x:v>Traditional Meals</x:v>
      </x:c>
      <x:c r="G1700" s="44" t="n">
        <x:v>4</x:v>
      </x:c>
      <x:c r="H1700" s="45" t="n">
        <x:v>2000</x:v>
      </x:c>
      <x:c r="I1700" s="46" t="n">
        <x:v>0</x:v>
      </x:c>
      <x:c r="J1700" s="47" t="n">
        <x:f>G1700*H1700*(1-I1700)</x:f>
        <x:v>8000</x:v>
      </x:c>
      <x:c r="K1700" s="47" t="n">
        <x:v>960</x:v>
      </x:c>
      <x:c r="L1700" s="47" t="n">
        <x:f>G1700*K1700</x:f>
        <x:v>3840</x:v>
      </x:c>
      <x:c r="M1700" s="47" t="n">
        <x:f>J1700-L1700</x:f>
        <x:v>4160</x:v>
      </x:c>
      <x:c r="N1700" s="5" t="str">
        <x:v>Walk-in</x:v>
      </x:c>
      <x:c r="O1700" s="5" t="str">
        <x:v>Transfer</x:v>
      </x:c>
      <x:c r="P1700" s="5" t="str">
        <x:v>Lunch</x:v>
      </x:c>
      <x:c r="Q1700" s="48" t="n">
        <x:v>15</x:v>
      </x:c>
      <x:c r="R1700" s="5" t="n">
        <x:v>5</x:v>
      </x:c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5" t="str">
        <x:v>ORD-01263</x:v>
      </x:c>
      <x:c r="B1701" s="43" t="n">
        <x:v>46252</x:v>
      </x:c>
      <x:c r="C1701" s="5" t="str">
        <x:v>CUST-0276</x:v>
      </x:c>
      <x:c r="D1701" s="5" t="str">
        <x:v>FD001</x:v>
      </x:c>
      <x:c r="E1701" s="5" t="str">
        <x:v>White Rice &amp; Stew</x:v>
      </x:c>
      <x:c r="F1701" s="5" t="str">
        <x:v>Rice Meals</x:v>
      </x:c>
      <x:c r="G1701" s="44" t="n">
        <x:v>2</x:v>
      </x:c>
      <x:c r="H1701" s="45" t="n">
        <x:v>1800</x:v>
      </x:c>
      <x:c r="I1701" s="46" t="n">
        <x:v>0</x:v>
      </x:c>
      <x:c r="J1701" s="47" t="n">
        <x:f>G1701*H1701*(1-I1701)</x:f>
        <x:v>3600</x:v>
      </x:c>
      <x:c r="K1701" s="47" t="n">
        <x:v>820</x:v>
      </x:c>
      <x:c r="L1701" s="47" t="n">
        <x:f>G1701*K1701</x:f>
        <x:v>1640</x:v>
      </x:c>
      <x:c r="M1701" s="47" t="n">
        <x:f>J1701-L1701</x:f>
        <x:v>1960</x:v>
      </x:c>
      <x:c r="N1701" s="5" t="str">
        <x:v>Walk-in</x:v>
      </x:c>
      <x:c r="O1701" s="5" t="str">
        <x:v>Transfer</x:v>
      </x:c>
      <x:c r="P1701" s="5" t="str">
        <x:v>Lunch</x:v>
      </x:c>
      <x:c r="Q1701" s="48" t="n">
        <x:v>12</x:v>
      </x:c>
      <x:c r="R1701" s="5" t="n">
        <x:v>5</x:v>
      </x:c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5" t="str">
        <x:v>ORD-00045</x:v>
      </x:c>
      <x:c r="B1702" s="43" t="n">
        <x:v>46253</x:v>
      </x:c>
      <x:c r="C1702" s="5" t="str">
        <x:v>CUST-0005</x:v>
      </x:c>
      <x:c r="D1702" s="5" t="str">
        <x:v>FD004</x:v>
      </x:c>
      <x:c r="E1702" s="5" t="str">
        <x:v>Beans &amp; Plantain</x:v>
      </x:c>
      <x:c r="F1702" s="5" t="str">
        <x:v>Traditional Meals</x:v>
      </x:c>
      <x:c r="G1702" s="44" t="n">
        <x:v>4</x:v>
      </x:c>
      <x:c r="H1702" s="45" t="n">
        <x:v>2000</x:v>
      </x:c>
      <x:c r="I1702" s="46" t="n">
        <x:v>0</x:v>
      </x:c>
      <x:c r="J1702" s="47" t="n">
        <x:f>G1702*H1702*(1-I1702)</x:f>
        <x:v>8000</x:v>
      </x:c>
      <x:c r="K1702" s="47" t="n">
        <x:v>960</x:v>
      </x:c>
      <x:c r="L1702" s="47" t="n">
        <x:f>G1702*K1702</x:f>
        <x:v>3840</x:v>
      </x:c>
      <x:c r="M1702" s="47" t="n">
        <x:f>J1702-L1702</x:f>
        <x:v>4160</x:v>
      </x:c>
      <x:c r="N1702" s="5" t="str">
        <x:v>Walk-in</x:v>
      </x:c>
      <x:c r="O1702" s="5" t="str">
        <x:v>POS</x:v>
      </x:c>
      <x:c r="P1702" s="5" t="str">
        <x:v>Lunch</x:v>
      </x:c>
      <x:c r="Q1702" s="48" t="n">
        <x:v>11</x:v>
      </x:c>
      <x:c r="R1702" s="5" t="n">
        <x:v>4</x:v>
      </x:c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5" t="str">
        <x:v>ORD-00434</x:v>
      </x:c>
      <x:c r="B1703" s="43" t="n">
        <x:v>46253</x:v>
      </x:c>
      <x:c r="C1703" s="5" t="str">
        <x:v>CUST-0555</x:v>
      </x:c>
      <x:c r="D1703" s="5" t="str">
        <x:v>FD008</x:v>
      </x:c>
      <x:c r="E1703" s="5" t="str">
        <x:v>Pounded Yam &amp; Vegetable Soup</x:v>
      </x:c>
      <x:c r="F1703" s="5" t="str">
        <x:v>Swallow</x:v>
      </x:c>
      <x:c r="G1703" s="44" t="n">
        <x:v>1</x:v>
      </x:c>
      <x:c r="H1703" s="45" t="n">
        <x:v>3200</x:v>
      </x:c>
      <x:c r="I1703" s="46" t="n">
        <x:v>0</x:v>
      </x:c>
      <x:c r="J1703" s="47" t="n">
        <x:f>G1703*H1703*(1-I1703)</x:f>
        <x:v>3200</x:v>
      </x:c>
      <x:c r="K1703" s="47" t="n">
        <x:v>1710</x:v>
      </x:c>
      <x:c r="L1703" s="47" t="n">
        <x:f>G1703*K1703</x:f>
        <x:v>1710</x:v>
      </x:c>
      <x:c r="M1703" s="47" t="n">
        <x:f>J1703-L1703</x:f>
        <x:v>1490</x:v>
      </x:c>
      <x:c r="N1703" s="5" t="str">
        <x:v>Takeaway</x:v>
      </x:c>
      <x:c r="O1703" s="5" t="str">
        <x:v>Cash</x:v>
      </x:c>
      <x:c r="P1703" s="5" t="str">
        <x:v>Lunch</x:v>
      </x:c>
      <x:c r="Q1703" s="48" t="n">
        <x:v>13</x:v>
      </x:c>
      <x:c r="R1703" s="5" t="n">
        <x:v>3</x:v>
      </x:c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5" t="str">
        <x:v>ORD-00611</x:v>
      </x:c>
      <x:c r="B1704" s="43" t="n">
        <x:v>46253</x:v>
      </x:c>
      <x:c r="C1704" s="5" t="str">
        <x:v>CUST-0304</x:v>
      </x:c>
      <x:c r="D1704" s="5" t="str">
        <x:v>FD007</x:v>
      </x:c>
      <x:c r="E1704" s="5" t="str">
        <x:v>Amala &amp; Ewedu</x:v>
      </x:c>
      <x:c r="F1704" s="5" t="str">
        <x:v>Swallow</x:v>
      </x:c>
      <x:c r="G1704" s="44" t="n">
        <x:v>2</x:v>
      </x:c>
      <x:c r="H1704" s="45" t="n">
        <x:v>2500</x:v>
      </x:c>
      <x:c r="I1704" s="46" t="n">
        <x:v>0.1</x:v>
      </x:c>
      <x:c r="J1704" s="47" t="n">
        <x:f>G1704*H1704*(1-I1704)</x:f>
        <x:v>4500</x:v>
      </x:c>
      <x:c r="K1704" s="47" t="n">
        <x:v>1250</x:v>
      </x:c>
      <x:c r="L1704" s="47" t="n">
        <x:f>G1704*K1704</x:f>
        <x:v>2500</x:v>
      </x:c>
      <x:c r="M1704" s="47" t="n">
        <x:f>J1704-L1704</x:f>
        <x:v>2000</x:v>
      </x:c>
      <x:c r="N1704" s="5" t="str">
        <x:v>Takeaway</x:v>
      </x:c>
      <x:c r="O1704" s="5" t="str">
        <x:v>Transfer</x:v>
      </x:c>
      <x:c r="P1704" s="5" t="str">
        <x:v>Dinner</x:v>
      </x:c>
      <x:c r="Q1704" s="48" t="n">
        <x:v>17</x:v>
      </x:c>
      <x:c r="R1704" s="5" t="n">
        <x:v>4</x:v>
      </x:c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5" t="str">
        <x:v>ORD-01027</x:v>
      </x:c>
      <x:c r="B1705" s="43" t="n">
        <x:v>46253</x:v>
      </x:c>
      <x:c r="C1705" s="5" t="str">
        <x:v>CUST-0391</x:v>
      </x:c>
      <x:c r="D1705" s="5" t="str">
        <x:v>FD004</x:v>
      </x:c>
      <x:c r="E1705" s="5" t="str">
        <x:v>Beans &amp; Plantain</x:v>
      </x:c>
      <x:c r="F1705" s="5" t="str">
        <x:v>Traditional Meals</x:v>
      </x:c>
      <x:c r="G1705" s="44" t="n">
        <x:v>1</x:v>
      </x:c>
      <x:c r="H1705" s="45" t="n">
        <x:v>2000</x:v>
      </x:c>
      <x:c r="I1705" s="46" t="n">
        <x:v>0</x:v>
      </x:c>
      <x:c r="J1705" s="47" t="n">
        <x:f>G1705*H1705*(1-I1705)</x:f>
        <x:v>2000</x:v>
      </x:c>
      <x:c r="K1705" s="47" t="n">
        <x:v>960</x:v>
      </x:c>
      <x:c r="L1705" s="47" t="n">
        <x:f>G1705*K1705</x:f>
        <x:v>960</x:v>
      </x:c>
      <x:c r="M1705" s="47" t="n">
        <x:f>J1705-L1705</x:f>
        <x:v>1040</x:v>
      </x:c>
      <x:c r="N1705" s="5" t="str">
        <x:v>Walk-in</x:v>
      </x:c>
      <x:c r="O1705" s="5" t="str">
        <x:v>Transfer</x:v>
      </x:c>
      <x:c r="P1705" s="5" t="str">
        <x:v>Lunch</x:v>
      </x:c>
      <x:c r="Q1705" s="48" t="n">
        <x:v>13</x:v>
      </x:c>
      <x:c r="R1705" s="5" t="n">
        <x:v>4</x:v>
      </x:c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5" t="str">
        <x:v>ORD-01332</x:v>
      </x:c>
      <x:c r="B1706" s="43" t="n">
        <x:v>46253</x:v>
      </x:c>
      <x:c r="C1706" s="5" t="str">
        <x:v>CUST-0252</x:v>
      </x:c>
      <x:c r="D1706" s="5" t="str">
        <x:v>FD003</x:v>
      </x:c>
      <x:c r="E1706" s="5" t="str">
        <x:v>Fried Rice &amp; Chicken</x:v>
      </x:c>
      <x:c r="F1706" s="5" t="str">
        <x:v>Rice Meals</x:v>
      </x:c>
      <x:c r="G1706" s="44" t="n">
        <x:v>1</x:v>
      </x:c>
      <x:c r="H1706" s="45" t="n">
        <x:v>3000</x:v>
      </x:c>
      <x:c r="I1706" s="46" t="n">
        <x:v>0</x:v>
      </x:c>
      <x:c r="J1706" s="47" t="n">
        <x:f>G1706*H1706*(1-I1706)</x:f>
        <x:v>3000</x:v>
      </x:c>
      <x:c r="K1706" s="47" t="n">
        <x:v>1580</x:v>
      </x:c>
      <x:c r="L1706" s="47" t="n">
        <x:f>G1706*K1706</x:f>
        <x:v>1580</x:v>
      </x:c>
      <x:c r="M1706" s="47" t="n">
        <x:f>J1706-L1706</x:f>
        <x:v>1420</x:v>
      </x:c>
      <x:c r="N1706" s="5" t="str">
        <x:v>Walk-in</x:v>
      </x:c>
      <x:c r="O1706" s="5" t="str">
        <x:v>Transfer</x:v>
      </x:c>
      <x:c r="P1706" s="5" t="str">
        <x:v>Lunch</x:v>
      </x:c>
      <x:c r="Q1706" s="48" t="n">
        <x:v>12</x:v>
      </x:c>
      <x:c r="R1706" s="5" t="n">
        <x:v>5</x:v>
      </x:c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5" t="str">
        <x:v>ORD-01345</x:v>
      </x:c>
      <x:c r="B1707" s="43" t="n">
        <x:v>46253</x:v>
      </x:c>
      <x:c r="C1707" s="5" t="str">
        <x:v>CUST-0313</x:v>
      </x:c>
      <x:c r="D1707" s="5" t="str">
        <x:v>FD003</x:v>
      </x:c>
      <x:c r="E1707" s="5" t="str">
        <x:v>Fried Rice &amp; Chicken</x:v>
      </x:c>
      <x:c r="F1707" s="5" t="str">
        <x:v>Rice Meals</x:v>
      </x:c>
      <x:c r="G1707" s="44" t="n">
        <x:v>4</x:v>
      </x:c>
      <x:c r="H1707" s="45" t="n">
        <x:v>3000</x:v>
      </x:c>
      <x:c r="I1707" s="46" t="n">
        <x:v>0</x:v>
      </x:c>
      <x:c r="J1707" s="47" t="n">
        <x:f>G1707*H1707*(1-I1707)</x:f>
        <x:v>12000</x:v>
      </x:c>
      <x:c r="K1707" s="47" t="n">
        <x:v>1580</x:v>
      </x:c>
      <x:c r="L1707" s="47" t="n">
        <x:f>G1707*K1707</x:f>
        <x:v>6320</x:v>
      </x:c>
      <x:c r="M1707" s="47" t="n">
        <x:f>J1707-L1707</x:f>
        <x:v>5680</x:v>
      </x:c>
      <x:c r="N1707" s="5" t="str">
        <x:v>Walk-in</x:v>
      </x:c>
      <x:c r="O1707" s="5" t="str">
        <x:v>Cash</x:v>
      </x:c>
      <x:c r="P1707" s="5" t="str">
        <x:v>Lunch</x:v>
      </x:c>
      <x:c r="Q1707" s="48" t="n">
        <x:v>12</x:v>
      </x:c>
      <x:c r="R1707" s="5" t="n">
        <x:v>4</x:v>
      </x:c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5" t="str">
        <x:v>ORD-01600</x:v>
      </x:c>
      <x:c r="B1708" s="43" t="n">
        <x:v>46253</x:v>
      </x:c>
      <x:c r="C1708" s="5" t="str">
        <x:v>CUST-0388</x:v>
      </x:c>
      <x:c r="D1708" s="5" t="str">
        <x:v>FD003</x:v>
      </x:c>
      <x:c r="E1708" s="5" t="str">
        <x:v>Fried Rice &amp; Chicken</x:v>
      </x:c>
      <x:c r="F1708" s="5" t="str">
        <x:v>Rice Meals</x:v>
      </x:c>
      <x:c r="G1708" s="44" t="n">
        <x:v>3</x:v>
      </x:c>
      <x:c r="H1708" s="45" t="n">
        <x:v>3000</x:v>
      </x:c>
      <x:c r="I1708" s="46" t="n">
        <x:v>0</x:v>
      </x:c>
      <x:c r="J1708" s="47" t="n">
        <x:f>G1708*H1708*(1-I1708)</x:f>
        <x:v>9000</x:v>
      </x:c>
      <x:c r="K1708" s="47" t="n">
        <x:v>1580</x:v>
      </x:c>
      <x:c r="L1708" s="47" t="n">
        <x:f>G1708*K1708</x:f>
        <x:v>4740</x:v>
      </x:c>
      <x:c r="M1708" s="47" t="n">
        <x:f>J1708-L1708</x:f>
        <x:v>4260</x:v>
      </x:c>
      <x:c r="N1708" s="5" t="str">
        <x:v>Walk-in</x:v>
      </x:c>
      <x:c r="O1708" s="5" t="str">
        <x:v>POS</x:v>
      </x:c>
      <x:c r="P1708" s="5" t="str">
        <x:v>Lunch</x:v>
      </x:c>
      <x:c r="Q1708" s="48" t="n">
        <x:v>15</x:v>
      </x:c>
      <x:c r="R1708" s="5" t="n">
        <x:v>3</x:v>
      </x:c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5" t="str">
        <x:v>ORD-01790</x:v>
      </x:c>
      <x:c r="B1709" s="43" t="n">
        <x:v>46253</x:v>
      </x:c>
      <x:c r="C1709" s="5" t="str">
        <x:v>CUST-0148</x:v>
      </x:c>
      <x:c r="D1709" s="5" t="str">
        <x:v>FD010</x:v>
      </x:c>
      <x:c r="E1709" s="5" t="str">
        <x:v>Soft Drink</x:v>
      </x:c>
      <x:c r="F1709" s="5" t="str">
        <x:v>Beverages</x:v>
      </x:c>
      <x:c r="G1709" s="44" t="n">
        <x:v>3</x:v>
      </x:c>
      <x:c r="H1709" s="45" t="n">
        <x:v>600</x:v>
      </x:c>
      <x:c r="I1709" s="46" t="n">
        <x:v>0.05</x:v>
      </x:c>
      <x:c r="J1709" s="47" t="n">
        <x:f>G1709*H1709*(1-I1709)</x:f>
        <x:v>1710</x:v>
      </x:c>
      <x:c r="K1709" s="47" t="n">
        <x:v>280</x:v>
      </x:c>
      <x:c r="L1709" s="47" t="n">
        <x:f>G1709*K1709</x:f>
        <x:v>840</x:v>
      </x:c>
      <x:c r="M1709" s="47" t="n">
        <x:f>J1709-L1709</x:f>
        <x:v>870</x:v>
      </x:c>
      <x:c r="N1709" s="5" t="str">
        <x:v>Walk-in</x:v>
      </x:c>
      <x:c r="O1709" s="5" t="str">
        <x:v>POS</x:v>
      </x:c>
      <x:c r="P1709" s="5" t="str">
        <x:v>Lunch</x:v>
      </x:c>
      <x:c r="Q1709" s="48" t="n">
        <x:v>15</x:v>
      </x:c>
      <x:c r="R1709" s="5" t="n">
        <x:v>3</x:v>
      </x:c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5" t="str">
        <x:v>ORD-00735</x:v>
      </x:c>
      <x:c r="B1710" s="43" t="n">
        <x:v>46254</x:v>
      </x:c>
      <x:c r="C1710" s="5" t="str">
        <x:v>CUST-0335</x:v>
      </x:c>
      <x:c r="D1710" s="5" t="str">
        <x:v>FD002</x:v>
      </x:c>
      <x:c r="E1710" s="5" t="str">
        <x:v>Jollof Rice &amp; Chicken</x:v>
      </x:c>
      <x:c r="F1710" s="5" t="str">
        <x:v>Rice Meals</x:v>
      </x:c>
      <x:c r="G1710" s="44" t="n">
        <x:v>1</x:v>
      </x:c>
      <x:c r="H1710" s="45" t="n">
        <x:v>2800</x:v>
      </x:c>
      <x:c r="I1710" s="46" t="n">
        <x:v>0</x:v>
      </x:c>
      <x:c r="J1710" s="47" t="n">
        <x:f>G1710*H1710*(1-I1710)</x:f>
        <x:v>2800</x:v>
      </x:c>
      <x:c r="K1710" s="47" t="n">
        <x:v>1450</x:v>
      </x:c>
      <x:c r="L1710" s="47" t="n">
        <x:f>G1710*K1710</x:f>
        <x:v>1450</x:v>
      </x:c>
      <x:c r="M1710" s="47" t="n">
        <x:f>J1710-L1710</x:f>
        <x:v>1350</x:v>
      </x:c>
      <x:c r="N1710" s="5" t="str">
        <x:v>Takeaway</x:v>
      </x:c>
      <x:c r="O1710" s="5" t="str">
        <x:v>POS</x:v>
      </x:c>
      <x:c r="P1710" s="5" t="str">
        <x:v>Dinner</x:v>
      </x:c>
      <x:c r="Q1710" s="48" t="n">
        <x:v>20</x:v>
      </x:c>
      <x:c r="R1710" s="5" t="n">
        <x:v>4</x:v>
      </x:c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5" t="str">
        <x:v>ORD-00961</x:v>
      </x:c>
      <x:c r="B1711" s="43" t="n">
        <x:v>46254</x:v>
      </x:c>
      <x:c r="C1711" s="5" t="str">
        <x:v>CUST-0600</x:v>
      </x:c>
      <x:c r="D1711" s="5" t="str">
        <x:v>FD004</x:v>
      </x:c>
      <x:c r="E1711" s="5" t="str">
        <x:v>Beans &amp; Plantain</x:v>
      </x:c>
      <x:c r="F1711" s="5" t="str">
        <x:v>Traditional Meals</x:v>
      </x:c>
      <x:c r="G1711" s="44" t="n">
        <x:v>2</x:v>
      </x:c>
      <x:c r="H1711" s="45" t="n">
        <x:v>2000</x:v>
      </x:c>
      <x:c r="I1711" s="46" t="n">
        <x:v>0</x:v>
      </x:c>
      <x:c r="J1711" s="47" t="n">
        <x:f>G1711*H1711*(1-I1711)</x:f>
        <x:v>4000</x:v>
      </x:c>
      <x:c r="K1711" s="47" t="n">
        <x:v>960</x:v>
      </x:c>
      <x:c r="L1711" s="47" t="n">
        <x:f>G1711*K1711</x:f>
        <x:v>1920</x:v>
      </x:c>
      <x:c r="M1711" s="47" t="n">
        <x:f>J1711-L1711</x:f>
        <x:v>2080</x:v>
      </x:c>
      <x:c r="N1711" s="5" t="str">
        <x:v>Takeaway</x:v>
      </x:c>
      <x:c r="O1711" s="5" t="str">
        <x:v>Cash</x:v>
      </x:c>
      <x:c r="P1711" s="5" t="str">
        <x:v>Dinner</x:v>
      </x:c>
      <x:c r="Q1711" s="48" t="n">
        <x:v>19</x:v>
      </x:c>
      <x:c r="R1711" s="5" t="n">
        <x:v>4</x:v>
      </x:c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5" t="str">
        <x:v>ORD-01074</x:v>
      </x:c>
      <x:c r="B1712" s="43" t="n">
        <x:v>46254</x:v>
      </x:c>
      <x:c r="C1712" s="5" t="str">
        <x:v>CUST-0293</x:v>
      </x:c>
      <x:c r="D1712" s="5" t="str">
        <x:v>FD006</x:v>
      </x:c>
      <x:c r="E1712" s="5" t="str">
        <x:v>Eba &amp; Egusi Soup</x:v>
      </x:c>
      <x:c r="F1712" s="5" t="str">
        <x:v>Swallow</x:v>
      </x:c>
      <x:c r="G1712" s="44" t="n">
        <x:v>4</x:v>
      </x:c>
      <x:c r="H1712" s="45" t="n">
        <x:v>2600</x:v>
      </x:c>
      <x:c r="I1712" s="46" t="n">
        <x:v>0</x:v>
      </x:c>
      <x:c r="J1712" s="47" t="n">
        <x:f>G1712*H1712*(1-I1712)</x:f>
        <x:v>10400</x:v>
      </x:c>
      <x:c r="K1712" s="47" t="n">
        <x:v>1320</x:v>
      </x:c>
      <x:c r="L1712" s="47" t="n">
        <x:f>G1712*K1712</x:f>
        <x:v>5280</x:v>
      </x:c>
      <x:c r="M1712" s="47" t="n">
        <x:f>J1712-L1712</x:f>
        <x:v>5120</x:v>
      </x:c>
      <x:c r="N1712" s="5" t="str">
        <x:v>Walk-in</x:v>
      </x:c>
      <x:c r="O1712" s="5" t="str">
        <x:v>Cash</x:v>
      </x:c>
      <x:c r="P1712" s="5" t="str">
        <x:v>Dinner</x:v>
      </x:c>
      <x:c r="Q1712" s="48" t="n">
        <x:v>20</x:v>
      </x:c>
      <x:c r="R1712" s="5" t="n">
        <x:v>5</x:v>
      </x:c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5" t="str">
        <x:v>ORD-01145</x:v>
      </x:c>
      <x:c r="B1713" s="43" t="n">
        <x:v>46254</x:v>
      </x:c>
      <x:c r="C1713" s="5" t="str">
        <x:v>CUST-0458</x:v>
      </x:c>
      <x:c r="D1713" s="5" t="str">
        <x:v>FD007</x:v>
      </x:c>
      <x:c r="E1713" s="5" t="str">
        <x:v>Amala &amp; Ewedu</x:v>
      </x:c>
      <x:c r="F1713" s="5" t="str">
        <x:v>Swallow</x:v>
      </x:c>
      <x:c r="G1713" s="44" t="n">
        <x:v>4</x:v>
      </x:c>
      <x:c r="H1713" s="45" t="n">
        <x:v>2500</x:v>
      </x:c>
      <x:c r="I1713" s="46" t="n">
        <x:v>0</x:v>
      </x:c>
      <x:c r="J1713" s="47" t="n">
        <x:f>G1713*H1713*(1-I1713)</x:f>
        <x:v>10000</x:v>
      </x:c>
      <x:c r="K1713" s="47" t="n">
        <x:v>1250</x:v>
      </x:c>
      <x:c r="L1713" s="47" t="n">
        <x:f>G1713*K1713</x:f>
        <x:v>5000</x:v>
      </x:c>
      <x:c r="M1713" s="47" t="n">
        <x:f>J1713-L1713</x:f>
        <x:v>5000</x:v>
      </x:c>
      <x:c r="N1713" s="5" t="str">
        <x:v>Walk-in</x:v>
      </x:c>
      <x:c r="O1713" s="5" t="str">
        <x:v>Transfer</x:v>
      </x:c>
      <x:c r="P1713" s="5" t="str">
        <x:v>Breakfast</x:v>
      </x:c>
      <x:c r="Q1713" s="48" t="n">
        <x:v>10</x:v>
      </x:c>
      <x:c r="R1713" s="5" t="n">
        <x:v>4</x:v>
      </x:c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5" t="str">
        <x:v>ORD-01166</x:v>
      </x:c>
      <x:c r="B1714" s="43" t="n">
        <x:v>46254</x:v>
      </x:c>
      <x:c r="C1714" s="5" t="str">
        <x:v>CUST-0582</x:v>
      </x:c>
      <x:c r="D1714" s="5" t="str">
        <x:v>FD002</x:v>
      </x:c>
      <x:c r="E1714" s="5" t="str">
        <x:v>Jollof Rice &amp; Chicken</x:v>
      </x:c>
      <x:c r="F1714" s="5" t="str">
        <x:v>Rice Meals</x:v>
      </x:c>
      <x:c r="G1714" s="44" t="n">
        <x:v>4</x:v>
      </x:c>
      <x:c r="H1714" s="45" t="n">
        <x:v>2800</x:v>
      </x:c>
      <x:c r="I1714" s="46" t="n">
        <x:v>0</x:v>
      </x:c>
      <x:c r="J1714" s="47" t="n">
        <x:f>G1714*H1714*(1-I1714)</x:f>
        <x:v>11200</x:v>
      </x:c>
      <x:c r="K1714" s="47" t="n">
        <x:v>1450</x:v>
      </x:c>
      <x:c r="L1714" s="47" t="n">
        <x:f>G1714*K1714</x:f>
        <x:v>5800</x:v>
      </x:c>
      <x:c r="M1714" s="47" t="n">
        <x:f>J1714-L1714</x:f>
        <x:v>5400</x:v>
      </x:c>
      <x:c r="N1714" s="5" t="str">
        <x:v>Walk-in</x:v>
      </x:c>
      <x:c r="O1714" s="5" t="str">
        <x:v>POS</x:v>
      </x:c>
      <x:c r="P1714" s="5" t="str">
        <x:v>Lunch</x:v>
      </x:c>
      <x:c r="Q1714" s="48" t="n">
        <x:v>12</x:v>
      </x:c>
      <x:c r="R1714" s="5" t="n">
        <x:v>4</x:v>
      </x:c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5" t="str">
        <x:v>ORD-01559</x:v>
      </x:c>
      <x:c r="B1715" s="43" t="n">
        <x:v>46254</x:v>
      </x:c>
      <x:c r="C1715" s="5" t="str">
        <x:v>CUST-0486</x:v>
      </x:c>
      <x:c r="D1715" s="5" t="str">
        <x:v>FD004</x:v>
      </x:c>
      <x:c r="E1715" s="5" t="str">
        <x:v>Beans &amp; Plantain</x:v>
      </x:c>
      <x:c r="F1715" s="5" t="str">
        <x:v>Traditional Meals</x:v>
      </x:c>
      <x:c r="G1715" s="44" t="n">
        <x:v>1</x:v>
      </x:c>
      <x:c r="H1715" s="45" t="n">
        <x:v>2000</x:v>
      </x:c>
      <x:c r="I1715" s="46" t="n">
        <x:v>0</x:v>
      </x:c>
      <x:c r="J1715" s="47" t="n">
        <x:f>G1715*H1715*(1-I1715)</x:f>
        <x:v>2000</x:v>
      </x:c>
      <x:c r="K1715" s="47" t="n">
        <x:v>960</x:v>
      </x:c>
      <x:c r="L1715" s="47" t="n">
        <x:f>G1715*K1715</x:f>
        <x:v>960</x:v>
      </x:c>
      <x:c r="M1715" s="47" t="n">
        <x:f>J1715-L1715</x:f>
        <x:v>1040</x:v>
      </x:c>
      <x:c r="N1715" s="5" t="str">
        <x:v>Takeaway</x:v>
      </x:c>
      <x:c r="O1715" s="5" t="str">
        <x:v>POS</x:v>
      </x:c>
      <x:c r="P1715" s="5" t="str">
        <x:v>Lunch</x:v>
      </x:c>
      <x:c r="Q1715" s="48" t="n">
        <x:v>13</x:v>
      </x:c>
      <x:c r="R1715" s="5" t="n">
        <x:v>5</x:v>
      </x:c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5" t="str">
        <x:v>ORD-01703</x:v>
      </x:c>
      <x:c r="B1716" s="43" t="n">
        <x:v>46254</x:v>
      </x:c>
      <x:c r="C1716" s="5" t="str">
        <x:v>CUST-0287</x:v>
      </x:c>
      <x:c r="D1716" s="5" t="str">
        <x:v>FD009</x:v>
      </x:c>
      <x:c r="E1716" s="5" t="str">
        <x:v>Moi Moi</x:v>
      </x:c>
      <x:c r="F1716" s="5" t="str">
        <x:v>Sides</x:v>
      </x:c>
      <x:c r="G1716" s="44" t="n">
        <x:v>3</x:v>
      </x:c>
      <x:c r="H1716" s="45" t="n">
        <x:v>900</x:v>
      </x:c>
      <x:c r="I1716" s="46" t="n">
        <x:v>0.05</x:v>
      </x:c>
      <x:c r="J1716" s="47" t="n">
        <x:f>G1716*H1716*(1-I1716)</x:f>
        <x:v>2565</x:v>
      </x:c>
      <x:c r="K1716" s="47" t="n">
        <x:v>380</x:v>
      </x:c>
      <x:c r="L1716" s="47" t="n">
        <x:f>G1716*K1716</x:f>
        <x:v>1140</x:v>
      </x:c>
      <x:c r="M1716" s="47" t="n">
        <x:f>J1716-L1716</x:f>
        <x:v>1425</x:v>
      </x:c>
      <x:c r="N1716" s="5" t="str">
        <x:v>Walk-in</x:v>
      </x:c>
      <x:c r="O1716" s="5" t="str">
        <x:v>POS</x:v>
      </x:c>
      <x:c r="P1716" s="5" t="str">
        <x:v>Lunch</x:v>
      </x:c>
      <x:c r="Q1716" s="48" t="n">
        <x:v>13</x:v>
      </x:c>
      <x:c r="R1716" s="5" t="n">
        <x:v>5</x:v>
      </x:c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5" t="str">
        <x:v>ORD-01741</x:v>
      </x:c>
      <x:c r="B1717" s="43" t="n">
        <x:v>46254</x:v>
      </x:c>
      <x:c r="C1717" s="5" t="str">
        <x:v>CUST-0480</x:v>
      </x:c>
      <x:c r="D1717" s="5" t="str">
        <x:v>FD006</x:v>
      </x:c>
      <x:c r="E1717" s="5" t="str">
        <x:v>Eba &amp; Egusi Soup</x:v>
      </x:c>
      <x:c r="F1717" s="5" t="str">
        <x:v>Swallow</x:v>
      </x:c>
      <x:c r="G1717" s="44" t="n">
        <x:v>4</x:v>
      </x:c>
      <x:c r="H1717" s="45" t="n">
        <x:v>2600</x:v>
      </x:c>
      <x:c r="I1717" s="46" t="n">
        <x:v>0</x:v>
      </x:c>
      <x:c r="J1717" s="47" t="n">
        <x:f>G1717*H1717*(1-I1717)</x:f>
        <x:v>10400</x:v>
      </x:c>
      <x:c r="K1717" s="47" t="n">
        <x:v>1320</x:v>
      </x:c>
      <x:c r="L1717" s="47" t="n">
        <x:f>G1717*K1717</x:f>
        <x:v>5280</x:v>
      </x:c>
      <x:c r="M1717" s="47" t="n">
        <x:f>J1717-L1717</x:f>
        <x:v>5120</x:v>
      </x:c>
      <x:c r="N1717" s="5" t="str">
        <x:v>Takeaway</x:v>
      </x:c>
      <x:c r="O1717" s="5" t="str">
        <x:v>POS</x:v>
      </x:c>
      <x:c r="P1717" s="5" t="str">
        <x:v>Lunch</x:v>
      </x:c>
      <x:c r="Q1717" s="48" t="n">
        <x:v>13</x:v>
      </x:c>
      <x:c r="R1717" s="5" t="n">
        <x:v>3</x:v>
      </x:c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5" t="str">
        <x:v>ORD-00049</x:v>
      </x:c>
      <x:c r="B1718" s="43" t="n">
        <x:v>46255</x:v>
      </x:c>
      <x:c r="C1718" s="5" t="str">
        <x:v>CUST-0064</x:v>
      </x:c>
      <x:c r="D1718" s="5" t="str">
        <x:v>FD012</x:v>
      </x:c>
      <x:c r="E1718" s="5" t="str">
        <x:v>Fried Plantain</x:v>
      </x:c>
      <x:c r="F1718" s="5" t="str">
        <x:v>Sides</x:v>
      </x:c>
      <x:c r="G1718" s="44" t="n">
        <x:v>4</x:v>
      </x:c>
      <x:c r="H1718" s="45" t="n">
        <x:v>700</x:v>
      </x:c>
      <x:c r="I1718" s="46" t="n">
        <x:v>0</x:v>
      </x:c>
      <x:c r="J1718" s="47" t="n">
        <x:f>G1718*H1718*(1-I1718)</x:f>
        <x:v>2800</x:v>
      </x:c>
      <x:c r="K1718" s="47" t="n">
        <x:v>300</x:v>
      </x:c>
      <x:c r="L1718" s="47" t="n">
        <x:f>G1718*K1718</x:f>
        <x:v>1200</x:v>
      </x:c>
      <x:c r="M1718" s="47" t="n">
        <x:f>J1718-L1718</x:f>
        <x:v>1600</x:v>
      </x:c>
      <x:c r="N1718" s="5" t="str">
        <x:v>Takeaway</x:v>
      </x:c>
      <x:c r="O1718" s="5" t="str">
        <x:v>POS</x:v>
      </x:c>
      <x:c r="P1718" s="5" t="str">
        <x:v>Lunch</x:v>
      </x:c>
      <x:c r="Q1718" s="48" t="n">
        <x:v>12</x:v>
      </x:c>
      <x:c r="R1718" s="5" t="n">
        <x:v>4</x:v>
      </x:c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5" t="str">
        <x:v>ORD-00096</x:v>
      </x:c>
      <x:c r="B1719" s="43" t="n">
        <x:v>46255</x:v>
      </x:c>
      <x:c r="C1719" s="5" t="str">
        <x:v>CUST-0103</x:v>
      </x:c>
      <x:c r="D1719" s="5" t="str">
        <x:v>FD002</x:v>
      </x:c>
      <x:c r="E1719" s="5" t="str">
        <x:v>Jollof Rice &amp; Chicken</x:v>
      </x:c>
      <x:c r="F1719" s="5" t="str">
        <x:v>Rice Meals</x:v>
      </x:c>
      <x:c r="G1719" s="44" t="n">
        <x:v>2</x:v>
      </x:c>
      <x:c r="H1719" s="45" t="n">
        <x:v>2800</x:v>
      </x:c>
      <x:c r="I1719" s="46" t="n">
        <x:v>0</x:v>
      </x:c>
      <x:c r="J1719" s="47" t="n">
        <x:f>G1719*H1719*(1-I1719)</x:f>
        <x:v>5600</x:v>
      </x:c>
      <x:c r="K1719" s="47" t="n">
        <x:v>1450</x:v>
      </x:c>
      <x:c r="L1719" s="47" t="n">
        <x:f>G1719*K1719</x:f>
        <x:v>2900</x:v>
      </x:c>
      <x:c r="M1719" s="47" t="n">
        <x:f>J1719-L1719</x:f>
        <x:v>2700</x:v>
      </x:c>
      <x:c r="N1719" s="5" t="str">
        <x:v>Delivery</x:v>
      </x:c>
      <x:c r="O1719" s="5" t="str">
        <x:v>Transfer</x:v>
      </x:c>
      <x:c r="P1719" s="5" t="str">
        <x:v>Lunch</x:v>
      </x:c>
      <x:c r="Q1719" s="48" t="n">
        <x:v>13</x:v>
      </x:c>
      <x:c r="R1719" s="5" t="n">
        <x:v>5</x:v>
      </x:c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5" t="str">
        <x:v>ORD-00154</x:v>
      </x:c>
      <x:c r="B1720" s="43" t="n">
        <x:v>46255</x:v>
      </x:c>
      <x:c r="C1720" s="5" t="str">
        <x:v>CUST-0194</x:v>
      </x:c>
      <x:c r="D1720" s="5" t="str">
        <x:v>FD011</x:v>
      </x:c>
      <x:c r="E1720" s="5" t="str">
        <x:v>Bottled Water</x:v>
      </x:c>
      <x:c r="F1720" s="5" t="str">
        <x:v>Beverages</x:v>
      </x:c>
      <x:c r="G1720" s="44" t="n">
        <x:v>2</x:v>
      </x:c>
      <x:c r="H1720" s="45" t="n">
        <x:v>300</x:v>
      </x:c>
      <x:c r="I1720" s="46" t="n">
        <x:v>0</x:v>
      </x:c>
      <x:c r="J1720" s="47" t="n">
        <x:f>G1720*H1720*(1-I1720)</x:f>
        <x:v>600</x:v>
      </x:c>
      <x:c r="K1720" s="47" t="n">
        <x:v>120</x:v>
      </x:c>
      <x:c r="L1720" s="47" t="n">
        <x:f>G1720*K1720</x:f>
        <x:v>240</x:v>
      </x:c>
      <x:c r="M1720" s="47" t="n">
        <x:f>J1720-L1720</x:f>
        <x:v>360</x:v>
      </x:c>
      <x:c r="N1720" s="5" t="str">
        <x:v>Walk-in</x:v>
      </x:c>
      <x:c r="O1720" s="5" t="str">
        <x:v>Transfer</x:v>
      </x:c>
      <x:c r="P1720" s="5" t="str">
        <x:v>Dinner</x:v>
      </x:c>
      <x:c r="Q1720" s="48" t="n">
        <x:v>16</x:v>
      </x:c>
      <x:c r="R1720" s="5" t="n">
        <x:v>3</x:v>
      </x:c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5" t="str">
        <x:v>ORD-00438</x:v>
      </x:c>
      <x:c r="B1721" s="43" t="n">
        <x:v>46255</x:v>
      </x:c>
      <x:c r="C1721" s="5" t="str">
        <x:v>CUST-0203</x:v>
      </x:c>
      <x:c r="D1721" s="5" t="str">
        <x:v>FD005</x:v>
      </x:c>
      <x:c r="E1721" s="5" t="str">
        <x:v>Yam Porridge</x:v>
      </x:c>
      <x:c r="F1721" s="5" t="str">
        <x:v>Traditional Meals</x:v>
      </x:c>
      <x:c r="G1721" s="44" t="n">
        <x:v>3</x:v>
      </x:c>
      <x:c r="H1721" s="45" t="n">
        <x:v>2200</x:v>
      </x:c>
      <x:c r="I1721" s="46" t="n">
        <x:v>0</x:v>
      </x:c>
      <x:c r="J1721" s="47" t="n">
        <x:f>G1721*H1721*(1-I1721)</x:f>
        <x:v>6600</x:v>
      </x:c>
      <x:c r="K1721" s="47" t="n">
        <x:v>1050</x:v>
      </x:c>
      <x:c r="L1721" s="47" t="n">
        <x:f>G1721*K1721</x:f>
        <x:v>3150</x:v>
      </x:c>
      <x:c r="M1721" s="47" t="n">
        <x:f>J1721-L1721</x:f>
        <x:v>3450</x:v>
      </x:c>
      <x:c r="N1721" s="5" t="str">
        <x:v>Walk-in</x:v>
      </x:c>
      <x:c r="O1721" s="5" t="str">
        <x:v>POS</x:v>
      </x:c>
      <x:c r="P1721" s="5" t="str">
        <x:v>Lunch</x:v>
      </x:c>
      <x:c r="Q1721" s="48" t="n">
        <x:v>13</x:v>
      </x:c>
      <x:c r="R1721" s="5" t="n">
        <x:v>5</x:v>
      </x:c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5" t="str">
        <x:v>ORD-01277</x:v>
      </x:c>
      <x:c r="B1722" s="43" t="n">
        <x:v>46255</x:v>
      </x:c>
      <x:c r="C1722" s="5" t="str">
        <x:v>CUST-0093</x:v>
      </x:c>
      <x:c r="D1722" s="5" t="str">
        <x:v>FD004</x:v>
      </x:c>
      <x:c r="E1722" s="5" t="str">
        <x:v>Beans &amp; Plantain</x:v>
      </x:c>
      <x:c r="F1722" s="5" t="str">
        <x:v>Traditional Meals</x:v>
      </x:c>
      <x:c r="G1722" s="44" t="n">
        <x:v>1</x:v>
      </x:c>
      <x:c r="H1722" s="45" t="n">
        <x:v>2000</x:v>
      </x:c>
      <x:c r="I1722" s="46" t="n">
        <x:v>0</x:v>
      </x:c>
      <x:c r="J1722" s="47" t="n">
        <x:f>G1722*H1722*(1-I1722)</x:f>
        <x:v>2000</x:v>
      </x:c>
      <x:c r="K1722" s="47" t="n">
        <x:v>960</x:v>
      </x:c>
      <x:c r="L1722" s="47" t="n">
        <x:f>G1722*K1722</x:f>
        <x:v>960</x:v>
      </x:c>
      <x:c r="M1722" s="47" t="n">
        <x:f>J1722-L1722</x:f>
        <x:v>1040</x:v>
      </x:c>
      <x:c r="N1722" s="5" t="str">
        <x:v>Walk-in</x:v>
      </x:c>
      <x:c r="O1722" s="5" t="str">
        <x:v>Transfer</x:v>
      </x:c>
      <x:c r="P1722" s="5" t="str">
        <x:v>Dinner</x:v>
      </x:c>
      <x:c r="Q1722" s="48" t="n">
        <x:v>18</x:v>
      </x:c>
      <x:c r="R1722" s="5" t="n">
        <x:v>4</x:v>
      </x:c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5" t="str">
        <x:v>ORD-01353</x:v>
      </x:c>
      <x:c r="B1723" s="43" t="n">
        <x:v>46255</x:v>
      </x:c>
      <x:c r="C1723" s="5" t="str">
        <x:v>CUST-0415</x:v>
      </x:c>
      <x:c r="D1723" s="5" t="str">
        <x:v>FD007</x:v>
      </x:c>
      <x:c r="E1723" s="5" t="str">
        <x:v>Amala &amp; Ewedu</x:v>
      </x:c>
      <x:c r="F1723" s="5" t="str">
        <x:v>Swallow</x:v>
      </x:c>
      <x:c r="G1723" s="44" t="n">
        <x:v>1</x:v>
      </x:c>
      <x:c r="H1723" s="45" t="n">
        <x:v>2500</x:v>
      </x:c>
      <x:c r="I1723" s="46" t="n">
        <x:v>0</x:v>
      </x:c>
      <x:c r="J1723" s="47" t="n">
        <x:f>G1723*H1723*(1-I1723)</x:f>
        <x:v>2500</x:v>
      </x:c>
      <x:c r="K1723" s="47" t="n">
        <x:v>1250</x:v>
      </x:c>
      <x:c r="L1723" s="47" t="n">
        <x:f>G1723*K1723</x:f>
        <x:v>1250</x:v>
      </x:c>
      <x:c r="M1723" s="47" t="n">
        <x:f>J1723-L1723</x:f>
        <x:v>1250</x:v>
      </x:c>
      <x:c r="N1723" s="5" t="str">
        <x:v>Takeaway</x:v>
      </x:c>
      <x:c r="O1723" s="5" t="str">
        <x:v>Cash</x:v>
      </x:c>
      <x:c r="P1723" s="5" t="str">
        <x:v>Lunch</x:v>
      </x:c>
      <x:c r="Q1723" s="48" t="n">
        <x:v>14</x:v>
      </x:c>
      <x:c r="R1723" s="5" t="n">
        <x:v>4</x:v>
      </x:c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5" t="str">
        <x:v>ORD-01772</x:v>
      </x:c>
      <x:c r="B1724" s="43" t="n">
        <x:v>46255</x:v>
      </x:c>
      <x:c r="C1724" s="5" t="str">
        <x:v>CUST-0421</x:v>
      </x:c>
      <x:c r="D1724" s="5" t="str">
        <x:v>FD012</x:v>
      </x:c>
      <x:c r="E1724" s="5" t="str">
        <x:v>Fried Plantain</x:v>
      </x:c>
      <x:c r="F1724" s="5" t="str">
        <x:v>Sides</x:v>
      </x:c>
      <x:c r="G1724" s="44" t="n">
        <x:v>1</x:v>
      </x:c>
      <x:c r="H1724" s="45" t="n">
        <x:v>700</x:v>
      </x:c>
      <x:c r="I1724" s="46" t="n">
        <x:v>0</x:v>
      </x:c>
      <x:c r="J1724" s="47" t="n">
        <x:f>G1724*H1724*(1-I1724)</x:f>
        <x:v>700</x:v>
      </x:c>
      <x:c r="K1724" s="47" t="n">
        <x:v>300</x:v>
      </x:c>
      <x:c r="L1724" s="47" t="n">
        <x:f>G1724*K1724</x:f>
        <x:v>300</x:v>
      </x:c>
      <x:c r="M1724" s="47" t="n">
        <x:f>J1724-L1724</x:f>
        <x:v>400</x:v>
      </x:c>
      <x:c r="N1724" s="5" t="str">
        <x:v>Walk-in</x:v>
      </x:c>
      <x:c r="O1724" s="5" t="str">
        <x:v>Transfer</x:v>
      </x:c>
      <x:c r="P1724" s="5" t="str">
        <x:v>Breakfast</x:v>
      </x:c>
      <x:c r="Q1724" s="48" t="n">
        <x:v>8</x:v>
      </x:c>
      <x:c r="R1724" s="5" t="n">
        <x:v>4</x:v>
      </x:c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5" t="str">
        <x:v>ORD-00292</x:v>
      </x:c>
      <x:c r="B1725" s="43" t="n">
        <x:v>46256</x:v>
      </x:c>
      <x:c r="C1725" s="5" t="str">
        <x:v>CUST-0543</x:v>
      </x:c>
      <x:c r="D1725" s="5" t="str">
        <x:v>FD008</x:v>
      </x:c>
      <x:c r="E1725" s="5" t="str">
        <x:v>Pounded Yam &amp; Vegetable Soup</x:v>
      </x:c>
      <x:c r="F1725" s="5" t="str">
        <x:v>Swallow</x:v>
      </x:c>
      <x:c r="G1725" s="44" t="n">
        <x:v>4</x:v>
      </x:c>
      <x:c r="H1725" s="45" t="n">
        <x:v>3200</x:v>
      </x:c>
      <x:c r="I1725" s="46" t="n">
        <x:v>0</x:v>
      </x:c>
      <x:c r="J1725" s="47" t="n">
        <x:f>G1725*H1725*(1-I1725)</x:f>
        <x:v>12800</x:v>
      </x:c>
      <x:c r="K1725" s="47" t="n">
        <x:v>1710</x:v>
      </x:c>
      <x:c r="L1725" s="47" t="n">
        <x:f>G1725*K1725</x:f>
        <x:v>6840</x:v>
      </x:c>
      <x:c r="M1725" s="47" t="n">
        <x:f>J1725-L1725</x:f>
        <x:v>5960</x:v>
      </x:c>
      <x:c r="N1725" s="5" t="str">
        <x:v>Walk-in</x:v>
      </x:c>
      <x:c r="O1725" s="5" t="str">
        <x:v>POS</x:v>
      </x:c>
      <x:c r="P1725" s="5" t="str">
        <x:v>Breakfast</x:v>
      </x:c>
      <x:c r="Q1725" s="48" t="n">
        <x:v>9</x:v>
      </x:c>
      <x:c r="R1725" s="5" t="n">
        <x:v>4</x:v>
      </x:c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5" t="str">
        <x:v>ORD-00708</x:v>
      </x:c>
      <x:c r="B1726" s="43" t="n">
        <x:v>46256</x:v>
      </x:c>
      <x:c r="C1726" s="5" t="str">
        <x:v>CUST-0104</x:v>
      </x:c>
      <x:c r="D1726" s="5" t="str">
        <x:v>FD008</x:v>
      </x:c>
      <x:c r="E1726" s="5" t="str">
        <x:v>Pounded Yam &amp; Vegetable Soup</x:v>
      </x:c>
      <x:c r="F1726" s="5" t="str">
        <x:v>Swallow</x:v>
      </x:c>
      <x:c r="G1726" s="44" t="n">
        <x:v>3</x:v>
      </x:c>
      <x:c r="H1726" s="45" t="n">
        <x:v>3200</x:v>
      </x:c>
      <x:c r="I1726" s="46" t="n">
        <x:v>0</x:v>
      </x:c>
      <x:c r="J1726" s="47" t="n">
        <x:f>G1726*H1726*(1-I1726)</x:f>
        <x:v>9600</x:v>
      </x:c>
      <x:c r="K1726" s="47" t="n">
        <x:v>1710</x:v>
      </x:c>
      <x:c r="L1726" s="47" t="n">
        <x:f>G1726*K1726</x:f>
        <x:v>5130</x:v>
      </x:c>
      <x:c r="M1726" s="47" t="n">
        <x:f>J1726-L1726</x:f>
        <x:v>4470</x:v>
      </x:c>
      <x:c r="N1726" s="5" t="str">
        <x:v>Takeaway</x:v>
      </x:c>
      <x:c r="O1726" s="5" t="str">
        <x:v>POS</x:v>
      </x:c>
      <x:c r="P1726" s="5" t="str">
        <x:v>Dinner</x:v>
      </x:c>
      <x:c r="Q1726" s="48" t="n">
        <x:v>18</x:v>
      </x:c>
      <x:c r="R1726" s="5" t="n">
        <x:v>4</x:v>
      </x:c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5" t="str">
        <x:v>ORD-00869</x:v>
      </x:c>
      <x:c r="B1727" s="43" t="n">
        <x:v>46256</x:v>
      </x:c>
      <x:c r="C1727" s="5" t="str">
        <x:v>CUST-0235</x:v>
      </x:c>
      <x:c r="D1727" s="5" t="str">
        <x:v>FD002</x:v>
      </x:c>
      <x:c r="E1727" s="5" t="str">
        <x:v>Jollof Rice &amp; Chicken</x:v>
      </x:c>
      <x:c r="F1727" s="5" t="str">
        <x:v>Rice Meals</x:v>
      </x:c>
      <x:c r="G1727" s="44" t="n">
        <x:v>3</x:v>
      </x:c>
      <x:c r="H1727" s="45" t="n">
        <x:v>2800</x:v>
      </x:c>
      <x:c r="I1727" s="46" t="n">
        <x:v>0</x:v>
      </x:c>
      <x:c r="J1727" s="47" t="n">
        <x:f>G1727*H1727*(1-I1727)</x:f>
        <x:v>8400</x:v>
      </x:c>
      <x:c r="K1727" s="47" t="n">
        <x:v>1450</x:v>
      </x:c>
      <x:c r="L1727" s="47" t="n">
        <x:f>G1727*K1727</x:f>
        <x:v>4350</x:v>
      </x:c>
      <x:c r="M1727" s="47" t="n">
        <x:f>J1727-L1727</x:f>
        <x:v>4050</x:v>
      </x:c>
      <x:c r="N1727" s="5" t="str">
        <x:v>Walk-in</x:v>
      </x:c>
      <x:c r="O1727" s="5" t="str">
        <x:v>POS</x:v>
      </x:c>
      <x:c r="P1727" s="5" t="str">
        <x:v>Lunch</x:v>
      </x:c>
      <x:c r="Q1727" s="48" t="n">
        <x:v>15</x:v>
      </x:c>
      <x:c r="R1727" s="5" t="n">
        <x:v>3</x:v>
      </x:c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5" t="str">
        <x:v>ORD-01523</x:v>
      </x:c>
      <x:c r="B1728" s="43" t="n">
        <x:v>46256</x:v>
      </x:c>
      <x:c r="C1728" s="5" t="str">
        <x:v>CUST-0293</x:v>
      </x:c>
      <x:c r="D1728" s="5" t="str">
        <x:v>FD009</x:v>
      </x:c>
      <x:c r="E1728" s="5" t="str">
        <x:v>Moi Moi</x:v>
      </x:c>
      <x:c r="F1728" s="5" t="str">
        <x:v>Sides</x:v>
      </x:c>
      <x:c r="G1728" s="44" t="n">
        <x:v>1</x:v>
      </x:c>
      <x:c r="H1728" s="45" t="n">
        <x:v>900</x:v>
      </x:c>
      <x:c r="I1728" s="46" t="n">
        <x:v>0</x:v>
      </x:c>
      <x:c r="J1728" s="47" t="n">
        <x:f>G1728*H1728*(1-I1728)</x:f>
        <x:v>900</x:v>
      </x:c>
      <x:c r="K1728" s="47" t="n">
        <x:v>380</x:v>
      </x:c>
      <x:c r="L1728" s="47" t="n">
        <x:f>G1728*K1728</x:f>
        <x:v>380</x:v>
      </x:c>
      <x:c r="M1728" s="47" t="n">
        <x:f>J1728-L1728</x:f>
        <x:v>520</x:v>
      </x:c>
      <x:c r="N1728" s="5" t="str">
        <x:v>Walk-in</x:v>
      </x:c>
      <x:c r="O1728" s="5" t="str">
        <x:v>POS</x:v>
      </x:c>
      <x:c r="P1728" s="5" t="str">
        <x:v>Lunch</x:v>
      </x:c>
      <x:c r="Q1728" s="48" t="n">
        <x:v>12</x:v>
      </x:c>
      <x:c r="R1728" s="5" t="n">
        <x:v>5</x:v>
      </x:c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5" t="str">
        <x:v>ORD-01686</x:v>
      </x:c>
      <x:c r="B1729" s="43" t="n">
        <x:v>46256</x:v>
      </x:c>
      <x:c r="C1729" s="5" t="str">
        <x:v>CUST-0508</x:v>
      </x:c>
      <x:c r="D1729" s="5" t="str">
        <x:v>FD010</x:v>
      </x:c>
      <x:c r="E1729" s="5" t="str">
        <x:v>Soft Drink</x:v>
      </x:c>
      <x:c r="F1729" s="5" t="str">
        <x:v>Beverages</x:v>
      </x:c>
      <x:c r="G1729" s="44" t="n">
        <x:v>3</x:v>
      </x:c>
      <x:c r="H1729" s="45" t="n">
        <x:v>600</x:v>
      </x:c>
      <x:c r="I1729" s="46" t="n">
        <x:v>0.05</x:v>
      </x:c>
      <x:c r="J1729" s="47" t="n">
        <x:f>G1729*H1729*(1-I1729)</x:f>
        <x:v>1710</x:v>
      </x:c>
      <x:c r="K1729" s="47" t="n">
        <x:v>280</x:v>
      </x:c>
      <x:c r="L1729" s="47" t="n">
        <x:f>G1729*K1729</x:f>
        <x:v>840</x:v>
      </x:c>
      <x:c r="M1729" s="47" t="n">
        <x:f>J1729-L1729</x:f>
        <x:v>870</x:v>
      </x:c>
      <x:c r="N1729" s="5" t="str">
        <x:v>Takeaway</x:v>
      </x:c>
      <x:c r="O1729" s="5" t="str">
        <x:v>POS</x:v>
      </x:c>
      <x:c r="P1729" s="5" t="str">
        <x:v>Dinner</x:v>
      </x:c>
      <x:c r="Q1729" s="48" t="n">
        <x:v>18</x:v>
      </x:c>
      <x:c r="R1729" s="5" t="n">
        <x:v>5</x:v>
      </x:c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5" t="str">
        <x:v>ORD-00009</x:v>
      </x:c>
      <x:c r="B1730" s="43" t="n">
        <x:v>46257</x:v>
      </x:c>
      <x:c r="C1730" s="5" t="str">
        <x:v>CUST-0191</x:v>
      </x:c>
      <x:c r="D1730" s="5" t="str">
        <x:v>FD001</x:v>
      </x:c>
      <x:c r="E1730" s="5" t="str">
        <x:v>White Rice &amp; Stew</x:v>
      </x:c>
      <x:c r="F1730" s="5" t="str">
        <x:v>Rice Meals</x:v>
      </x:c>
      <x:c r="G1730" s="44" t="n">
        <x:v>2</x:v>
      </x:c>
      <x:c r="H1730" s="45" t="n">
        <x:v>1800</x:v>
      </x:c>
      <x:c r="I1730" s="46" t="n">
        <x:v>0</x:v>
      </x:c>
      <x:c r="J1730" s="47" t="n">
        <x:f>G1730*H1730*(1-I1730)</x:f>
        <x:v>3600</x:v>
      </x:c>
      <x:c r="K1730" s="47" t="n">
        <x:v>820</x:v>
      </x:c>
      <x:c r="L1730" s="47" t="n">
        <x:f>G1730*K1730</x:f>
        <x:v>1640</x:v>
      </x:c>
      <x:c r="M1730" s="47" t="n">
        <x:f>J1730-L1730</x:f>
        <x:v>1960</x:v>
      </x:c>
      <x:c r="N1730" s="5" t="str">
        <x:v>Takeaway</x:v>
      </x:c>
      <x:c r="O1730" s="5" t="str">
        <x:v>Transfer</x:v>
      </x:c>
      <x:c r="P1730" s="5" t="str">
        <x:v>Lunch</x:v>
      </x:c>
      <x:c r="Q1730" s="48" t="n">
        <x:v>11</x:v>
      </x:c>
      <x:c r="R1730" s="5" t="n">
        <x:v>5</x:v>
      </x:c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5" t="str">
        <x:v>ORD-00124</x:v>
      </x:c>
      <x:c r="B1731" s="43" t="n">
        <x:v>46257</x:v>
      </x:c>
      <x:c r="C1731" s="5" t="str">
        <x:v>CUST-0258</x:v>
      </x:c>
      <x:c r="D1731" s="5" t="str">
        <x:v>FD003</x:v>
      </x:c>
      <x:c r="E1731" s="5" t="str">
        <x:v>Fried Rice &amp; Chicken</x:v>
      </x:c>
      <x:c r="F1731" s="5" t="str">
        <x:v>Rice Meals</x:v>
      </x:c>
      <x:c r="G1731" s="44" t="n">
        <x:v>4</x:v>
      </x:c>
      <x:c r="H1731" s="45" t="n">
        <x:v>3000</x:v>
      </x:c>
      <x:c r="I1731" s="46" t="n">
        <x:v>0</x:v>
      </x:c>
      <x:c r="J1731" s="47" t="n">
        <x:f>G1731*H1731*(1-I1731)</x:f>
        <x:v>12000</x:v>
      </x:c>
      <x:c r="K1731" s="47" t="n">
        <x:v>1580</x:v>
      </x:c>
      <x:c r="L1731" s="47" t="n">
        <x:f>G1731*K1731</x:f>
        <x:v>6320</x:v>
      </x:c>
      <x:c r="M1731" s="47" t="n">
        <x:f>J1731-L1731</x:f>
        <x:v>5680</x:v>
      </x:c>
      <x:c r="N1731" s="5" t="str">
        <x:v>Takeaway</x:v>
      </x:c>
      <x:c r="O1731" s="5" t="str">
        <x:v>Cash</x:v>
      </x:c>
      <x:c r="P1731" s="5" t="str">
        <x:v>Dinner</x:v>
      </x:c>
      <x:c r="Q1731" s="48" t="n">
        <x:v>20</x:v>
      </x:c>
      <x:c r="R1731" s="5" t="n">
        <x:v>4</x:v>
      </x:c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5" t="str">
        <x:v>ORD-00169</x:v>
      </x:c>
      <x:c r="B1732" s="43" t="n">
        <x:v>46257</x:v>
      </x:c>
      <x:c r="C1732" s="5" t="str">
        <x:v>CUST-0412</x:v>
      </x:c>
      <x:c r="D1732" s="5" t="str">
        <x:v>FD003</x:v>
      </x:c>
      <x:c r="E1732" s="5" t="str">
        <x:v>Fried Rice &amp; Chicken</x:v>
      </x:c>
      <x:c r="F1732" s="5" t="str">
        <x:v>Rice Meals</x:v>
      </x:c>
      <x:c r="G1732" s="44" t="n">
        <x:v>3</x:v>
      </x:c>
      <x:c r="H1732" s="45" t="n">
        <x:v>3000</x:v>
      </x:c>
      <x:c r="I1732" s="46" t="n">
        <x:v>0</x:v>
      </x:c>
      <x:c r="J1732" s="47" t="n">
        <x:f>G1732*H1732*(1-I1732)</x:f>
        <x:v>9000</x:v>
      </x:c>
      <x:c r="K1732" s="47" t="n">
        <x:v>1580</x:v>
      </x:c>
      <x:c r="L1732" s="47" t="n">
        <x:f>G1732*K1732</x:f>
        <x:v>4740</x:v>
      </x:c>
      <x:c r="M1732" s="47" t="n">
        <x:f>J1732-L1732</x:f>
        <x:v>4260</x:v>
      </x:c>
      <x:c r="N1732" s="5" t="str">
        <x:v>Delivery</x:v>
      </x:c>
      <x:c r="O1732" s="5" t="str">
        <x:v>Cash</x:v>
      </x:c>
      <x:c r="P1732" s="5" t="str">
        <x:v>Lunch</x:v>
      </x:c>
      <x:c r="Q1732" s="48" t="n">
        <x:v>13</x:v>
      </x:c>
      <x:c r="R1732" s="5" t="n">
        <x:v>5</x:v>
      </x:c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5" t="str">
        <x:v>ORD-00994</x:v>
      </x:c>
      <x:c r="B1733" s="43" t="n">
        <x:v>46257</x:v>
      </x:c>
      <x:c r="C1733" s="5" t="str">
        <x:v>CUST-0449</x:v>
      </x:c>
      <x:c r="D1733" s="5" t="str">
        <x:v>FD005</x:v>
      </x:c>
      <x:c r="E1733" s="5" t="str">
        <x:v>Yam Porridge</x:v>
      </x:c>
      <x:c r="F1733" s="5" t="str">
        <x:v>Traditional Meals</x:v>
      </x:c>
      <x:c r="G1733" s="44" t="n">
        <x:v>4</x:v>
      </x:c>
      <x:c r="H1733" s="45" t="n">
        <x:v>2200</x:v>
      </x:c>
      <x:c r="I1733" s="46" t="n">
        <x:v>0</x:v>
      </x:c>
      <x:c r="J1733" s="47" t="n">
        <x:f>G1733*H1733*(1-I1733)</x:f>
        <x:v>8800</x:v>
      </x:c>
      <x:c r="K1733" s="47" t="n">
        <x:v>1050</x:v>
      </x:c>
      <x:c r="L1733" s="47" t="n">
        <x:f>G1733*K1733</x:f>
        <x:v>4200</x:v>
      </x:c>
      <x:c r="M1733" s="47" t="n">
        <x:f>J1733-L1733</x:f>
        <x:v>4600</x:v>
      </x:c>
      <x:c r="N1733" s="5" t="str">
        <x:v>Walk-in</x:v>
      </x:c>
      <x:c r="O1733" s="5" t="str">
        <x:v>Transfer</x:v>
      </x:c>
      <x:c r="P1733" s="5" t="str">
        <x:v>Dinner</x:v>
      </x:c>
      <x:c r="Q1733" s="48" t="n">
        <x:v>20</x:v>
      </x:c>
      <x:c r="R1733" s="5" t="n">
        <x:v>4</x:v>
      </x:c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5" t="str">
        <x:v>ORD-01300</x:v>
      </x:c>
      <x:c r="B1734" s="43" t="n">
        <x:v>46257</x:v>
      </x:c>
      <x:c r="C1734" s="5" t="str">
        <x:v>CUST-0317</x:v>
      </x:c>
      <x:c r="D1734" s="5" t="str">
        <x:v>FD003</x:v>
      </x:c>
      <x:c r="E1734" s="5" t="str">
        <x:v>Fried Rice &amp; Chicken</x:v>
      </x:c>
      <x:c r="F1734" s="5" t="str">
        <x:v>Rice Meals</x:v>
      </x:c>
      <x:c r="G1734" s="44" t="n">
        <x:v>2</x:v>
      </x:c>
      <x:c r="H1734" s="45" t="n">
        <x:v>3000</x:v>
      </x:c>
      <x:c r="I1734" s="46" t="n">
        <x:v>0</x:v>
      </x:c>
      <x:c r="J1734" s="47" t="n">
        <x:f>G1734*H1734*(1-I1734)</x:f>
        <x:v>6000</x:v>
      </x:c>
      <x:c r="K1734" s="47" t="n">
        <x:v>1580</x:v>
      </x:c>
      <x:c r="L1734" s="47" t="n">
        <x:f>G1734*K1734</x:f>
        <x:v>3160</x:v>
      </x:c>
      <x:c r="M1734" s="47" t="n">
        <x:f>J1734-L1734</x:f>
        <x:v>2840</x:v>
      </x:c>
      <x:c r="N1734" s="5" t="str">
        <x:v>Walk-in</x:v>
      </x:c>
      <x:c r="O1734" s="5" t="str">
        <x:v>Cash</x:v>
      </x:c>
      <x:c r="P1734" s="5" t="str">
        <x:v>Dinner</x:v>
      </x:c>
      <x:c r="Q1734" s="48" t="n">
        <x:v>17</x:v>
      </x:c>
      <x:c r="R1734" s="5" t="n">
        <x:v>4</x:v>
      </x:c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5" t="str">
        <x:v>ORD-01783</x:v>
      </x:c>
      <x:c r="B1735" s="43" t="n">
        <x:v>46257</x:v>
      </x:c>
      <x:c r="C1735" s="5" t="str">
        <x:v>CUST-0320</x:v>
      </x:c>
      <x:c r="D1735" s="5" t="str">
        <x:v>FD002</x:v>
      </x:c>
      <x:c r="E1735" s="5" t="str">
        <x:v>Jollof Rice &amp; Chicken</x:v>
      </x:c>
      <x:c r="F1735" s="5" t="str">
        <x:v>Rice Meals</x:v>
      </x:c>
      <x:c r="G1735" s="44" t="n">
        <x:v>1</x:v>
      </x:c>
      <x:c r="H1735" s="45" t="n">
        <x:v>2800</x:v>
      </x:c>
      <x:c r="I1735" s="46" t="n">
        <x:v>0</x:v>
      </x:c>
      <x:c r="J1735" s="47" t="n">
        <x:f>G1735*H1735*(1-I1735)</x:f>
        <x:v>2800</x:v>
      </x:c>
      <x:c r="K1735" s="47" t="n">
        <x:v>1450</x:v>
      </x:c>
      <x:c r="L1735" s="47" t="n">
        <x:f>G1735*K1735</x:f>
        <x:v>1450</x:v>
      </x:c>
      <x:c r="M1735" s="47" t="n">
        <x:f>J1735-L1735</x:f>
        <x:v>1350</x:v>
      </x:c>
      <x:c r="N1735" s="5" t="str">
        <x:v>Delivery</x:v>
      </x:c>
      <x:c r="O1735" s="5" t="str">
        <x:v>POS</x:v>
      </x:c>
      <x:c r="P1735" s="5" t="str">
        <x:v>Dinner</x:v>
      </x:c>
      <x:c r="Q1735" s="48" t="n">
        <x:v>17</x:v>
      </x:c>
      <x:c r="R1735" s="5" t="n">
        <x:v>4</x:v>
      </x:c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5" t="str">
        <x:v>ORD-00172</x:v>
      </x:c>
      <x:c r="B1736" s="43" t="n">
        <x:v>46258</x:v>
      </x:c>
      <x:c r="C1736" s="5" t="str">
        <x:v>CUST-0225</x:v>
      </x:c>
      <x:c r="D1736" s="5" t="str">
        <x:v>FD001</x:v>
      </x:c>
      <x:c r="E1736" s="5" t="str">
        <x:v>White Rice &amp; Stew</x:v>
      </x:c>
      <x:c r="F1736" s="5" t="str">
        <x:v>Rice Meals</x:v>
      </x:c>
      <x:c r="G1736" s="44" t="n">
        <x:v>4</x:v>
      </x:c>
      <x:c r="H1736" s="45" t="n">
        <x:v>1800</x:v>
      </x:c>
      <x:c r="I1736" s="46" t="n">
        <x:v>0</x:v>
      </x:c>
      <x:c r="J1736" s="47" t="n">
        <x:f>G1736*H1736*(1-I1736)</x:f>
        <x:v>7200</x:v>
      </x:c>
      <x:c r="K1736" s="47" t="n">
        <x:v>820</x:v>
      </x:c>
      <x:c r="L1736" s="47" t="n">
        <x:f>G1736*K1736</x:f>
        <x:v>3280</x:v>
      </x:c>
      <x:c r="M1736" s="47" t="n">
        <x:f>J1736-L1736</x:f>
        <x:v>3920</x:v>
      </x:c>
      <x:c r="N1736" s="5" t="str">
        <x:v>Walk-in</x:v>
      </x:c>
      <x:c r="O1736" s="5" t="str">
        <x:v>Transfer</x:v>
      </x:c>
      <x:c r="P1736" s="5" t="str">
        <x:v>Dinner</x:v>
      </x:c>
      <x:c r="Q1736" s="48" t="n">
        <x:v>20</x:v>
      </x:c>
      <x:c r="R1736" s="5" t="n">
        <x:v>4</x:v>
      </x:c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5" t="str">
        <x:v>ORD-00297</x:v>
      </x:c>
      <x:c r="B1737" s="43" t="n">
        <x:v>46258</x:v>
      </x:c>
      <x:c r="C1737" s="5" t="str">
        <x:v>CUST-0342</x:v>
      </x:c>
      <x:c r="D1737" s="5" t="str">
        <x:v>FD009</x:v>
      </x:c>
      <x:c r="E1737" s="5" t="str">
        <x:v>Moi Moi</x:v>
      </x:c>
      <x:c r="F1737" s="5" t="str">
        <x:v>Sides</x:v>
      </x:c>
      <x:c r="G1737" s="44" t="n">
        <x:v>1</x:v>
      </x:c>
      <x:c r="H1737" s="45" t="n">
        <x:v>900</x:v>
      </x:c>
      <x:c r="I1737" s="46" t="n">
        <x:v>0</x:v>
      </x:c>
      <x:c r="J1737" s="47" t="n">
        <x:f>G1737*H1737*(1-I1737)</x:f>
        <x:v>900</x:v>
      </x:c>
      <x:c r="K1737" s="47" t="n">
        <x:v>380</x:v>
      </x:c>
      <x:c r="L1737" s="47" t="n">
        <x:f>G1737*K1737</x:f>
        <x:v>380</x:v>
      </x:c>
      <x:c r="M1737" s="47" t="n">
        <x:f>J1737-L1737</x:f>
        <x:v>520</x:v>
      </x:c>
      <x:c r="N1737" s="5" t="str">
        <x:v>Walk-in</x:v>
      </x:c>
      <x:c r="O1737" s="5" t="str">
        <x:v>Transfer</x:v>
      </x:c>
      <x:c r="P1737" s="5" t="str">
        <x:v>Dinner</x:v>
      </x:c>
      <x:c r="Q1737" s="48" t="n">
        <x:v>19</x:v>
      </x:c>
      <x:c r="R1737" s="5" t="n">
        <x:v>5</x:v>
      </x:c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5" t="str">
        <x:v>ORD-00531</x:v>
      </x:c>
      <x:c r="B1738" s="43" t="n">
        <x:v>46258</x:v>
      </x:c>
      <x:c r="C1738" s="5" t="str">
        <x:v>CUST-0037</x:v>
      </x:c>
      <x:c r="D1738" s="5" t="str">
        <x:v>FD004</x:v>
      </x:c>
      <x:c r="E1738" s="5" t="str">
        <x:v>Beans &amp; Plantain</x:v>
      </x:c>
      <x:c r="F1738" s="5" t="str">
        <x:v>Traditional Meals</x:v>
      </x:c>
      <x:c r="G1738" s="44" t="n">
        <x:v>3</x:v>
      </x:c>
      <x:c r="H1738" s="45" t="n">
        <x:v>2000</x:v>
      </x:c>
      <x:c r="I1738" s="46" t="n">
        <x:v>0</x:v>
      </x:c>
      <x:c r="J1738" s="47" t="n">
        <x:f>G1738*H1738*(1-I1738)</x:f>
        <x:v>6000</x:v>
      </x:c>
      <x:c r="K1738" s="47" t="n">
        <x:v>960</x:v>
      </x:c>
      <x:c r="L1738" s="47" t="n">
        <x:f>G1738*K1738</x:f>
        <x:v>2880</x:v>
      </x:c>
      <x:c r="M1738" s="47" t="n">
        <x:f>J1738-L1738</x:f>
        <x:v>3120</x:v>
      </x:c>
      <x:c r="N1738" s="5" t="str">
        <x:v>Walk-in</x:v>
      </x:c>
      <x:c r="O1738" s="5" t="str">
        <x:v>Transfer</x:v>
      </x:c>
      <x:c r="P1738" s="5" t="str">
        <x:v>Dinner</x:v>
      </x:c>
      <x:c r="Q1738" s="48" t="n">
        <x:v>20</x:v>
      </x:c>
      <x:c r="R1738" s="5" t="n">
        <x:v>4</x:v>
      </x:c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5" t="str">
        <x:v>ORD-00578</x:v>
      </x:c>
      <x:c r="B1739" s="43" t="n">
        <x:v>46258</x:v>
      </x:c>
      <x:c r="C1739" s="5" t="str">
        <x:v>CUST-0192</x:v>
      </x:c>
      <x:c r="D1739" s="5" t="str">
        <x:v>FD003</x:v>
      </x:c>
      <x:c r="E1739" s="5" t="str">
        <x:v>Fried Rice &amp; Chicken</x:v>
      </x:c>
      <x:c r="F1739" s="5" t="str">
        <x:v>Rice Meals</x:v>
      </x:c>
      <x:c r="G1739" s="44" t="n">
        <x:v>4</x:v>
      </x:c>
      <x:c r="H1739" s="45" t="n">
        <x:v>3000</x:v>
      </x:c>
      <x:c r="I1739" s="46" t="n">
        <x:v>0</x:v>
      </x:c>
      <x:c r="J1739" s="47" t="n">
        <x:f>G1739*H1739*(1-I1739)</x:f>
        <x:v>12000</x:v>
      </x:c>
      <x:c r="K1739" s="47" t="n">
        <x:v>1580</x:v>
      </x:c>
      <x:c r="L1739" s="47" t="n">
        <x:f>G1739*K1739</x:f>
        <x:v>6320</x:v>
      </x:c>
      <x:c r="M1739" s="47" t="n">
        <x:f>J1739-L1739</x:f>
        <x:v>5680</x:v>
      </x:c>
      <x:c r="N1739" s="5" t="str">
        <x:v>Walk-in</x:v>
      </x:c>
      <x:c r="O1739" s="5" t="str">
        <x:v>Cash</x:v>
      </x:c>
      <x:c r="P1739" s="5" t="str">
        <x:v>Dinner</x:v>
      </x:c>
      <x:c r="Q1739" s="48" t="n">
        <x:v>19</x:v>
      </x:c>
      <x:c r="R1739" s="5" t="n">
        <x:v>4</x:v>
      </x:c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5" t="str">
        <x:v>ORD-00602</x:v>
      </x:c>
      <x:c r="B1740" s="43" t="n">
        <x:v>46258</x:v>
      </x:c>
      <x:c r="C1740" s="5" t="str">
        <x:v>CUST-0228</x:v>
      </x:c>
      <x:c r="D1740" s="5" t="str">
        <x:v>FD004</x:v>
      </x:c>
      <x:c r="E1740" s="5" t="str">
        <x:v>Beans &amp; Plantain</x:v>
      </x:c>
      <x:c r="F1740" s="5" t="str">
        <x:v>Traditional Meals</x:v>
      </x:c>
      <x:c r="G1740" s="44" t="n">
        <x:v>1</x:v>
      </x:c>
      <x:c r="H1740" s="45" t="n">
        <x:v>2000</x:v>
      </x:c>
      <x:c r="I1740" s="46" t="n">
        <x:v>0</x:v>
      </x:c>
      <x:c r="J1740" s="47" t="n">
        <x:f>G1740*H1740*(1-I1740)</x:f>
        <x:v>2000</x:v>
      </x:c>
      <x:c r="K1740" s="47" t="n">
        <x:v>960</x:v>
      </x:c>
      <x:c r="L1740" s="47" t="n">
        <x:f>G1740*K1740</x:f>
        <x:v>960</x:v>
      </x:c>
      <x:c r="M1740" s="47" t="n">
        <x:f>J1740-L1740</x:f>
        <x:v>1040</x:v>
      </x:c>
      <x:c r="N1740" s="5" t="str">
        <x:v>Walk-in</x:v>
      </x:c>
      <x:c r="O1740" s="5" t="str">
        <x:v>Cash</x:v>
      </x:c>
      <x:c r="P1740" s="5" t="str">
        <x:v>Lunch</x:v>
      </x:c>
      <x:c r="Q1740" s="48" t="n">
        <x:v>11</x:v>
      </x:c>
      <x:c r="R1740" s="5" t="n">
        <x:v>5</x:v>
      </x:c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5" t="str">
        <x:v>ORD-00841</x:v>
      </x:c>
      <x:c r="B1741" s="43" t="n">
        <x:v>46258</x:v>
      </x:c>
      <x:c r="C1741" s="5" t="str">
        <x:v>CUST-0469</x:v>
      </x:c>
      <x:c r="D1741" s="5" t="str">
        <x:v>FD003</x:v>
      </x:c>
      <x:c r="E1741" s="5" t="str">
        <x:v>Fried Rice &amp; Chicken</x:v>
      </x:c>
      <x:c r="F1741" s="5" t="str">
        <x:v>Rice Meals</x:v>
      </x:c>
      <x:c r="G1741" s="44" t="n">
        <x:v>1</x:v>
      </x:c>
      <x:c r="H1741" s="45" t="n">
        <x:v>3000</x:v>
      </x:c>
      <x:c r="I1741" s="46" t="n">
        <x:v>0</x:v>
      </x:c>
      <x:c r="J1741" s="47" t="n">
        <x:f>G1741*H1741*(1-I1741)</x:f>
        <x:v>3000</x:v>
      </x:c>
      <x:c r="K1741" s="47" t="n">
        <x:v>1580</x:v>
      </x:c>
      <x:c r="L1741" s="47" t="n">
        <x:f>G1741*K1741</x:f>
        <x:v>1580</x:v>
      </x:c>
      <x:c r="M1741" s="47" t="n">
        <x:f>J1741-L1741</x:f>
        <x:v>1420</x:v>
      </x:c>
      <x:c r="N1741" s="5" t="str">
        <x:v>Walk-in</x:v>
      </x:c>
      <x:c r="O1741" s="5" t="str">
        <x:v>POS</x:v>
      </x:c>
      <x:c r="P1741" s="5" t="str">
        <x:v>Breakfast</x:v>
      </x:c>
      <x:c r="Q1741" s="48" t="n">
        <x:v>8</x:v>
      </x:c>
      <x:c r="R1741" s="5" t="n">
        <x:v>4</x:v>
      </x:c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5" t="str">
        <x:v>ORD-01140</x:v>
      </x:c>
      <x:c r="B1742" s="43" t="n">
        <x:v>46258</x:v>
      </x:c>
      <x:c r="C1742" s="5" t="str">
        <x:v>CUST-0650</x:v>
      </x:c>
      <x:c r="D1742" s="5" t="str">
        <x:v>FD010</x:v>
      </x:c>
      <x:c r="E1742" s="5" t="str">
        <x:v>Soft Drink</x:v>
      </x:c>
      <x:c r="F1742" s="5" t="str">
        <x:v>Beverages</x:v>
      </x:c>
      <x:c r="G1742" s="44" t="n">
        <x:v>4</x:v>
      </x:c>
      <x:c r="H1742" s="45" t="n">
        <x:v>600</x:v>
      </x:c>
      <x:c r="I1742" s="46" t="n">
        <x:v>0.05</x:v>
      </x:c>
      <x:c r="J1742" s="47" t="n">
        <x:f>G1742*H1742*(1-I1742)</x:f>
        <x:v>2280</x:v>
      </x:c>
      <x:c r="K1742" s="47" t="n">
        <x:v>280</x:v>
      </x:c>
      <x:c r="L1742" s="47" t="n">
        <x:f>G1742*K1742</x:f>
        <x:v>1120</x:v>
      </x:c>
      <x:c r="M1742" s="47" t="n">
        <x:f>J1742-L1742</x:f>
        <x:v>1160</x:v>
      </x:c>
      <x:c r="N1742" s="5" t="str">
        <x:v>Walk-in</x:v>
      </x:c>
      <x:c r="O1742" s="5" t="str">
        <x:v>Cash</x:v>
      </x:c>
      <x:c r="P1742" s="5" t="str">
        <x:v>Lunch</x:v>
      </x:c>
      <x:c r="Q1742" s="48" t="n">
        <x:v>14</x:v>
      </x:c>
      <x:c r="R1742" s="5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5" t="str">
        <x:v>ORD-01501</x:v>
      </x:c>
      <x:c r="B1743" s="43" t="n">
        <x:v>46258</x:v>
      </x:c>
      <x:c r="C1743" s="5" t="str">
        <x:v>CUST-0231</x:v>
      </x:c>
      <x:c r="D1743" s="5" t="str">
        <x:v>FD005</x:v>
      </x:c>
      <x:c r="E1743" s="5" t="str">
        <x:v>Yam Porridge</x:v>
      </x:c>
      <x:c r="F1743" s="5" t="str">
        <x:v>Traditional Meals</x:v>
      </x:c>
      <x:c r="G1743" s="44" t="n">
        <x:v>1</x:v>
      </x:c>
      <x:c r="H1743" s="45" t="n">
        <x:v>2200</x:v>
      </x:c>
      <x:c r="I1743" s="46" t="n">
        <x:v>0</x:v>
      </x:c>
      <x:c r="J1743" s="47" t="n">
        <x:f>G1743*H1743*(1-I1743)</x:f>
        <x:v>2200</x:v>
      </x:c>
      <x:c r="K1743" s="47" t="n">
        <x:v>1050</x:v>
      </x:c>
      <x:c r="L1743" s="47" t="n">
        <x:f>G1743*K1743</x:f>
        <x:v>1050</x:v>
      </x:c>
      <x:c r="M1743" s="47" t="n">
        <x:f>J1743-L1743</x:f>
        <x:v>1150</x:v>
      </x:c>
      <x:c r="N1743" s="5" t="str">
        <x:v>Walk-in</x:v>
      </x:c>
      <x:c r="O1743" s="5" t="str">
        <x:v>POS</x:v>
      </x:c>
      <x:c r="P1743" s="5" t="str">
        <x:v>Lunch</x:v>
      </x:c>
      <x:c r="Q1743" s="48" t="n">
        <x:v>15</x:v>
      </x:c>
      <x:c r="R1743" s="5" t="n">
        <x:v>3</x:v>
      </x:c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5" t="str">
        <x:v>ORD-01687</x:v>
      </x:c>
      <x:c r="B1744" s="43" t="n">
        <x:v>46258</x:v>
      </x:c>
      <x:c r="C1744" s="5" t="str">
        <x:v>CUST-0582</x:v>
      </x:c>
      <x:c r="D1744" s="5" t="str">
        <x:v>FD010</x:v>
      </x:c>
      <x:c r="E1744" s="5" t="str">
        <x:v>Soft Drink</x:v>
      </x:c>
      <x:c r="F1744" s="5" t="str">
        <x:v>Beverages</x:v>
      </x:c>
      <x:c r="G1744" s="44" t="n">
        <x:v>1</x:v>
      </x:c>
      <x:c r="H1744" s="45" t="n">
        <x:v>600</x:v>
      </x:c>
      <x:c r="I1744" s="46" t="n">
        <x:v>0</x:v>
      </x:c>
      <x:c r="J1744" s="47" t="n">
        <x:f>G1744*H1744*(1-I1744)</x:f>
        <x:v>600</x:v>
      </x:c>
      <x:c r="K1744" s="47" t="n">
        <x:v>280</x:v>
      </x:c>
      <x:c r="L1744" s="47" t="n">
        <x:f>G1744*K1744</x:f>
        <x:v>280</x:v>
      </x:c>
      <x:c r="M1744" s="47" t="n">
        <x:f>J1744-L1744</x:f>
        <x:v>320</x:v>
      </x:c>
      <x:c r="N1744" s="5" t="str">
        <x:v>Delivery</x:v>
      </x:c>
      <x:c r="O1744" s="5" t="str">
        <x:v>Transfer</x:v>
      </x:c>
      <x:c r="P1744" s="5" t="str">
        <x:v>Lunch</x:v>
      </x:c>
      <x:c r="Q1744" s="48" t="n">
        <x:v>11</x:v>
      </x:c>
      <x:c r="R1744" s="5" t="n">
        <x:v>5</x:v>
      </x:c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5" t="str">
        <x:v>ORD-01690</x:v>
      </x:c>
      <x:c r="B1745" s="43" t="n">
        <x:v>46258</x:v>
      </x:c>
      <x:c r="C1745" s="5" t="str">
        <x:v>CUST-0264</x:v>
      </x:c>
      <x:c r="D1745" s="5" t="str">
        <x:v>FD012</x:v>
      </x:c>
      <x:c r="E1745" s="5" t="str">
        <x:v>Fried Plantain</x:v>
      </x:c>
      <x:c r="F1745" s="5" t="str">
        <x:v>Sides</x:v>
      </x:c>
      <x:c r="G1745" s="44" t="n">
        <x:v>3</x:v>
      </x:c>
      <x:c r="H1745" s="45" t="n">
        <x:v>700</x:v>
      </x:c>
      <x:c r="I1745" s="46" t="n">
        <x:v>0</x:v>
      </x:c>
      <x:c r="J1745" s="47" t="n">
        <x:f>G1745*H1745*(1-I1745)</x:f>
        <x:v>2100</x:v>
      </x:c>
      <x:c r="K1745" s="47" t="n">
        <x:v>300</x:v>
      </x:c>
      <x:c r="L1745" s="47" t="n">
        <x:f>G1745*K1745</x:f>
        <x:v>900</x:v>
      </x:c>
      <x:c r="M1745" s="47" t="n">
        <x:f>J1745-L1745</x:f>
        <x:v>1200</x:v>
      </x:c>
      <x:c r="N1745" s="5" t="str">
        <x:v>Walk-in</x:v>
      </x:c>
      <x:c r="O1745" s="5" t="str">
        <x:v>Transfer</x:v>
      </x:c>
      <x:c r="P1745" s="5" t="str">
        <x:v>Dinner</x:v>
      </x:c>
      <x:c r="Q1745" s="48" t="n">
        <x:v>18</x:v>
      </x:c>
      <x:c r="R1745" s="5" t="n">
        <x:v>5</x:v>
      </x:c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5" t="str">
        <x:v>ORD-01799</x:v>
      </x:c>
      <x:c r="B1746" s="43" t="n">
        <x:v>46258</x:v>
      </x:c>
      <x:c r="C1746" s="5" t="str">
        <x:v>CUST-0539</x:v>
      </x:c>
      <x:c r="D1746" s="5" t="str">
        <x:v>FD001</x:v>
      </x:c>
      <x:c r="E1746" s="5" t="str">
        <x:v>White Rice &amp; Stew</x:v>
      </x:c>
      <x:c r="F1746" s="5" t="str">
        <x:v>Rice Meals</x:v>
      </x:c>
      <x:c r="G1746" s="44" t="n">
        <x:v>3</x:v>
      </x:c>
      <x:c r="H1746" s="45" t="n">
        <x:v>1800</x:v>
      </x:c>
      <x:c r="I1746" s="46" t="n">
        <x:v>0.05</x:v>
      </x:c>
      <x:c r="J1746" s="47" t="n">
        <x:f>G1746*H1746*(1-I1746)</x:f>
        <x:v>5130</x:v>
      </x:c>
      <x:c r="K1746" s="47" t="n">
        <x:v>820</x:v>
      </x:c>
      <x:c r="L1746" s="47" t="n">
        <x:f>G1746*K1746</x:f>
        <x:v>2460</x:v>
      </x:c>
      <x:c r="M1746" s="47" t="n">
        <x:f>J1746-L1746</x:f>
        <x:v>2670</x:v>
      </x:c>
      <x:c r="N1746" s="5" t="str">
        <x:v>Walk-in</x:v>
      </x:c>
      <x:c r="O1746" s="5" t="str">
        <x:v>Cash</x:v>
      </x:c>
      <x:c r="P1746" s="5" t="str">
        <x:v>Dinner</x:v>
      </x:c>
      <x:c r="Q1746" s="48" t="n">
        <x:v>19</x:v>
      </x:c>
      <x:c r="R1746" s="5" t="n">
        <x:v>5</x:v>
      </x:c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5" t="str">
        <x:v>ORD-00257</x:v>
      </x:c>
      <x:c r="B1747" s="43" t="n">
        <x:v>46259</x:v>
      </x:c>
      <x:c r="C1747" s="5" t="str">
        <x:v>CUST-0168</x:v>
      </x:c>
      <x:c r="D1747" s="5" t="str">
        <x:v>FD003</x:v>
      </x:c>
      <x:c r="E1747" s="5" t="str">
        <x:v>Fried Rice &amp; Chicken</x:v>
      </x:c>
      <x:c r="F1747" s="5" t="str">
        <x:v>Rice Meals</x:v>
      </x:c>
      <x:c r="G1747" s="44" t="n">
        <x:v>4</x:v>
      </x:c>
      <x:c r="H1747" s="45" t="n">
        <x:v>3000</x:v>
      </x:c>
      <x:c r="I1747" s="46" t="n">
        <x:v>0.05</x:v>
      </x:c>
      <x:c r="J1747" s="47" t="n">
        <x:f>G1747*H1747*(1-I1747)</x:f>
        <x:v>11400</x:v>
      </x:c>
      <x:c r="K1747" s="47" t="n">
        <x:v>1580</x:v>
      </x:c>
      <x:c r="L1747" s="47" t="n">
        <x:f>G1747*K1747</x:f>
        <x:v>6320</x:v>
      </x:c>
      <x:c r="M1747" s="47" t="n">
        <x:f>J1747-L1747</x:f>
        <x:v>5080</x:v>
      </x:c>
      <x:c r="N1747" s="5" t="str">
        <x:v>Takeaway</x:v>
      </x:c>
      <x:c r="O1747" s="5" t="str">
        <x:v>POS</x:v>
      </x:c>
      <x:c r="P1747" s="5" t="str">
        <x:v>Dinner</x:v>
      </x:c>
      <x:c r="Q1747" s="48" t="n">
        <x:v>20</x:v>
      </x:c>
      <x:c r="R1747" s="5" t="n">
        <x:v>5</x:v>
      </x:c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5" t="str">
        <x:v>ORD-00707</x:v>
      </x:c>
      <x:c r="B1748" s="43" t="n">
        <x:v>46259</x:v>
      </x:c>
      <x:c r="C1748" s="5" t="str">
        <x:v>CUST-0230</x:v>
      </x:c>
      <x:c r="D1748" s="5" t="str">
        <x:v>FD007</x:v>
      </x:c>
      <x:c r="E1748" s="5" t="str">
        <x:v>Amala &amp; Ewedu</x:v>
      </x:c>
      <x:c r="F1748" s="5" t="str">
        <x:v>Swallow</x:v>
      </x:c>
      <x:c r="G1748" s="44" t="n">
        <x:v>1</x:v>
      </x:c>
      <x:c r="H1748" s="45" t="n">
        <x:v>2500</x:v>
      </x:c>
      <x:c r="I1748" s="46" t="n">
        <x:v>0</x:v>
      </x:c>
      <x:c r="J1748" s="47" t="n">
        <x:f>G1748*H1748*(1-I1748)</x:f>
        <x:v>2500</x:v>
      </x:c>
      <x:c r="K1748" s="47" t="n">
        <x:v>1250</x:v>
      </x:c>
      <x:c r="L1748" s="47" t="n">
        <x:f>G1748*K1748</x:f>
        <x:v>1250</x:v>
      </x:c>
      <x:c r="M1748" s="47" t="n">
        <x:f>J1748-L1748</x:f>
        <x:v>1250</x:v>
      </x:c>
      <x:c r="N1748" s="5" t="str">
        <x:v>Walk-in</x:v>
      </x:c>
      <x:c r="O1748" s="5" t="str">
        <x:v>Transfer</x:v>
      </x:c>
      <x:c r="P1748" s="5" t="str">
        <x:v>Dinner</x:v>
      </x:c>
      <x:c r="Q1748" s="48" t="n">
        <x:v>17</x:v>
      </x:c>
      <x:c r="R1748" s="5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5" t="str">
        <x:v>ORD-00896</x:v>
      </x:c>
      <x:c r="B1749" s="43" t="n">
        <x:v>46259</x:v>
      </x:c>
      <x:c r="C1749" s="5" t="str">
        <x:v>CUST-0350</x:v>
      </x:c>
      <x:c r="D1749" s="5" t="str">
        <x:v>FD009</x:v>
      </x:c>
      <x:c r="E1749" s="5" t="str">
        <x:v>Moi Moi</x:v>
      </x:c>
      <x:c r="F1749" s="5" t="str">
        <x:v>Sides</x:v>
      </x:c>
      <x:c r="G1749" s="44" t="n">
        <x:v>3</x:v>
      </x:c>
      <x:c r="H1749" s="45" t="n">
        <x:v>900</x:v>
      </x:c>
      <x:c r="I1749" s="46" t="n">
        <x:v>0</x:v>
      </x:c>
      <x:c r="J1749" s="47" t="n">
        <x:f>G1749*H1749*(1-I1749)</x:f>
        <x:v>2700</x:v>
      </x:c>
      <x:c r="K1749" s="47" t="n">
        <x:v>380</x:v>
      </x:c>
      <x:c r="L1749" s="47" t="n">
        <x:f>G1749*K1749</x:f>
        <x:v>1140</x:v>
      </x:c>
      <x:c r="M1749" s="47" t="n">
        <x:f>J1749-L1749</x:f>
        <x:v>1560</x:v>
      </x:c>
      <x:c r="N1749" s="5" t="str">
        <x:v>Walk-in</x:v>
      </x:c>
      <x:c r="O1749" s="5" t="str">
        <x:v>POS</x:v>
      </x:c>
      <x:c r="P1749" s="5" t="str">
        <x:v>Breakfast</x:v>
      </x:c>
      <x:c r="Q1749" s="48" t="n">
        <x:v>8</x:v>
      </x:c>
      <x:c r="R1749" s="5" t="n">
        <x:v>5</x:v>
      </x:c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5" t="str">
        <x:v>ORD-01061</x:v>
      </x:c>
      <x:c r="B1750" s="43" t="n">
        <x:v>46259</x:v>
      </x:c>
      <x:c r="C1750" s="5" t="str">
        <x:v>CUST-0283</x:v>
      </x:c>
      <x:c r="D1750" s="5" t="str">
        <x:v>FD007</x:v>
      </x:c>
      <x:c r="E1750" s="5" t="str">
        <x:v>Amala &amp; Ewedu</x:v>
      </x:c>
      <x:c r="F1750" s="5" t="str">
        <x:v>Swallow</x:v>
      </x:c>
      <x:c r="G1750" s="44" t="n">
        <x:v>4</x:v>
      </x:c>
      <x:c r="H1750" s="45" t="n">
        <x:v>2500</x:v>
      </x:c>
      <x:c r="I1750" s="46" t="n">
        <x:v>0</x:v>
      </x:c>
      <x:c r="J1750" s="47" t="n">
        <x:f>G1750*H1750*(1-I1750)</x:f>
        <x:v>10000</x:v>
      </x:c>
      <x:c r="K1750" s="47" t="n">
        <x:v>1250</x:v>
      </x:c>
      <x:c r="L1750" s="47" t="n">
        <x:f>G1750*K1750</x:f>
        <x:v>5000</x:v>
      </x:c>
      <x:c r="M1750" s="47" t="n">
        <x:f>J1750-L1750</x:f>
        <x:v>5000</x:v>
      </x:c>
      <x:c r="N1750" s="5" t="str">
        <x:v>Delivery</x:v>
      </x:c>
      <x:c r="O1750" s="5" t="str">
        <x:v>Transfer</x:v>
      </x:c>
      <x:c r="P1750" s="5" t="str">
        <x:v>Lunch</x:v>
      </x:c>
      <x:c r="Q1750" s="48" t="n">
        <x:v>12</x:v>
      </x:c>
      <x:c r="R1750" s="5" t="n">
        <x:v>4</x:v>
      </x:c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5" t="str">
        <x:v>ORD-01543</x:v>
      </x:c>
      <x:c r="B1751" s="43" t="n">
        <x:v>46259</x:v>
      </x:c>
      <x:c r="C1751" s="5" t="str">
        <x:v>CUST-0105</x:v>
      </x:c>
      <x:c r="D1751" s="5" t="str">
        <x:v>FD003</x:v>
      </x:c>
      <x:c r="E1751" s="5" t="str">
        <x:v>Fried Rice &amp; Chicken</x:v>
      </x:c>
      <x:c r="F1751" s="5" t="str">
        <x:v>Rice Meals</x:v>
      </x:c>
      <x:c r="G1751" s="44" t="n">
        <x:v>2</x:v>
      </x:c>
      <x:c r="H1751" s="45" t="n">
        <x:v>3000</x:v>
      </x:c>
      <x:c r="I1751" s="46" t="n">
        <x:v>0</x:v>
      </x:c>
      <x:c r="J1751" s="47" t="n">
        <x:f>G1751*H1751*(1-I1751)</x:f>
        <x:v>6000</x:v>
      </x:c>
      <x:c r="K1751" s="47" t="n">
        <x:v>1580</x:v>
      </x:c>
      <x:c r="L1751" s="47" t="n">
        <x:f>G1751*K1751</x:f>
        <x:v>3160</x:v>
      </x:c>
      <x:c r="M1751" s="47" t="n">
        <x:f>J1751-L1751</x:f>
        <x:v>2840</x:v>
      </x:c>
      <x:c r="N1751" s="5" t="str">
        <x:v>Takeaway</x:v>
      </x:c>
      <x:c r="O1751" s="5" t="str">
        <x:v>POS</x:v>
      </x:c>
      <x:c r="P1751" s="5" t="str">
        <x:v>Breakfast</x:v>
      </x:c>
      <x:c r="Q1751" s="48" t="n">
        <x:v>8</x:v>
      </x:c>
      <x:c r="R1751" s="5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5" t="str">
        <x:v>ORD-01652</x:v>
      </x:c>
      <x:c r="B1752" s="43" t="n">
        <x:v>46259</x:v>
      </x:c>
      <x:c r="C1752" s="5" t="str">
        <x:v>CUST-0250</x:v>
      </x:c>
      <x:c r="D1752" s="5" t="str">
        <x:v>FD006</x:v>
      </x:c>
      <x:c r="E1752" s="5" t="str">
        <x:v>Eba &amp; Egusi Soup</x:v>
      </x:c>
      <x:c r="F1752" s="5" t="str">
        <x:v>Swallow</x:v>
      </x:c>
      <x:c r="G1752" s="44" t="n">
        <x:v>2</x:v>
      </x:c>
      <x:c r="H1752" s="45" t="n">
        <x:v>2600</x:v>
      </x:c>
      <x:c r="I1752" s="46" t="n">
        <x:v>0.1</x:v>
      </x:c>
      <x:c r="J1752" s="47" t="n">
        <x:f>G1752*H1752*(1-I1752)</x:f>
        <x:v>4680</x:v>
      </x:c>
      <x:c r="K1752" s="47" t="n">
        <x:v>1320</x:v>
      </x:c>
      <x:c r="L1752" s="47" t="n">
        <x:f>G1752*K1752</x:f>
        <x:v>2640</x:v>
      </x:c>
      <x:c r="M1752" s="47" t="n">
        <x:f>J1752-L1752</x:f>
        <x:v>2040</x:v>
      </x:c>
      <x:c r="N1752" s="5" t="str">
        <x:v>Walk-in</x:v>
      </x:c>
      <x:c r="O1752" s="5" t="str">
        <x:v>Transfer</x:v>
      </x:c>
      <x:c r="P1752" s="5" t="str">
        <x:v>Lunch</x:v>
      </x:c>
      <x:c r="Q1752" s="48" t="n">
        <x:v>13</x:v>
      </x:c>
      <x:c r="R1752" s="5" t="n">
        <x:v>4</x:v>
      </x:c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5" t="str">
        <x:v>ORD-00487</x:v>
      </x:c>
      <x:c r="B1753" s="43" t="n">
        <x:v>46260</x:v>
      </x:c>
      <x:c r="C1753" s="5" t="str">
        <x:v>CUST-0256</x:v>
      </x:c>
      <x:c r="D1753" s="5" t="str">
        <x:v>FD001</x:v>
      </x:c>
      <x:c r="E1753" s="5" t="str">
        <x:v>White Rice &amp; Stew</x:v>
      </x:c>
      <x:c r="F1753" s="5" t="str">
        <x:v>Rice Meals</x:v>
      </x:c>
      <x:c r="G1753" s="44" t="n">
        <x:v>4</x:v>
      </x:c>
      <x:c r="H1753" s="45" t="n">
        <x:v>1800</x:v>
      </x:c>
      <x:c r="I1753" s="46" t="n">
        <x:v>0.05</x:v>
      </x:c>
      <x:c r="J1753" s="47" t="n">
        <x:f>G1753*H1753*(1-I1753)</x:f>
        <x:v>6840</x:v>
      </x:c>
      <x:c r="K1753" s="47" t="n">
        <x:v>820</x:v>
      </x:c>
      <x:c r="L1753" s="47" t="n">
        <x:f>G1753*K1753</x:f>
        <x:v>3280</x:v>
      </x:c>
      <x:c r="M1753" s="47" t="n">
        <x:f>J1753-L1753</x:f>
        <x:v>3560</x:v>
      </x:c>
      <x:c r="N1753" s="5" t="str">
        <x:v>Walk-in</x:v>
      </x:c>
      <x:c r="O1753" s="5" t="str">
        <x:v>Transfer</x:v>
      </x:c>
      <x:c r="P1753" s="5" t="str">
        <x:v>Lunch</x:v>
      </x:c>
      <x:c r="Q1753" s="48" t="n">
        <x:v>11</x:v>
      </x:c>
      <x:c r="R1753" s="5" t="n">
        <x:v>4</x:v>
      </x:c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5" t="str">
        <x:v>ORD-00499</x:v>
      </x:c>
      <x:c r="B1754" s="43" t="n">
        <x:v>46260</x:v>
      </x:c>
      <x:c r="C1754" s="5" t="str">
        <x:v>CUST-0459</x:v>
      </x:c>
      <x:c r="D1754" s="5" t="str">
        <x:v>FD001</x:v>
      </x:c>
      <x:c r="E1754" s="5" t="str">
        <x:v>White Rice &amp; Stew</x:v>
      </x:c>
      <x:c r="F1754" s="5" t="str">
        <x:v>Rice Meals</x:v>
      </x:c>
      <x:c r="G1754" s="44" t="n">
        <x:v>3</x:v>
      </x:c>
      <x:c r="H1754" s="45" t="n">
        <x:v>1800</x:v>
      </x:c>
      <x:c r="I1754" s="46" t="n">
        <x:v>0</x:v>
      </x:c>
      <x:c r="J1754" s="47" t="n">
        <x:f>G1754*H1754*(1-I1754)</x:f>
        <x:v>5400</x:v>
      </x:c>
      <x:c r="K1754" s="47" t="n">
        <x:v>820</x:v>
      </x:c>
      <x:c r="L1754" s="47" t="n">
        <x:f>G1754*K1754</x:f>
        <x:v>2460</x:v>
      </x:c>
      <x:c r="M1754" s="47" t="n">
        <x:f>J1754-L1754</x:f>
        <x:v>2940</x:v>
      </x:c>
      <x:c r="N1754" s="5" t="str">
        <x:v>Delivery</x:v>
      </x:c>
      <x:c r="O1754" s="5" t="str">
        <x:v>Cash</x:v>
      </x:c>
      <x:c r="P1754" s="5" t="str">
        <x:v>Lunch</x:v>
      </x:c>
      <x:c r="Q1754" s="48" t="n">
        <x:v>11</x:v>
      </x:c>
      <x:c r="R1754" s="5" t="n">
        <x:v>5</x:v>
      </x:c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5" t="str">
        <x:v>ORD-00534</x:v>
      </x:c>
      <x:c r="B1755" s="43" t="n">
        <x:v>46260</x:v>
      </x:c>
      <x:c r="C1755" s="5" t="str">
        <x:v>CUST-0310</x:v>
      </x:c>
      <x:c r="D1755" s="5" t="str">
        <x:v>FD002</x:v>
      </x:c>
      <x:c r="E1755" s="5" t="str">
        <x:v>Jollof Rice &amp; Chicken</x:v>
      </x:c>
      <x:c r="F1755" s="5" t="str">
        <x:v>Rice Meals</x:v>
      </x:c>
      <x:c r="G1755" s="44" t="n">
        <x:v>3</x:v>
      </x:c>
      <x:c r="H1755" s="45" t="n">
        <x:v>2800</x:v>
      </x:c>
      <x:c r="I1755" s="46" t="n">
        <x:v>0</x:v>
      </x:c>
      <x:c r="J1755" s="47" t="n">
        <x:f>G1755*H1755*(1-I1755)</x:f>
        <x:v>8400</x:v>
      </x:c>
      <x:c r="K1755" s="47" t="n">
        <x:v>1450</x:v>
      </x:c>
      <x:c r="L1755" s="47" t="n">
        <x:f>G1755*K1755</x:f>
        <x:v>4350</x:v>
      </x:c>
      <x:c r="M1755" s="47" t="n">
        <x:f>J1755-L1755</x:f>
        <x:v>4050</x:v>
      </x:c>
      <x:c r="N1755" s="5" t="str">
        <x:v>Walk-in</x:v>
      </x:c>
      <x:c r="O1755" s="5" t="str">
        <x:v>Cash</x:v>
      </x:c>
      <x:c r="P1755" s="5" t="str">
        <x:v>Lunch</x:v>
      </x:c>
      <x:c r="Q1755" s="48" t="n">
        <x:v>13</x:v>
      </x:c>
      <x:c r="R1755" s="5" t="n">
        <x:v>5</x:v>
      </x:c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5" t="str">
        <x:v>ORD-00766</x:v>
      </x:c>
      <x:c r="B1756" s="43" t="n">
        <x:v>46260</x:v>
      </x:c>
      <x:c r="C1756" s="5" t="str">
        <x:v>CUST-0081</x:v>
      </x:c>
      <x:c r="D1756" s="5" t="str">
        <x:v>FD008</x:v>
      </x:c>
      <x:c r="E1756" s="5" t="str">
        <x:v>Pounded Yam &amp; Vegetable Soup</x:v>
      </x:c>
      <x:c r="F1756" s="5" t="str">
        <x:v>Swallow</x:v>
      </x:c>
      <x:c r="G1756" s="44" t="n">
        <x:v>3</x:v>
      </x:c>
      <x:c r="H1756" s="45" t="n">
        <x:v>3200</x:v>
      </x:c>
      <x:c r="I1756" s="46" t="n">
        <x:v>0</x:v>
      </x:c>
      <x:c r="J1756" s="47" t="n">
        <x:f>G1756*H1756*(1-I1756)</x:f>
        <x:v>9600</x:v>
      </x:c>
      <x:c r="K1756" s="47" t="n">
        <x:v>1710</x:v>
      </x:c>
      <x:c r="L1756" s="47" t="n">
        <x:f>G1756*K1756</x:f>
        <x:v>5130</x:v>
      </x:c>
      <x:c r="M1756" s="47" t="n">
        <x:f>J1756-L1756</x:f>
        <x:v>4470</x:v>
      </x:c>
      <x:c r="N1756" s="5" t="str">
        <x:v>Walk-in</x:v>
      </x:c>
      <x:c r="O1756" s="5" t="str">
        <x:v>Transfer</x:v>
      </x:c>
      <x:c r="P1756" s="5" t="str">
        <x:v>Dinner</x:v>
      </x:c>
      <x:c r="Q1756" s="48" t="n">
        <x:v>20</x:v>
      </x:c>
      <x:c r="R1756" s="5" t="n">
        <x:v>4</x:v>
      </x:c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5" t="str">
        <x:v>ORD-00821</x:v>
      </x:c>
      <x:c r="B1757" s="43" t="n">
        <x:v>46260</x:v>
      </x:c>
      <x:c r="C1757" s="5" t="str">
        <x:v>CUST-0422</x:v>
      </x:c>
      <x:c r="D1757" s="5" t="str">
        <x:v>FD011</x:v>
      </x:c>
      <x:c r="E1757" s="5" t="str">
        <x:v>Bottled Water</x:v>
      </x:c>
      <x:c r="F1757" s="5" t="str">
        <x:v>Beverages</x:v>
      </x:c>
      <x:c r="G1757" s="44" t="n">
        <x:v>3</x:v>
      </x:c>
      <x:c r="H1757" s="45" t="n">
        <x:v>300</x:v>
      </x:c>
      <x:c r="I1757" s="46" t="n">
        <x:v>0</x:v>
      </x:c>
      <x:c r="J1757" s="47" t="n">
        <x:f>G1757*H1757*(1-I1757)</x:f>
        <x:v>900</x:v>
      </x:c>
      <x:c r="K1757" s="47" t="n">
        <x:v>120</x:v>
      </x:c>
      <x:c r="L1757" s="47" t="n">
        <x:f>G1757*K1757</x:f>
        <x:v>360</x:v>
      </x:c>
      <x:c r="M1757" s="47" t="n">
        <x:f>J1757-L1757</x:f>
        <x:v>540</x:v>
      </x:c>
      <x:c r="N1757" s="5" t="str">
        <x:v>Walk-in</x:v>
      </x:c>
      <x:c r="O1757" s="5" t="str">
        <x:v>Transfer</x:v>
      </x:c>
      <x:c r="P1757" s="5" t="str">
        <x:v>Lunch</x:v>
      </x:c>
      <x:c r="Q1757" s="48" t="n">
        <x:v>15</x:v>
      </x:c>
      <x:c r="R1757" s="5" t="n">
        <x:v>5</x:v>
      </x:c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5" t="str">
        <x:v>ORD-01012</x:v>
      </x:c>
      <x:c r="B1758" s="43" t="n">
        <x:v>46260</x:v>
      </x:c>
      <x:c r="C1758" s="5" t="str">
        <x:v>CUST-0030</x:v>
      </x:c>
      <x:c r="D1758" s="5" t="str">
        <x:v>FD011</x:v>
      </x:c>
      <x:c r="E1758" s="5" t="str">
        <x:v>Bottled Water</x:v>
      </x:c>
      <x:c r="F1758" s="5" t="str">
        <x:v>Beverages</x:v>
      </x:c>
      <x:c r="G1758" s="44" t="n">
        <x:v>4</x:v>
      </x:c>
      <x:c r="H1758" s="45" t="n">
        <x:v>300</x:v>
      </x:c>
      <x:c r="I1758" s="46" t="n">
        <x:v>0</x:v>
      </x:c>
      <x:c r="J1758" s="47" t="n">
        <x:f>G1758*H1758*(1-I1758)</x:f>
        <x:v>1200</x:v>
      </x:c>
      <x:c r="K1758" s="47" t="n">
        <x:v>120</x:v>
      </x:c>
      <x:c r="L1758" s="47" t="n">
        <x:f>G1758*K1758</x:f>
        <x:v>480</x:v>
      </x:c>
      <x:c r="M1758" s="47" t="n">
        <x:f>J1758-L1758</x:f>
        <x:v>720</x:v>
      </x:c>
      <x:c r="N1758" s="5" t="str">
        <x:v>Walk-in</x:v>
      </x:c>
      <x:c r="O1758" s="5" t="str">
        <x:v>Cash</x:v>
      </x:c>
      <x:c r="P1758" s="5" t="str">
        <x:v>Dinner</x:v>
      </x:c>
      <x:c r="Q1758" s="48" t="n">
        <x:v>17</x:v>
      </x:c>
      <x:c r="R1758" s="5" t="n">
        <x:v>5</x:v>
      </x:c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5" t="str">
        <x:v>ORD-01056</x:v>
      </x:c>
      <x:c r="B1759" s="43" t="n">
        <x:v>46260</x:v>
      </x:c>
      <x:c r="C1759" s="5" t="str">
        <x:v>CUST-0452</x:v>
      </x:c>
      <x:c r="D1759" s="5" t="str">
        <x:v>FD002</x:v>
      </x:c>
      <x:c r="E1759" s="5" t="str">
        <x:v>Jollof Rice &amp; Chicken</x:v>
      </x:c>
      <x:c r="F1759" s="5" t="str">
        <x:v>Rice Meals</x:v>
      </x:c>
      <x:c r="G1759" s="44" t="n">
        <x:v>4</x:v>
      </x:c>
      <x:c r="H1759" s="45" t="n">
        <x:v>2800</x:v>
      </x:c>
      <x:c r="I1759" s="46" t="n">
        <x:v>0</x:v>
      </x:c>
      <x:c r="J1759" s="47" t="n">
        <x:f>G1759*H1759*(1-I1759)</x:f>
        <x:v>11200</x:v>
      </x:c>
      <x:c r="K1759" s="47" t="n">
        <x:v>1450</x:v>
      </x:c>
      <x:c r="L1759" s="47" t="n">
        <x:f>G1759*K1759</x:f>
        <x:v>5800</x:v>
      </x:c>
      <x:c r="M1759" s="47" t="n">
        <x:f>J1759-L1759</x:f>
        <x:v>5400</x:v>
      </x:c>
      <x:c r="N1759" s="5" t="str">
        <x:v>Walk-in</x:v>
      </x:c>
      <x:c r="O1759" s="5" t="str">
        <x:v>POS</x:v>
      </x:c>
      <x:c r="P1759" s="5" t="str">
        <x:v>Lunch</x:v>
      </x:c>
      <x:c r="Q1759" s="48" t="n">
        <x:v>14</x:v>
      </x:c>
      <x:c r="R1759" s="5" t="n">
        <x:v>5</x:v>
      </x:c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5" t="str">
        <x:v>ORD-01094</x:v>
      </x:c>
      <x:c r="B1760" s="43" t="n">
        <x:v>46260</x:v>
      </x:c>
      <x:c r="C1760" s="5" t="str">
        <x:v>CUST-0559</x:v>
      </x:c>
      <x:c r="D1760" s="5" t="str">
        <x:v>FD012</x:v>
      </x:c>
      <x:c r="E1760" s="5" t="str">
        <x:v>Fried Plantain</x:v>
      </x:c>
      <x:c r="F1760" s="5" t="str">
        <x:v>Sides</x:v>
      </x:c>
      <x:c r="G1760" s="44" t="n">
        <x:v>2</x:v>
      </x:c>
      <x:c r="H1760" s="45" t="n">
        <x:v>700</x:v>
      </x:c>
      <x:c r="I1760" s="46" t="n">
        <x:v>0</x:v>
      </x:c>
      <x:c r="J1760" s="47" t="n">
        <x:f>G1760*H1760*(1-I1760)</x:f>
        <x:v>1400</x:v>
      </x:c>
      <x:c r="K1760" s="47" t="n">
        <x:v>300</x:v>
      </x:c>
      <x:c r="L1760" s="47" t="n">
        <x:f>G1760*K1760</x:f>
        <x:v>600</x:v>
      </x:c>
      <x:c r="M1760" s="47" t="n">
        <x:f>J1760-L1760</x:f>
        <x:v>800</x:v>
      </x:c>
      <x:c r="N1760" s="5" t="str">
        <x:v>Walk-in</x:v>
      </x:c>
      <x:c r="O1760" s="5" t="str">
        <x:v>Cash</x:v>
      </x:c>
      <x:c r="P1760" s="5" t="str">
        <x:v>Lunch</x:v>
      </x:c>
      <x:c r="Q1760" s="48" t="n">
        <x:v>14</x:v>
      </x:c>
      <x:c r="R1760" s="5" t="n">
        <x:v>5</x:v>
      </x:c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5" t="str">
        <x:v>ORD-01343</x:v>
      </x:c>
      <x:c r="B1761" s="43" t="n">
        <x:v>46260</x:v>
      </x:c>
      <x:c r="C1761" s="5" t="str">
        <x:v>CUST-0409</x:v>
      </x:c>
      <x:c r="D1761" s="5" t="str">
        <x:v>FD001</x:v>
      </x:c>
      <x:c r="E1761" s="5" t="str">
        <x:v>White Rice &amp; Stew</x:v>
      </x:c>
      <x:c r="F1761" s="5" t="str">
        <x:v>Rice Meals</x:v>
      </x:c>
      <x:c r="G1761" s="44" t="n">
        <x:v>2</x:v>
      </x:c>
      <x:c r="H1761" s="45" t="n">
        <x:v>1800</x:v>
      </x:c>
      <x:c r="I1761" s="46" t="n">
        <x:v>0</x:v>
      </x:c>
      <x:c r="J1761" s="47" t="n">
        <x:f>G1761*H1761*(1-I1761)</x:f>
        <x:v>3600</x:v>
      </x:c>
      <x:c r="K1761" s="47" t="n">
        <x:v>820</x:v>
      </x:c>
      <x:c r="L1761" s="47" t="n">
        <x:f>G1761*K1761</x:f>
        <x:v>1640</x:v>
      </x:c>
      <x:c r="M1761" s="47" t="n">
        <x:f>J1761-L1761</x:f>
        <x:v>1960</x:v>
      </x:c>
      <x:c r="N1761" s="5" t="str">
        <x:v>Walk-in</x:v>
      </x:c>
      <x:c r="O1761" s="5" t="str">
        <x:v>Transfer</x:v>
      </x:c>
      <x:c r="P1761" s="5" t="str">
        <x:v>Lunch</x:v>
      </x:c>
      <x:c r="Q1761" s="48" t="n">
        <x:v>12</x:v>
      </x:c>
      <x:c r="R1761" s="5" t="n">
        <x:v>3</x:v>
      </x:c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5" t="str">
        <x:v>ORD-00014</x:v>
      </x:c>
      <x:c r="B1762" s="43" t="n">
        <x:v>46261</x:v>
      </x:c>
      <x:c r="C1762" s="5" t="str">
        <x:v>CUST-0473</x:v>
      </x:c>
      <x:c r="D1762" s="5" t="str">
        <x:v>FD004</x:v>
      </x:c>
      <x:c r="E1762" s="5" t="str">
        <x:v>Beans &amp; Plantain</x:v>
      </x:c>
      <x:c r="F1762" s="5" t="str">
        <x:v>Traditional Meals</x:v>
      </x:c>
      <x:c r="G1762" s="44" t="n">
        <x:v>4</x:v>
      </x:c>
      <x:c r="H1762" s="45" t="n">
        <x:v>2000</x:v>
      </x:c>
      <x:c r="I1762" s="46" t="n">
        <x:v>0</x:v>
      </x:c>
      <x:c r="J1762" s="47" t="n">
        <x:f>G1762*H1762*(1-I1762)</x:f>
        <x:v>8000</x:v>
      </x:c>
      <x:c r="K1762" s="47" t="n">
        <x:v>960</x:v>
      </x:c>
      <x:c r="L1762" s="47" t="n">
        <x:f>G1762*K1762</x:f>
        <x:v>3840</x:v>
      </x:c>
      <x:c r="M1762" s="47" t="n">
        <x:f>J1762-L1762</x:f>
        <x:v>4160</x:v>
      </x:c>
      <x:c r="N1762" s="5" t="str">
        <x:v>Walk-in</x:v>
      </x:c>
      <x:c r="O1762" s="5" t="str">
        <x:v>POS</x:v>
      </x:c>
      <x:c r="P1762" s="5" t="str">
        <x:v>Lunch</x:v>
      </x:c>
      <x:c r="Q1762" s="48" t="n">
        <x:v>11</x:v>
      </x:c>
      <x:c r="R1762" s="5" t="n">
        <x:v>3</x:v>
      </x:c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5" t="str">
        <x:v>ORD-00082</x:v>
      </x:c>
      <x:c r="B1763" s="43" t="n">
        <x:v>46261</x:v>
      </x:c>
      <x:c r="C1763" s="5" t="str">
        <x:v>CUST-0591</x:v>
      </x:c>
      <x:c r="D1763" s="5" t="str">
        <x:v>FD006</x:v>
      </x:c>
      <x:c r="E1763" s="5" t="str">
        <x:v>Eba &amp; Egusi Soup</x:v>
      </x:c>
      <x:c r="F1763" s="5" t="str">
        <x:v>Swallow</x:v>
      </x:c>
      <x:c r="G1763" s="44" t="n">
        <x:v>3</x:v>
      </x:c>
      <x:c r="H1763" s="45" t="n">
        <x:v>2600</x:v>
      </x:c>
      <x:c r="I1763" s="46" t="n">
        <x:v>0</x:v>
      </x:c>
      <x:c r="J1763" s="47" t="n">
        <x:f>G1763*H1763*(1-I1763)</x:f>
        <x:v>7800</x:v>
      </x:c>
      <x:c r="K1763" s="47" t="n">
        <x:v>1320</x:v>
      </x:c>
      <x:c r="L1763" s="47" t="n">
        <x:f>G1763*K1763</x:f>
        <x:v>3960</x:v>
      </x:c>
      <x:c r="M1763" s="47" t="n">
        <x:f>J1763-L1763</x:f>
        <x:v>3840</x:v>
      </x:c>
      <x:c r="N1763" s="5" t="str">
        <x:v>Walk-in</x:v>
      </x:c>
      <x:c r="O1763" s="5" t="str">
        <x:v>Transfer</x:v>
      </x:c>
      <x:c r="P1763" s="5" t="str">
        <x:v>Lunch</x:v>
      </x:c>
      <x:c r="Q1763" s="48" t="n">
        <x:v>14</x:v>
      </x:c>
      <x:c r="R1763" s="5" t="n">
        <x:v>4</x:v>
      </x:c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5" t="str">
        <x:v>ORD-00104</x:v>
      </x:c>
      <x:c r="B1764" s="43" t="n">
        <x:v>46261</x:v>
      </x:c>
      <x:c r="C1764" s="5" t="str">
        <x:v>CUST-0102</x:v>
      </x:c>
      <x:c r="D1764" s="5" t="str">
        <x:v>FD005</x:v>
      </x:c>
      <x:c r="E1764" s="5" t="str">
        <x:v>Yam Porridge</x:v>
      </x:c>
      <x:c r="F1764" s="5" t="str">
        <x:v>Traditional Meals</x:v>
      </x:c>
      <x:c r="G1764" s="44" t="n">
        <x:v>4</x:v>
      </x:c>
      <x:c r="H1764" s="45" t="n">
        <x:v>2200</x:v>
      </x:c>
      <x:c r="I1764" s="46" t="n">
        <x:v>0.05</x:v>
      </x:c>
      <x:c r="J1764" s="47" t="n">
        <x:f>G1764*H1764*(1-I1764)</x:f>
        <x:v>8360</x:v>
      </x:c>
      <x:c r="K1764" s="47" t="n">
        <x:v>1050</x:v>
      </x:c>
      <x:c r="L1764" s="47" t="n">
        <x:f>G1764*K1764</x:f>
        <x:v>4200</x:v>
      </x:c>
      <x:c r="M1764" s="47" t="n">
        <x:f>J1764-L1764</x:f>
        <x:v>4160</x:v>
      </x:c>
      <x:c r="N1764" s="5" t="str">
        <x:v>Walk-in</x:v>
      </x:c>
      <x:c r="O1764" s="5" t="str">
        <x:v>POS</x:v>
      </x:c>
      <x:c r="P1764" s="5" t="str">
        <x:v>Dinner</x:v>
      </x:c>
      <x:c r="Q1764" s="48" t="n">
        <x:v>20</x:v>
      </x:c>
      <x:c r="R1764" s="5" t="n">
        <x:v>4</x:v>
      </x:c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5" t="str">
        <x:v>ORD-00421</x:v>
      </x:c>
      <x:c r="B1765" s="43" t="n">
        <x:v>46261</x:v>
      </x:c>
      <x:c r="C1765" s="5" t="str">
        <x:v>CUST-0352</x:v>
      </x:c>
      <x:c r="D1765" s="5" t="str">
        <x:v>FD004</x:v>
      </x:c>
      <x:c r="E1765" s="5" t="str">
        <x:v>Beans &amp; Plantain</x:v>
      </x:c>
      <x:c r="F1765" s="5" t="str">
        <x:v>Traditional Meals</x:v>
      </x:c>
      <x:c r="G1765" s="44" t="n">
        <x:v>3</x:v>
      </x:c>
      <x:c r="H1765" s="45" t="n">
        <x:v>2000</x:v>
      </x:c>
      <x:c r="I1765" s="46" t="n">
        <x:v>0</x:v>
      </x:c>
      <x:c r="J1765" s="47" t="n">
        <x:f>G1765*H1765*(1-I1765)</x:f>
        <x:v>6000</x:v>
      </x:c>
      <x:c r="K1765" s="47" t="n">
        <x:v>960</x:v>
      </x:c>
      <x:c r="L1765" s="47" t="n">
        <x:f>G1765*K1765</x:f>
        <x:v>2880</x:v>
      </x:c>
      <x:c r="M1765" s="47" t="n">
        <x:f>J1765-L1765</x:f>
        <x:v>3120</x:v>
      </x:c>
      <x:c r="N1765" s="5" t="str">
        <x:v>Walk-in</x:v>
      </x:c>
      <x:c r="O1765" s="5" t="str">
        <x:v>Cash</x:v>
      </x:c>
      <x:c r="P1765" s="5" t="str">
        <x:v>Lunch</x:v>
      </x:c>
      <x:c r="Q1765" s="48" t="n">
        <x:v>11</x:v>
      </x:c>
      <x:c r="R1765" s="5" t="n">
        <x:v>3</x:v>
      </x:c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5" t="str">
        <x:v>ORD-00773</x:v>
      </x:c>
      <x:c r="B1766" s="43" t="n">
        <x:v>46261</x:v>
      </x:c>
      <x:c r="C1766" s="5" t="str">
        <x:v>CUST-0407</x:v>
      </x:c>
      <x:c r="D1766" s="5" t="str">
        <x:v>FD005</x:v>
      </x:c>
      <x:c r="E1766" s="5" t="str">
        <x:v>Yam Porridge</x:v>
      </x:c>
      <x:c r="F1766" s="5" t="str">
        <x:v>Traditional Meals</x:v>
      </x:c>
      <x:c r="G1766" s="44" t="n">
        <x:v>4</x:v>
      </x:c>
      <x:c r="H1766" s="45" t="n">
        <x:v>2200</x:v>
      </x:c>
      <x:c r="I1766" s="46" t="n">
        <x:v>0</x:v>
      </x:c>
      <x:c r="J1766" s="47" t="n">
        <x:f>G1766*H1766*(1-I1766)</x:f>
        <x:v>8800</x:v>
      </x:c>
      <x:c r="K1766" s="47" t="n">
        <x:v>1050</x:v>
      </x:c>
      <x:c r="L1766" s="47" t="n">
        <x:f>G1766*K1766</x:f>
        <x:v>4200</x:v>
      </x:c>
      <x:c r="M1766" s="47" t="n">
        <x:f>J1766-L1766</x:f>
        <x:v>4600</x:v>
      </x:c>
      <x:c r="N1766" s="5" t="str">
        <x:v>Walk-in</x:v>
      </x:c>
      <x:c r="O1766" s="5" t="str">
        <x:v>Cash</x:v>
      </x:c>
      <x:c r="P1766" s="5" t="str">
        <x:v>Breakfast</x:v>
      </x:c>
      <x:c r="Q1766" s="48" t="n">
        <x:v>8</x:v>
      </x:c>
      <x:c r="R1766" s="5" t="n">
        <x:v>4</x:v>
      </x:c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5" t="str">
        <x:v>ORD-00911</x:v>
      </x:c>
      <x:c r="B1767" s="43" t="n">
        <x:v>46261</x:v>
      </x:c>
      <x:c r="C1767" s="5" t="str">
        <x:v>CUST-0544</x:v>
      </x:c>
      <x:c r="D1767" s="5" t="str">
        <x:v>FD008</x:v>
      </x:c>
      <x:c r="E1767" s="5" t="str">
        <x:v>Pounded Yam &amp; Vegetable Soup</x:v>
      </x:c>
      <x:c r="F1767" s="5" t="str">
        <x:v>Swallow</x:v>
      </x:c>
      <x:c r="G1767" s="44" t="n">
        <x:v>2</x:v>
      </x:c>
      <x:c r="H1767" s="45" t="n">
        <x:v>3200</x:v>
      </x:c>
      <x:c r="I1767" s="46" t="n">
        <x:v>0</x:v>
      </x:c>
      <x:c r="J1767" s="47" t="n">
        <x:f>G1767*H1767*(1-I1767)</x:f>
        <x:v>6400</x:v>
      </x:c>
      <x:c r="K1767" s="47" t="n">
        <x:v>1710</x:v>
      </x:c>
      <x:c r="L1767" s="47" t="n">
        <x:f>G1767*K1767</x:f>
        <x:v>3420</x:v>
      </x:c>
      <x:c r="M1767" s="47" t="n">
        <x:f>J1767-L1767</x:f>
        <x:v>2980</x:v>
      </x:c>
      <x:c r="N1767" s="5" t="str">
        <x:v>Takeaway</x:v>
      </x:c>
      <x:c r="O1767" s="5" t="str">
        <x:v>Transfer</x:v>
      </x:c>
      <x:c r="P1767" s="5" t="str">
        <x:v>Lunch</x:v>
      </x:c>
      <x:c r="Q1767" s="48" t="n">
        <x:v>14</x:v>
      </x:c>
      <x:c r="R1767" s="5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5" t="str">
        <x:v>ORD-01346</x:v>
      </x:c>
      <x:c r="B1768" s="43" t="n">
        <x:v>46261</x:v>
      </x:c>
      <x:c r="C1768" s="5" t="str">
        <x:v>CUST-0187</x:v>
      </x:c>
      <x:c r="D1768" s="5" t="str">
        <x:v>FD002</x:v>
      </x:c>
      <x:c r="E1768" s="5" t="str">
        <x:v>Jollof Rice &amp; Chicken</x:v>
      </x:c>
      <x:c r="F1768" s="5" t="str">
        <x:v>Rice Meals</x:v>
      </x:c>
      <x:c r="G1768" s="44" t="n">
        <x:v>1</x:v>
      </x:c>
      <x:c r="H1768" s="45" t="n">
        <x:v>2800</x:v>
      </x:c>
      <x:c r="I1768" s="46" t="n">
        <x:v>0</x:v>
      </x:c>
      <x:c r="J1768" s="47" t="n">
        <x:f>G1768*H1768*(1-I1768)</x:f>
        <x:v>2800</x:v>
      </x:c>
      <x:c r="K1768" s="47" t="n">
        <x:v>1450</x:v>
      </x:c>
      <x:c r="L1768" s="47" t="n">
        <x:f>G1768*K1768</x:f>
        <x:v>1450</x:v>
      </x:c>
      <x:c r="M1768" s="47" t="n">
        <x:f>J1768-L1768</x:f>
        <x:v>1350</x:v>
      </x:c>
      <x:c r="N1768" s="5" t="str">
        <x:v>Walk-in</x:v>
      </x:c>
      <x:c r="O1768" s="5" t="str">
        <x:v>Transfer</x:v>
      </x:c>
      <x:c r="P1768" s="5" t="str">
        <x:v>Lunch</x:v>
      </x:c>
      <x:c r="Q1768" s="48" t="n">
        <x:v>13</x:v>
      </x:c>
      <x:c r="R1768" s="5" t="n">
        <x:v>4</x:v>
      </x:c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5" t="str">
        <x:v>ORD-00429</x:v>
      </x:c>
      <x:c r="B1769" s="43" t="n">
        <x:v>46262</x:v>
      </x:c>
      <x:c r="C1769" s="5" t="str">
        <x:v>CUST-0087</x:v>
      </x:c>
      <x:c r="D1769" s="5" t="str">
        <x:v>FD006</x:v>
      </x:c>
      <x:c r="E1769" s="5" t="str">
        <x:v>Eba &amp; Egusi Soup</x:v>
      </x:c>
      <x:c r="F1769" s="5" t="str">
        <x:v>Swallow</x:v>
      </x:c>
      <x:c r="G1769" s="44" t="n">
        <x:v>4</x:v>
      </x:c>
      <x:c r="H1769" s="45" t="n">
        <x:v>2600</x:v>
      </x:c>
      <x:c r="I1769" s="46" t="n">
        <x:v>0</x:v>
      </x:c>
      <x:c r="J1769" s="47" t="n">
        <x:f>G1769*H1769*(1-I1769)</x:f>
        <x:v>10400</x:v>
      </x:c>
      <x:c r="K1769" s="47" t="n">
        <x:v>1320</x:v>
      </x:c>
      <x:c r="L1769" s="47" t="n">
        <x:f>G1769*K1769</x:f>
        <x:v>5280</x:v>
      </x:c>
      <x:c r="M1769" s="47" t="n">
        <x:f>J1769-L1769</x:f>
        <x:v>5120</x:v>
      </x:c>
      <x:c r="N1769" s="5" t="str">
        <x:v>Takeaway</x:v>
      </x:c>
      <x:c r="O1769" s="5" t="str">
        <x:v>POS</x:v>
      </x:c>
      <x:c r="P1769" s="5" t="str">
        <x:v>Lunch</x:v>
      </x:c>
      <x:c r="Q1769" s="48" t="n">
        <x:v>11</x:v>
      </x:c>
      <x:c r="R1769" s="5" t="n">
        <x:v>5</x:v>
      </x:c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5" t="str">
        <x:v>ORD-00455</x:v>
      </x:c>
      <x:c r="B1770" s="43" t="n">
        <x:v>46262</x:v>
      </x:c>
      <x:c r="C1770" s="5" t="str">
        <x:v>CUST-0218</x:v>
      </x:c>
      <x:c r="D1770" s="5" t="str">
        <x:v>FD002</x:v>
      </x:c>
      <x:c r="E1770" s="5" t="str">
        <x:v>Jollof Rice &amp; Chicken</x:v>
      </x:c>
      <x:c r="F1770" s="5" t="str">
        <x:v>Rice Meals</x:v>
      </x:c>
      <x:c r="G1770" s="44" t="n">
        <x:v>4</x:v>
      </x:c>
      <x:c r="H1770" s="45" t="n">
        <x:v>2800</x:v>
      </x:c>
      <x:c r="I1770" s="46" t="n">
        <x:v>0</x:v>
      </x:c>
      <x:c r="J1770" s="47" t="n">
        <x:f>G1770*H1770*(1-I1770)</x:f>
        <x:v>11200</x:v>
      </x:c>
      <x:c r="K1770" s="47" t="n">
        <x:v>1450</x:v>
      </x:c>
      <x:c r="L1770" s="47" t="n">
        <x:f>G1770*K1770</x:f>
        <x:v>5800</x:v>
      </x:c>
      <x:c r="M1770" s="47" t="n">
        <x:f>J1770-L1770</x:f>
        <x:v>5400</x:v>
      </x:c>
      <x:c r="N1770" s="5" t="str">
        <x:v>Walk-in</x:v>
      </x:c>
      <x:c r="O1770" s="5" t="str">
        <x:v>Cash</x:v>
      </x:c>
      <x:c r="P1770" s="5" t="str">
        <x:v>Lunch</x:v>
      </x:c>
      <x:c r="Q1770" s="48" t="n">
        <x:v>11</x:v>
      </x:c>
      <x:c r="R1770" s="5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5" t="str">
        <x:v>ORD-00791</x:v>
      </x:c>
      <x:c r="B1771" s="43" t="n">
        <x:v>46262</x:v>
      </x:c>
      <x:c r="C1771" s="5" t="str">
        <x:v>CUST-0415</x:v>
      </x:c>
      <x:c r="D1771" s="5" t="str">
        <x:v>FD003</x:v>
      </x:c>
      <x:c r="E1771" s="5" t="str">
        <x:v>Fried Rice &amp; Chicken</x:v>
      </x:c>
      <x:c r="F1771" s="5" t="str">
        <x:v>Rice Meals</x:v>
      </x:c>
      <x:c r="G1771" s="44" t="n">
        <x:v>3</x:v>
      </x:c>
      <x:c r="H1771" s="45" t="n">
        <x:v>3000</x:v>
      </x:c>
      <x:c r="I1771" s="46" t="n">
        <x:v>0</x:v>
      </x:c>
      <x:c r="J1771" s="47" t="n">
        <x:f>G1771*H1771*(1-I1771)</x:f>
        <x:v>9000</x:v>
      </x:c>
      <x:c r="K1771" s="47" t="n">
        <x:v>1580</x:v>
      </x:c>
      <x:c r="L1771" s="47" t="n">
        <x:f>G1771*K1771</x:f>
        <x:v>4740</x:v>
      </x:c>
      <x:c r="M1771" s="47" t="n">
        <x:f>J1771-L1771</x:f>
        <x:v>4260</x:v>
      </x:c>
      <x:c r="N1771" s="5" t="str">
        <x:v>Takeaway</x:v>
      </x:c>
      <x:c r="O1771" s="5" t="str">
        <x:v>Transfer</x:v>
      </x:c>
      <x:c r="P1771" s="5" t="str">
        <x:v>Lunch</x:v>
      </x:c>
      <x:c r="Q1771" s="48" t="n">
        <x:v>14</x:v>
      </x:c>
      <x:c r="R1771" s="5" t="n">
        <x:v>4</x:v>
      </x:c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5" t="str">
        <x:v>ORD-00955</x:v>
      </x:c>
      <x:c r="B1772" s="43" t="n">
        <x:v>46262</x:v>
      </x:c>
      <x:c r="C1772" s="5" t="str">
        <x:v>CUST-0081</x:v>
      </x:c>
      <x:c r="D1772" s="5" t="str">
        <x:v>FD002</x:v>
      </x:c>
      <x:c r="E1772" s="5" t="str">
        <x:v>Jollof Rice &amp; Chicken</x:v>
      </x:c>
      <x:c r="F1772" s="5" t="str">
        <x:v>Rice Meals</x:v>
      </x:c>
      <x:c r="G1772" s="44" t="n">
        <x:v>2</x:v>
      </x:c>
      <x:c r="H1772" s="45" t="n">
        <x:v>2800</x:v>
      </x:c>
      <x:c r="I1772" s="46" t="n">
        <x:v>0</x:v>
      </x:c>
      <x:c r="J1772" s="47" t="n">
        <x:f>G1772*H1772*(1-I1772)</x:f>
        <x:v>5600</x:v>
      </x:c>
      <x:c r="K1772" s="47" t="n">
        <x:v>1450</x:v>
      </x:c>
      <x:c r="L1772" s="47" t="n">
        <x:f>G1772*K1772</x:f>
        <x:v>2900</x:v>
      </x:c>
      <x:c r="M1772" s="47" t="n">
        <x:f>J1772-L1772</x:f>
        <x:v>2700</x:v>
      </x:c>
      <x:c r="N1772" s="5" t="str">
        <x:v>Takeaway</x:v>
      </x:c>
      <x:c r="O1772" s="5" t="str">
        <x:v>Cash</x:v>
      </x:c>
      <x:c r="P1772" s="5" t="str">
        <x:v>Lunch</x:v>
      </x:c>
      <x:c r="Q1772" s="48" t="n">
        <x:v>13</x:v>
      </x:c>
      <x:c r="R1772" s="5" t="n">
        <x:v>5</x:v>
      </x:c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5" t="str">
        <x:v>ORD-01426</x:v>
      </x:c>
      <x:c r="B1773" s="43" t="n">
        <x:v>46262</x:v>
      </x:c>
      <x:c r="C1773" s="5" t="str">
        <x:v>CUST-0317</x:v>
      </x:c>
      <x:c r="D1773" s="5" t="str">
        <x:v>FD004</x:v>
      </x:c>
      <x:c r="E1773" s="5" t="str">
        <x:v>Beans &amp; Plantain</x:v>
      </x:c>
      <x:c r="F1773" s="5" t="str">
        <x:v>Traditional Meals</x:v>
      </x:c>
      <x:c r="G1773" s="44" t="n">
        <x:v>2</x:v>
      </x:c>
      <x:c r="H1773" s="45" t="n">
        <x:v>2000</x:v>
      </x:c>
      <x:c r="I1773" s="46" t="n">
        <x:v>0</x:v>
      </x:c>
      <x:c r="J1773" s="47" t="n">
        <x:f>G1773*H1773*(1-I1773)</x:f>
        <x:v>4000</x:v>
      </x:c>
      <x:c r="K1773" s="47" t="n">
        <x:v>960</x:v>
      </x:c>
      <x:c r="L1773" s="47" t="n">
        <x:f>G1773*K1773</x:f>
        <x:v>1920</x:v>
      </x:c>
      <x:c r="M1773" s="47" t="n">
        <x:f>J1773-L1773</x:f>
        <x:v>2080</x:v>
      </x:c>
      <x:c r="N1773" s="5" t="str">
        <x:v>Delivery</x:v>
      </x:c>
      <x:c r="O1773" s="5" t="str">
        <x:v>POS</x:v>
      </x:c>
      <x:c r="P1773" s="5" t="str">
        <x:v>Lunch</x:v>
      </x:c>
      <x:c r="Q1773" s="48" t="n">
        <x:v>14</x:v>
      </x:c>
      <x:c r="R1773" s="5" t="n">
        <x:v>4</x:v>
      </x:c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5" t="str">
        <x:v>ORD-01428</x:v>
      </x:c>
      <x:c r="B1774" s="43" t="n">
        <x:v>46262</x:v>
      </x:c>
      <x:c r="C1774" s="5" t="str">
        <x:v>CUST-0587</x:v>
      </x:c>
      <x:c r="D1774" s="5" t="str">
        <x:v>FD007</x:v>
      </x:c>
      <x:c r="E1774" s="5" t="str">
        <x:v>Amala &amp; Ewedu</x:v>
      </x:c>
      <x:c r="F1774" s="5" t="str">
        <x:v>Swallow</x:v>
      </x:c>
      <x:c r="G1774" s="44" t="n">
        <x:v>2</x:v>
      </x:c>
      <x:c r="H1774" s="45" t="n">
        <x:v>2500</x:v>
      </x:c>
      <x:c r="I1774" s="46" t="n">
        <x:v>0</x:v>
      </x:c>
      <x:c r="J1774" s="47" t="n">
        <x:f>G1774*H1774*(1-I1774)</x:f>
        <x:v>5000</x:v>
      </x:c>
      <x:c r="K1774" s="47" t="n">
        <x:v>1250</x:v>
      </x:c>
      <x:c r="L1774" s="47" t="n">
        <x:f>G1774*K1774</x:f>
        <x:v>2500</x:v>
      </x:c>
      <x:c r="M1774" s="47" t="n">
        <x:f>J1774-L1774</x:f>
        <x:v>2500</x:v>
      </x:c>
      <x:c r="N1774" s="5" t="str">
        <x:v>Walk-in</x:v>
      </x:c>
      <x:c r="O1774" s="5" t="str">
        <x:v>Transfer</x:v>
      </x:c>
      <x:c r="P1774" s="5" t="str">
        <x:v>Lunch</x:v>
      </x:c>
      <x:c r="Q1774" s="48" t="n">
        <x:v>12</x:v>
      </x:c>
      <x:c r="R1774" s="5" t="n">
        <x:v>5</x:v>
      </x:c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5" t="str">
        <x:v>ORD-01586</x:v>
      </x:c>
      <x:c r="B1775" s="43" t="n">
        <x:v>46262</x:v>
      </x:c>
      <x:c r="C1775" s="5" t="str">
        <x:v>CUST-0500</x:v>
      </x:c>
      <x:c r="D1775" s="5" t="str">
        <x:v>FD004</x:v>
      </x:c>
      <x:c r="E1775" s="5" t="str">
        <x:v>Beans &amp; Plantain</x:v>
      </x:c>
      <x:c r="F1775" s="5" t="str">
        <x:v>Traditional Meals</x:v>
      </x:c>
      <x:c r="G1775" s="44" t="n">
        <x:v>2</x:v>
      </x:c>
      <x:c r="H1775" s="45" t="n">
        <x:v>2000</x:v>
      </x:c>
      <x:c r="I1775" s="46" t="n">
        <x:v>0</x:v>
      </x:c>
      <x:c r="J1775" s="47" t="n">
        <x:f>G1775*H1775*(1-I1775)</x:f>
        <x:v>4000</x:v>
      </x:c>
      <x:c r="K1775" s="47" t="n">
        <x:v>960</x:v>
      </x:c>
      <x:c r="L1775" s="47" t="n">
        <x:f>G1775*K1775</x:f>
        <x:v>1920</x:v>
      </x:c>
      <x:c r="M1775" s="47" t="n">
        <x:f>J1775-L1775</x:f>
        <x:v>2080</x:v>
      </x:c>
      <x:c r="N1775" s="5" t="str">
        <x:v>Takeaway</x:v>
      </x:c>
      <x:c r="O1775" s="5" t="str">
        <x:v>POS</x:v>
      </x:c>
      <x:c r="P1775" s="5" t="str">
        <x:v>Lunch</x:v>
      </x:c>
      <x:c r="Q1775" s="48" t="n">
        <x:v>15</x:v>
      </x:c>
      <x:c r="R1775" s="5" t="n">
        <x:v>4</x:v>
      </x:c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5" t="str">
        <x:v>ORD-01757</x:v>
      </x:c>
      <x:c r="B1776" s="43" t="n">
        <x:v>46262</x:v>
      </x:c>
      <x:c r="C1776" s="5" t="str">
        <x:v>CUST-0163</x:v>
      </x:c>
      <x:c r="D1776" s="5" t="str">
        <x:v>FD001</x:v>
      </x:c>
      <x:c r="E1776" s="5" t="str">
        <x:v>White Rice &amp; Stew</x:v>
      </x:c>
      <x:c r="F1776" s="5" t="str">
        <x:v>Rice Meals</x:v>
      </x:c>
      <x:c r="G1776" s="44" t="n">
        <x:v>4</x:v>
      </x:c>
      <x:c r="H1776" s="45" t="n">
        <x:v>1800</x:v>
      </x:c>
      <x:c r="I1776" s="46" t="n">
        <x:v>0</x:v>
      </x:c>
      <x:c r="J1776" s="47" t="n">
        <x:f>G1776*H1776*(1-I1776)</x:f>
        <x:v>7200</x:v>
      </x:c>
      <x:c r="K1776" s="47" t="n">
        <x:v>820</x:v>
      </x:c>
      <x:c r="L1776" s="47" t="n">
        <x:f>G1776*K1776</x:f>
        <x:v>3280</x:v>
      </x:c>
      <x:c r="M1776" s="47" t="n">
        <x:f>J1776-L1776</x:f>
        <x:v>3920</x:v>
      </x:c>
      <x:c r="N1776" s="5" t="str">
        <x:v>Delivery</x:v>
      </x:c>
      <x:c r="O1776" s="5" t="str">
        <x:v>POS</x:v>
      </x:c>
      <x:c r="P1776" s="5" t="str">
        <x:v>Dinner</x:v>
      </x:c>
      <x:c r="Q1776" s="48" t="n">
        <x:v>16</x:v>
      </x:c>
      <x:c r="R1776" s="5" t="n">
        <x:v>4</x:v>
      </x:c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5" t="str">
        <x:v>ORD-00268</x:v>
      </x:c>
      <x:c r="B1777" s="43" t="n">
        <x:v>46263</x:v>
      </x:c>
      <x:c r="C1777" s="5" t="str">
        <x:v>CUST-0034</x:v>
      </x:c>
      <x:c r="D1777" s="5" t="str">
        <x:v>FD005</x:v>
      </x:c>
      <x:c r="E1777" s="5" t="str">
        <x:v>Yam Porridge</x:v>
      </x:c>
      <x:c r="F1777" s="5" t="str">
        <x:v>Traditional Meals</x:v>
      </x:c>
      <x:c r="G1777" s="44" t="n">
        <x:v>2</x:v>
      </x:c>
      <x:c r="H1777" s="45" t="n">
        <x:v>2200</x:v>
      </x:c>
      <x:c r="I1777" s="46" t="n">
        <x:v>0</x:v>
      </x:c>
      <x:c r="J1777" s="47" t="n">
        <x:f>G1777*H1777*(1-I1777)</x:f>
        <x:v>4400</x:v>
      </x:c>
      <x:c r="K1777" s="47" t="n">
        <x:v>1050</x:v>
      </x:c>
      <x:c r="L1777" s="47" t="n">
        <x:f>G1777*K1777</x:f>
        <x:v>2100</x:v>
      </x:c>
      <x:c r="M1777" s="47" t="n">
        <x:f>J1777-L1777</x:f>
        <x:v>2300</x:v>
      </x:c>
      <x:c r="N1777" s="5" t="str">
        <x:v>Delivery</x:v>
      </x:c>
      <x:c r="O1777" s="5" t="str">
        <x:v>Transfer</x:v>
      </x:c>
      <x:c r="P1777" s="5" t="str">
        <x:v>Lunch</x:v>
      </x:c>
      <x:c r="Q1777" s="48" t="n">
        <x:v>13</x:v>
      </x:c>
      <x:c r="R1777" s="5" t="n">
        <x:v>4</x:v>
      </x:c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5" t="str">
        <x:v>ORD-00404</x:v>
      </x:c>
      <x:c r="B1778" s="43" t="n">
        <x:v>46263</x:v>
      </x:c>
      <x:c r="C1778" s="5" t="str">
        <x:v>CUST-0311</x:v>
      </x:c>
      <x:c r="D1778" s="5" t="str">
        <x:v>FD008</x:v>
      </x:c>
      <x:c r="E1778" s="5" t="str">
        <x:v>Pounded Yam &amp; Vegetable Soup</x:v>
      </x:c>
      <x:c r="F1778" s="5" t="str">
        <x:v>Swallow</x:v>
      </x:c>
      <x:c r="G1778" s="44" t="n">
        <x:v>4</x:v>
      </x:c>
      <x:c r="H1778" s="45" t="n">
        <x:v>3200</x:v>
      </x:c>
      <x:c r="I1778" s="46" t="n">
        <x:v>0</x:v>
      </x:c>
      <x:c r="J1778" s="47" t="n">
        <x:f>G1778*H1778*(1-I1778)</x:f>
        <x:v>12800</x:v>
      </x:c>
      <x:c r="K1778" s="47" t="n">
        <x:v>1710</x:v>
      </x:c>
      <x:c r="L1778" s="47" t="n">
        <x:f>G1778*K1778</x:f>
        <x:v>6840</x:v>
      </x:c>
      <x:c r="M1778" s="47" t="n">
        <x:f>J1778-L1778</x:f>
        <x:v>5960</x:v>
      </x:c>
      <x:c r="N1778" s="5" t="str">
        <x:v>Walk-in</x:v>
      </x:c>
      <x:c r="O1778" s="5" t="str">
        <x:v>Cash</x:v>
      </x:c>
      <x:c r="P1778" s="5" t="str">
        <x:v>Dinner</x:v>
      </x:c>
      <x:c r="Q1778" s="48" t="n">
        <x:v>17</x:v>
      </x:c>
      <x:c r="R1778" s="5" t="n">
        <x:v>4</x:v>
      </x:c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5" t="str">
        <x:v>ORD-00514</x:v>
      </x:c>
      <x:c r="B1779" s="43" t="n">
        <x:v>46263</x:v>
      </x:c>
      <x:c r="C1779" s="5" t="str">
        <x:v>CUST-0356</x:v>
      </x:c>
      <x:c r="D1779" s="5" t="str">
        <x:v>FD006</x:v>
      </x:c>
      <x:c r="E1779" s="5" t="str">
        <x:v>Eba &amp; Egusi Soup</x:v>
      </x:c>
      <x:c r="F1779" s="5" t="str">
        <x:v>Swallow</x:v>
      </x:c>
      <x:c r="G1779" s="44" t="n">
        <x:v>3</x:v>
      </x:c>
      <x:c r="H1779" s="45" t="n">
        <x:v>2600</x:v>
      </x:c>
      <x:c r="I1779" s="46" t="n">
        <x:v>0</x:v>
      </x:c>
      <x:c r="J1779" s="47" t="n">
        <x:f>G1779*H1779*(1-I1779)</x:f>
        <x:v>7800</x:v>
      </x:c>
      <x:c r="K1779" s="47" t="n">
        <x:v>1320</x:v>
      </x:c>
      <x:c r="L1779" s="47" t="n">
        <x:f>G1779*K1779</x:f>
        <x:v>3960</x:v>
      </x:c>
      <x:c r="M1779" s="47" t="n">
        <x:f>J1779-L1779</x:f>
        <x:v>3840</x:v>
      </x:c>
      <x:c r="N1779" s="5" t="str">
        <x:v>Walk-in</x:v>
      </x:c>
      <x:c r="O1779" s="5" t="str">
        <x:v>POS</x:v>
      </x:c>
      <x:c r="P1779" s="5" t="str">
        <x:v>Lunch</x:v>
      </x:c>
      <x:c r="Q1779" s="48" t="n">
        <x:v>14</x:v>
      </x:c>
      <x:c r="R1779" s="5" t="n">
        <x:v>5</x:v>
      </x:c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5" t="str">
        <x:v>ORD-00529</x:v>
      </x:c>
      <x:c r="B1780" s="43" t="n">
        <x:v>46263</x:v>
      </x:c>
      <x:c r="C1780" s="5" t="str">
        <x:v>CUST-0216</x:v>
      </x:c>
      <x:c r="D1780" s="5" t="str">
        <x:v>FD008</x:v>
      </x:c>
      <x:c r="E1780" s="5" t="str">
        <x:v>Pounded Yam &amp; Vegetable Soup</x:v>
      </x:c>
      <x:c r="F1780" s="5" t="str">
        <x:v>Swallow</x:v>
      </x:c>
      <x:c r="G1780" s="44" t="n">
        <x:v>2</x:v>
      </x:c>
      <x:c r="H1780" s="45" t="n">
        <x:v>3200</x:v>
      </x:c>
      <x:c r="I1780" s="46" t="n">
        <x:v>0</x:v>
      </x:c>
      <x:c r="J1780" s="47" t="n">
        <x:f>G1780*H1780*(1-I1780)</x:f>
        <x:v>6400</x:v>
      </x:c>
      <x:c r="K1780" s="47" t="n">
        <x:v>1710</x:v>
      </x:c>
      <x:c r="L1780" s="47" t="n">
        <x:f>G1780*K1780</x:f>
        <x:v>3420</x:v>
      </x:c>
      <x:c r="M1780" s="47" t="n">
        <x:f>J1780-L1780</x:f>
        <x:v>2980</x:v>
      </x:c>
      <x:c r="N1780" s="5" t="str">
        <x:v>Takeaway</x:v>
      </x:c>
      <x:c r="O1780" s="5" t="str">
        <x:v>POS</x:v>
      </x:c>
      <x:c r="P1780" s="5" t="str">
        <x:v>Breakfast</x:v>
      </x:c>
      <x:c r="Q1780" s="48" t="n">
        <x:v>8</x:v>
      </x:c>
      <x:c r="R1780" s="5" t="n">
        <x:v>5</x:v>
      </x:c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5" t="str">
        <x:v>ORD-01002</x:v>
      </x:c>
      <x:c r="B1781" s="43" t="n">
        <x:v>46263</x:v>
      </x:c>
      <x:c r="C1781" s="5" t="str">
        <x:v>CUST-0401</x:v>
      </x:c>
      <x:c r="D1781" s="5" t="str">
        <x:v>FD010</x:v>
      </x:c>
      <x:c r="E1781" s="5" t="str">
        <x:v>Soft Drink</x:v>
      </x:c>
      <x:c r="F1781" s="5" t="str">
        <x:v>Beverages</x:v>
      </x:c>
      <x:c r="G1781" s="44" t="n">
        <x:v>1</x:v>
      </x:c>
      <x:c r="H1781" s="45" t="n">
        <x:v>600</x:v>
      </x:c>
      <x:c r="I1781" s="46" t="n">
        <x:v>0</x:v>
      </x:c>
      <x:c r="J1781" s="47" t="n">
        <x:f>G1781*H1781*(1-I1781)</x:f>
        <x:v>600</x:v>
      </x:c>
      <x:c r="K1781" s="47" t="n">
        <x:v>280</x:v>
      </x:c>
      <x:c r="L1781" s="47" t="n">
        <x:f>G1781*K1781</x:f>
        <x:v>280</x:v>
      </x:c>
      <x:c r="M1781" s="47" t="n">
        <x:f>J1781-L1781</x:f>
        <x:v>320</x:v>
      </x:c>
      <x:c r="N1781" s="5" t="str">
        <x:v>Delivery</x:v>
      </x:c>
      <x:c r="O1781" s="5" t="str">
        <x:v>Cash</x:v>
      </x:c>
      <x:c r="P1781" s="5" t="str">
        <x:v>Lunch</x:v>
      </x:c>
      <x:c r="Q1781" s="48" t="n">
        <x:v>15</x:v>
      </x:c>
      <x:c r="R1781" s="5" t="n">
        <x:v>3</x:v>
      </x:c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5" t="str">
        <x:v>ORD-01021</x:v>
      </x:c>
      <x:c r="B1782" s="43" t="n">
        <x:v>46263</x:v>
      </x:c>
      <x:c r="C1782" s="5" t="str">
        <x:v>CUST-0241</x:v>
      </x:c>
      <x:c r="D1782" s="5" t="str">
        <x:v>FD011</x:v>
      </x:c>
      <x:c r="E1782" s="5" t="str">
        <x:v>Bottled Water</x:v>
      </x:c>
      <x:c r="F1782" s="5" t="str">
        <x:v>Beverages</x:v>
      </x:c>
      <x:c r="G1782" s="44" t="n">
        <x:v>1</x:v>
      </x:c>
      <x:c r="H1782" s="45" t="n">
        <x:v>300</x:v>
      </x:c>
      <x:c r="I1782" s="46" t="n">
        <x:v>0</x:v>
      </x:c>
      <x:c r="J1782" s="47" t="n">
        <x:f>G1782*H1782*(1-I1782)</x:f>
        <x:v>300</x:v>
      </x:c>
      <x:c r="K1782" s="47" t="n">
        <x:v>120</x:v>
      </x:c>
      <x:c r="L1782" s="47" t="n">
        <x:f>G1782*K1782</x:f>
        <x:v>120</x:v>
      </x:c>
      <x:c r="M1782" s="47" t="n">
        <x:f>J1782-L1782</x:f>
        <x:v>180</x:v>
      </x:c>
      <x:c r="N1782" s="5" t="str">
        <x:v>Walk-in</x:v>
      </x:c>
      <x:c r="O1782" s="5" t="str">
        <x:v>Cash</x:v>
      </x:c>
      <x:c r="P1782" s="5" t="str">
        <x:v>Dinner</x:v>
      </x:c>
      <x:c r="Q1782" s="48" t="n">
        <x:v>18</x:v>
      </x:c>
      <x:c r="R1782" s="5" t="n">
        <x:v>5</x:v>
      </x:c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5" t="str">
        <x:v>ORD-01270</x:v>
      </x:c>
      <x:c r="B1783" s="43" t="n">
        <x:v>46263</x:v>
      </x:c>
      <x:c r="C1783" s="5" t="str">
        <x:v>CUST-0068</x:v>
      </x:c>
      <x:c r="D1783" s="5" t="str">
        <x:v>FD002</x:v>
      </x:c>
      <x:c r="E1783" s="5" t="str">
        <x:v>Jollof Rice &amp; Chicken</x:v>
      </x:c>
      <x:c r="F1783" s="5" t="str">
        <x:v>Rice Meals</x:v>
      </x:c>
      <x:c r="G1783" s="44" t="n">
        <x:v>3</x:v>
      </x:c>
      <x:c r="H1783" s="45" t="n">
        <x:v>2800</x:v>
      </x:c>
      <x:c r="I1783" s="46" t="n">
        <x:v>0</x:v>
      </x:c>
      <x:c r="J1783" s="47" t="n">
        <x:f>G1783*H1783*(1-I1783)</x:f>
        <x:v>8400</x:v>
      </x:c>
      <x:c r="K1783" s="47" t="n">
        <x:v>1450</x:v>
      </x:c>
      <x:c r="L1783" s="47" t="n">
        <x:f>G1783*K1783</x:f>
        <x:v>4350</x:v>
      </x:c>
      <x:c r="M1783" s="47" t="n">
        <x:f>J1783-L1783</x:f>
        <x:v>4050</x:v>
      </x:c>
      <x:c r="N1783" s="5" t="str">
        <x:v>Walk-in</x:v>
      </x:c>
      <x:c r="O1783" s="5" t="str">
        <x:v>POS</x:v>
      </x:c>
      <x:c r="P1783" s="5" t="str">
        <x:v>Breakfast</x:v>
      </x:c>
      <x:c r="Q1783" s="48" t="n">
        <x:v>10</x:v>
      </x:c>
      <x:c r="R1783" s="5" t="n">
        <x:v>5</x:v>
      </x:c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5" t="str">
        <x:v>ORD-01348</x:v>
      </x:c>
      <x:c r="B1784" s="43" t="n">
        <x:v>46263</x:v>
      </x:c>
      <x:c r="C1784" s="5" t="str">
        <x:v>CUST-0048</x:v>
      </x:c>
      <x:c r="D1784" s="5" t="str">
        <x:v>FD006</x:v>
      </x:c>
      <x:c r="E1784" s="5" t="str">
        <x:v>Eba &amp; Egusi Soup</x:v>
      </x:c>
      <x:c r="F1784" s="5" t="str">
        <x:v>Swallow</x:v>
      </x:c>
      <x:c r="G1784" s="44" t="n">
        <x:v>4</x:v>
      </x:c>
      <x:c r="H1784" s="45" t="n">
        <x:v>2600</x:v>
      </x:c>
      <x:c r="I1784" s="46" t="n">
        <x:v>0</x:v>
      </x:c>
      <x:c r="J1784" s="47" t="n">
        <x:f>G1784*H1784*(1-I1784)</x:f>
        <x:v>10400</x:v>
      </x:c>
      <x:c r="K1784" s="47" t="n">
        <x:v>1320</x:v>
      </x:c>
      <x:c r="L1784" s="47" t="n">
        <x:f>G1784*K1784</x:f>
        <x:v>5280</x:v>
      </x:c>
      <x:c r="M1784" s="47" t="n">
        <x:f>J1784-L1784</x:f>
        <x:v>5120</x:v>
      </x:c>
      <x:c r="N1784" s="5" t="str">
        <x:v>Delivery</x:v>
      </x:c>
      <x:c r="O1784" s="5" t="str">
        <x:v>Cash</x:v>
      </x:c>
      <x:c r="P1784" s="5" t="str">
        <x:v>Breakfast</x:v>
      </x:c>
      <x:c r="Q1784" s="48" t="n">
        <x:v>9</x:v>
      </x:c>
      <x:c r="R1784" s="5" t="n">
        <x:v>4</x:v>
      </x:c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5" t="str">
        <x:v>ORD-01672</x:v>
      </x:c>
      <x:c r="B1785" s="43" t="n">
        <x:v>46263</x:v>
      </x:c>
      <x:c r="C1785" s="5" t="str">
        <x:v>CUST-0435</x:v>
      </x:c>
      <x:c r="D1785" s="5" t="str">
        <x:v>FD009</x:v>
      </x:c>
      <x:c r="E1785" s="5" t="str">
        <x:v>Moi Moi</x:v>
      </x:c>
      <x:c r="F1785" s="5" t="str">
        <x:v>Sides</x:v>
      </x:c>
      <x:c r="G1785" s="44" t="n">
        <x:v>4</x:v>
      </x:c>
      <x:c r="H1785" s="45" t="n">
        <x:v>900</x:v>
      </x:c>
      <x:c r="I1785" s="46" t="n">
        <x:v>0</x:v>
      </x:c>
      <x:c r="J1785" s="47" t="n">
        <x:f>G1785*H1785*(1-I1785)</x:f>
        <x:v>3600</x:v>
      </x:c>
      <x:c r="K1785" s="47" t="n">
        <x:v>380</x:v>
      </x:c>
      <x:c r="L1785" s="47" t="n">
        <x:f>G1785*K1785</x:f>
        <x:v>1520</x:v>
      </x:c>
      <x:c r="M1785" s="47" t="n">
        <x:f>J1785-L1785</x:f>
        <x:v>2080</x:v>
      </x:c>
      <x:c r="N1785" s="5" t="str">
        <x:v>Walk-in</x:v>
      </x:c>
      <x:c r="O1785" s="5" t="str">
        <x:v>Transfer</x:v>
      </x:c>
      <x:c r="P1785" s="5" t="str">
        <x:v>Breakfast</x:v>
      </x:c>
      <x:c r="Q1785" s="48" t="n">
        <x:v>9</x:v>
      </x:c>
      <x:c r="R1785" s="5" t="n">
        <x:v>5</x:v>
      </x:c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5" t="str">
        <x:v>ORD-01246</x:v>
      </x:c>
      <x:c r="B1786" s="43" t="n">
        <x:v>46264</x:v>
      </x:c>
      <x:c r="C1786" s="5" t="str">
        <x:v>CUST-0093</x:v>
      </x:c>
      <x:c r="D1786" s="5" t="str">
        <x:v>FD011</x:v>
      </x:c>
      <x:c r="E1786" s="5" t="str">
        <x:v>Bottled Water</x:v>
      </x:c>
      <x:c r="F1786" s="5" t="str">
        <x:v>Beverages</x:v>
      </x:c>
      <x:c r="G1786" s="44" t="n">
        <x:v>3</x:v>
      </x:c>
      <x:c r="H1786" s="45" t="n">
        <x:v>300</x:v>
      </x:c>
      <x:c r="I1786" s="46" t="n">
        <x:v>0</x:v>
      </x:c>
      <x:c r="J1786" s="47" t="n">
        <x:f>G1786*H1786*(1-I1786)</x:f>
        <x:v>900</x:v>
      </x:c>
      <x:c r="K1786" s="47" t="n">
        <x:v>120</x:v>
      </x:c>
      <x:c r="L1786" s="47" t="n">
        <x:f>G1786*K1786</x:f>
        <x:v>360</x:v>
      </x:c>
      <x:c r="M1786" s="47" t="n">
        <x:f>J1786-L1786</x:f>
        <x:v>540</x:v>
      </x:c>
      <x:c r="N1786" s="5" t="str">
        <x:v>Takeaway</x:v>
      </x:c>
      <x:c r="O1786" s="5" t="str">
        <x:v>Transfer</x:v>
      </x:c>
      <x:c r="P1786" s="5" t="str">
        <x:v>Lunch</x:v>
      </x:c>
      <x:c r="Q1786" s="48" t="n">
        <x:v>11</x:v>
      </x:c>
      <x:c r="R1786" s="5" t="n">
        <x:v>4</x:v>
      </x:c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5" t="str">
        <x:v>ORD-01398</x:v>
      </x:c>
      <x:c r="B1787" s="43" t="n">
        <x:v>46264</x:v>
      </x:c>
      <x:c r="C1787" s="5" t="str">
        <x:v>CUST-0200</x:v>
      </x:c>
      <x:c r="D1787" s="5" t="str">
        <x:v>FD001</x:v>
      </x:c>
      <x:c r="E1787" s="5" t="str">
        <x:v>White Rice &amp; Stew</x:v>
      </x:c>
      <x:c r="F1787" s="5" t="str">
        <x:v>Rice Meals</x:v>
      </x:c>
      <x:c r="G1787" s="44" t="n">
        <x:v>2</x:v>
      </x:c>
      <x:c r="H1787" s="45" t="n">
        <x:v>1800</x:v>
      </x:c>
      <x:c r="I1787" s="46" t="n">
        <x:v>0</x:v>
      </x:c>
      <x:c r="J1787" s="47" t="n">
        <x:f>G1787*H1787*(1-I1787)</x:f>
        <x:v>3600</x:v>
      </x:c>
      <x:c r="K1787" s="47" t="n">
        <x:v>820</x:v>
      </x:c>
      <x:c r="L1787" s="47" t="n">
        <x:f>G1787*K1787</x:f>
        <x:v>1640</x:v>
      </x:c>
      <x:c r="M1787" s="47" t="n">
        <x:f>J1787-L1787</x:f>
        <x:v>1960</x:v>
      </x:c>
      <x:c r="N1787" s="5" t="str">
        <x:v>Takeaway</x:v>
      </x:c>
      <x:c r="O1787" s="5" t="str">
        <x:v>Transfer</x:v>
      </x:c>
      <x:c r="P1787" s="5" t="str">
        <x:v>Lunch</x:v>
      </x:c>
      <x:c r="Q1787" s="48" t="n">
        <x:v>11</x:v>
      </x:c>
      <x:c r="R1787" s="5" t="n">
        <x:v>5</x:v>
      </x:c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5" t="str">
        <x:v>ORD-01459</x:v>
      </x:c>
      <x:c r="B1788" s="43" t="n">
        <x:v>46264</x:v>
      </x:c>
      <x:c r="C1788" s="5" t="str">
        <x:v>CUST-0611</x:v>
      </x:c>
      <x:c r="D1788" s="5" t="str">
        <x:v>FD004</x:v>
      </x:c>
      <x:c r="E1788" s="5" t="str">
        <x:v>Beans &amp; Plantain</x:v>
      </x:c>
      <x:c r="F1788" s="5" t="str">
        <x:v>Traditional Meals</x:v>
      </x:c>
      <x:c r="G1788" s="44" t="n">
        <x:v>4</x:v>
      </x:c>
      <x:c r="H1788" s="45" t="n">
        <x:v>2000</x:v>
      </x:c>
      <x:c r="I1788" s="46" t="n">
        <x:v>0</x:v>
      </x:c>
      <x:c r="J1788" s="47" t="n">
        <x:f>G1788*H1788*(1-I1788)</x:f>
        <x:v>8000</x:v>
      </x:c>
      <x:c r="K1788" s="47" t="n">
        <x:v>960</x:v>
      </x:c>
      <x:c r="L1788" s="47" t="n">
        <x:f>G1788*K1788</x:f>
        <x:v>3840</x:v>
      </x:c>
      <x:c r="M1788" s="47" t="n">
        <x:f>J1788-L1788</x:f>
        <x:v>4160</x:v>
      </x:c>
      <x:c r="N1788" s="5" t="str">
        <x:v>Walk-in</x:v>
      </x:c>
      <x:c r="O1788" s="5" t="str">
        <x:v>POS</x:v>
      </x:c>
      <x:c r="P1788" s="5" t="str">
        <x:v>Lunch</x:v>
      </x:c>
      <x:c r="Q1788" s="48" t="n">
        <x:v>15</x:v>
      </x:c>
      <x:c r="R1788" s="5" t="n">
        <x:v>5</x:v>
      </x:c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5" t="str">
        <x:v>ORD-00074</x:v>
      </x:c>
      <x:c r="B1789" s="43" t="n">
        <x:v>46265</x:v>
      </x:c>
      <x:c r="C1789" s="5" t="str">
        <x:v>CUST-0597</x:v>
      </x:c>
      <x:c r="D1789" s="5" t="str">
        <x:v>FD010</x:v>
      </x:c>
      <x:c r="E1789" s="5" t="str">
        <x:v>Soft Drink</x:v>
      </x:c>
      <x:c r="F1789" s="5" t="str">
        <x:v>Beverages</x:v>
      </x:c>
      <x:c r="G1789" s="44" t="n">
        <x:v>3</x:v>
      </x:c>
      <x:c r="H1789" s="45" t="n">
        <x:v>600</x:v>
      </x:c>
      <x:c r="I1789" s="46" t="n">
        <x:v>0</x:v>
      </x:c>
      <x:c r="J1789" s="47" t="n">
        <x:f>G1789*H1789*(1-I1789)</x:f>
        <x:v>1800</x:v>
      </x:c>
      <x:c r="K1789" s="47" t="n">
        <x:v>280</x:v>
      </x:c>
      <x:c r="L1789" s="47" t="n">
        <x:f>G1789*K1789</x:f>
        <x:v>840</x:v>
      </x:c>
      <x:c r="M1789" s="47" t="n">
        <x:f>J1789-L1789</x:f>
        <x:v>960</x:v>
      </x:c>
      <x:c r="N1789" s="5" t="str">
        <x:v>Takeaway</x:v>
      </x:c>
      <x:c r="O1789" s="5" t="str">
        <x:v>Transfer</x:v>
      </x:c>
      <x:c r="P1789" s="5" t="str">
        <x:v>Lunch</x:v>
      </x:c>
      <x:c r="Q1789" s="48" t="n">
        <x:v>13</x:v>
      </x:c>
      <x:c r="R1789" s="5" t="n">
        <x:v>4</x:v>
      </x:c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5" t="str">
        <x:v>ORD-00207</x:v>
      </x:c>
      <x:c r="B1790" s="43" t="n">
        <x:v>46265</x:v>
      </x:c>
      <x:c r="C1790" s="5" t="str">
        <x:v>CUST-0642</x:v>
      </x:c>
      <x:c r="D1790" s="5" t="str">
        <x:v>FD004</x:v>
      </x:c>
      <x:c r="E1790" s="5" t="str">
        <x:v>Beans &amp; Plantain</x:v>
      </x:c>
      <x:c r="F1790" s="5" t="str">
        <x:v>Traditional Meals</x:v>
      </x:c>
      <x:c r="G1790" s="44" t="n">
        <x:v>4</x:v>
      </x:c>
      <x:c r="H1790" s="45" t="n">
        <x:v>2000</x:v>
      </x:c>
      <x:c r="I1790" s="46" t="n">
        <x:v>0</x:v>
      </x:c>
      <x:c r="J1790" s="47" t="n">
        <x:f>G1790*H1790*(1-I1790)</x:f>
        <x:v>8000</x:v>
      </x:c>
      <x:c r="K1790" s="47" t="n">
        <x:v>960</x:v>
      </x:c>
      <x:c r="L1790" s="47" t="n">
        <x:f>G1790*K1790</x:f>
        <x:v>3840</x:v>
      </x:c>
      <x:c r="M1790" s="47" t="n">
        <x:f>J1790-L1790</x:f>
        <x:v>4160</x:v>
      </x:c>
      <x:c r="N1790" s="5" t="str">
        <x:v>Walk-in</x:v>
      </x:c>
      <x:c r="O1790" s="5" t="str">
        <x:v>Cash</x:v>
      </x:c>
      <x:c r="P1790" s="5" t="str">
        <x:v>Breakfast</x:v>
      </x:c>
      <x:c r="Q1790" s="48" t="n">
        <x:v>9</x:v>
      </x:c>
      <x:c r="R1790" s="5" t="n">
        <x:v>4</x:v>
      </x:c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5" t="str">
        <x:v>ORD-00226</x:v>
      </x:c>
      <x:c r="B1791" s="43" t="n">
        <x:v>46265</x:v>
      </x:c>
      <x:c r="C1791" s="5" t="str">
        <x:v>CUST-0195</x:v>
      </x:c>
      <x:c r="D1791" s="5" t="str">
        <x:v>FD006</x:v>
      </x:c>
      <x:c r="E1791" s="5" t="str">
        <x:v>Eba &amp; Egusi Soup</x:v>
      </x:c>
      <x:c r="F1791" s="5" t="str">
        <x:v>Swallow</x:v>
      </x:c>
      <x:c r="G1791" s="44" t="n">
        <x:v>2</x:v>
      </x:c>
      <x:c r="H1791" s="45" t="n">
        <x:v>2600</x:v>
      </x:c>
      <x:c r="I1791" s="46" t="n">
        <x:v>0.1</x:v>
      </x:c>
      <x:c r="J1791" s="47" t="n">
        <x:f>G1791*H1791*(1-I1791)</x:f>
        <x:v>4680</x:v>
      </x:c>
      <x:c r="K1791" s="47" t="n">
        <x:v>1320</x:v>
      </x:c>
      <x:c r="L1791" s="47" t="n">
        <x:f>G1791*K1791</x:f>
        <x:v>2640</x:v>
      </x:c>
      <x:c r="M1791" s="47" t="n">
        <x:f>J1791-L1791</x:f>
        <x:v>2040</x:v>
      </x:c>
      <x:c r="N1791" s="5" t="str">
        <x:v>Walk-in</x:v>
      </x:c>
      <x:c r="O1791" s="5" t="str">
        <x:v>Transfer</x:v>
      </x:c>
      <x:c r="P1791" s="5" t="str">
        <x:v>Dinner</x:v>
      </x:c>
      <x:c r="Q1791" s="48" t="n">
        <x:v>19</x:v>
      </x:c>
      <x:c r="R1791" s="5" t="n">
        <x:v>5</x:v>
      </x:c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5" t="str">
        <x:v>ORD-00251</x:v>
      </x:c>
      <x:c r="B1792" s="43" t="n">
        <x:v>46265</x:v>
      </x:c>
      <x:c r="C1792" s="5" t="str">
        <x:v>CUST-0186</x:v>
      </x:c>
      <x:c r="D1792" s="5" t="str">
        <x:v>FD003</x:v>
      </x:c>
      <x:c r="E1792" s="5" t="str">
        <x:v>Fried Rice &amp; Chicken</x:v>
      </x:c>
      <x:c r="F1792" s="5" t="str">
        <x:v>Rice Meals</x:v>
      </x:c>
      <x:c r="G1792" s="44" t="n">
        <x:v>4</x:v>
      </x:c>
      <x:c r="H1792" s="45" t="n">
        <x:v>3000</x:v>
      </x:c>
      <x:c r="I1792" s="46" t="n">
        <x:v>0</x:v>
      </x:c>
      <x:c r="J1792" s="47" t="n">
        <x:f>G1792*H1792*(1-I1792)</x:f>
        <x:v>12000</x:v>
      </x:c>
      <x:c r="K1792" s="47" t="n">
        <x:v>1580</x:v>
      </x:c>
      <x:c r="L1792" s="47" t="n">
        <x:f>G1792*K1792</x:f>
        <x:v>6320</x:v>
      </x:c>
      <x:c r="M1792" s="47" t="n">
        <x:f>J1792-L1792</x:f>
        <x:v>5680</x:v>
      </x:c>
      <x:c r="N1792" s="5" t="str">
        <x:v>Walk-in</x:v>
      </x:c>
      <x:c r="O1792" s="5" t="str">
        <x:v>POS</x:v>
      </x:c>
      <x:c r="P1792" s="5" t="str">
        <x:v>Lunch</x:v>
      </x:c>
      <x:c r="Q1792" s="48" t="n">
        <x:v>15</x:v>
      </x:c>
      <x:c r="R1792" s="5" t="n">
        <x:v>4</x:v>
      </x:c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5" t="str">
        <x:v>ORD-00335</x:v>
      </x:c>
      <x:c r="B1793" s="43" t="n">
        <x:v>46265</x:v>
      </x:c>
      <x:c r="C1793" s="5" t="str">
        <x:v>CUST-0316</x:v>
      </x:c>
      <x:c r="D1793" s="5" t="str">
        <x:v>FD010</x:v>
      </x:c>
      <x:c r="E1793" s="5" t="str">
        <x:v>Soft Drink</x:v>
      </x:c>
      <x:c r="F1793" s="5" t="str">
        <x:v>Beverages</x:v>
      </x:c>
      <x:c r="G1793" s="44" t="n">
        <x:v>1</x:v>
      </x:c>
      <x:c r="H1793" s="45" t="n">
        <x:v>600</x:v>
      </x:c>
      <x:c r="I1793" s="46" t="n">
        <x:v>0</x:v>
      </x:c>
      <x:c r="J1793" s="47" t="n">
        <x:f>G1793*H1793*(1-I1793)</x:f>
        <x:v>600</x:v>
      </x:c>
      <x:c r="K1793" s="47" t="n">
        <x:v>280</x:v>
      </x:c>
      <x:c r="L1793" s="47" t="n">
        <x:f>G1793*K1793</x:f>
        <x:v>280</x:v>
      </x:c>
      <x:c r="M1793" s="47" t="n">
        <x:f>J1793-L1793</x:f>
        <x:v>320</x:v>
      </x:c>
      <x:c r="N1793" s="5" t="str">
        <x:v>Takeaway</x:v>
      </x:c>
      <x:c r="O1793" s="5" t="str">
        <x:v>Cash</x:v>
      </x:c>
      <x:c r="P1793" s="5" t="str">
        <x:v>Lunch</x:v>
      </x:c>
      <x:c r="Q1793" s="48" t="n">
        <x:v>13</x:v>
      </x:c>
      <x:c r="R1793" s="5" t="n">
        <x:v>4</x:v>
      </x:c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5" t="str">
        <x:v>ORD-00419</x:v>
      </x:c>
      <x:c r="B1794" s="43" t="n">
        <x:v>46265</x:v>
      </x:c>
      <x:c r="C1794" s="5" t="str">
        <x:v>CUST-0411</x:v>
      </x:c>
      <x:c r="D1794" s="5" t="str">
        <x:v>FD004</x:v>
      </x:c>
      <x:c r="E1794" s="5" t="str">
        <x:v>Beans &amp; Plantain</x:v>
      </x:c>
      <x:c r="F1794" s="5" t="str">
        <x:v>Traditional Meals</x:v>
      </x:c>
      <x:c r="G1794" s="44" t="n">
        <x:v>3</x:v>
      </x:c>
      <x:c r="H1794" s="45" t="n">
        <x:v>2000</x:v>
      </x:c>
      <x:c r="I1794" s="46" t="n">
        <x:v>0</x:v>
      </x:c>
      <x:c r="J1794" s="47" t="n">
        <x:f>G1794*H1794*(1-I1794)</x:f>
        <x:v>6000</x:v>
      </x:c>
      <x:c r="K1794" s="47" t="n">
        <x:v>960</x:v>
      </x:c>
      <x:c r="L1794" s="47" t="n">
        <x:f>G1794*K1794</x:f>
        <x:v>2880</x:v>
      </x:c>
      <x:c r="M1794" s="47" t="n">
        <x:f>J1794-L1794</x:f>
        <x:v>3120</x:v>
      </x:c>
      <x:c r="N1794" s="5" t="str">
        <x:v>Takeaway</x:v>
      </x:c>
      <x:c r="O1794" s="5" t="str">
        <x:v>Transfer</x:v>
      </x:c>
      <x:c r="P1794" s="5" t="str">
        <x:v>Lunch</x:v>
      </x:c>
      <x:c r="Q1794" s="48" t="n">
        <x:v>14</x:v>
      </x:c>
      <x:c r="R1794" s="5" t="n">
        <x:v>5</x:v>
      </x:c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5" t="str">
        <x:v>ORD-00983</x:v>
      </x:c>
      <x:c r="B1795" s="43" t="n">
        <x:v>46265</x:v>
      </x:c>
      <x:c r="C1795" s="5" t="str">
        <x:v>CUST-0292</x:v>
      </x:c>
      <x:c r="D1795" s="5" t="str">
        <x:v>FD005</x:v>
      </x:c>
      <x:c r="E1795" s="5" t="str">
        <x:v>Yam Porridge</x:v>
      </x:c>
      <x:c r="F1795" s="5" t="str">
        <x:v>Traditional Meals</x:v>
      </x:c>
      <x:c r="G1795" s="44" t="n">
        <x:v>2</x:v>
      </x:c>
      <x:c r="H1795" s="45" t="n">
        <x:v>2200</x:v>
      </x:c>
      <x:c r="I1795" s="46" t="n">
        <x:v>0</x:v>
      </x:c>
      <x:c r="J1795" s="47" t="n">
        <x:f>G1795*H1795*(1-I1795)</x:f>
        <x:v>4400</x:v>
      </x:c>
      <x:c r="K1795" s="47" t="n">
        <x:v>1050</x:v>
      </x:c>
      <x:c r="L1795" s="47" t="n">
        <x:f>G1795*K1795</x:f>
        <x:v>2100</x:v>
      </x:c>
      <x:c r="M1795" s="47" t="n">
        <x:f>J1795-L1795</x:f>
        <x:v>2300</x:v>
      </x:c>
      <x:c r="N1795" s="5" t="str">
        <x:v>Walk-in</x:v>
      </x:c>
      <x:c r="O1795" s="5" t="str">
        <x:v>Transfer</x:v>
      </x:c>
      <x:c r="P1795" s="5" t="str">
        <x:v>Breakfast</x:v>
      </x:c>
      <x:c r="Q1795" s="48" t="n">
        <x:v>8</x:v>
      </x:c>
      <x:c r="R1795" s="5" t="n">
        <x:v>3</x:v>
      </x:c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5" t="str">
        <x:v>ORD-00986</x:v>
      </x:c>
      <x:c r="B1796" s="43" t="n">
        <x:v>46265</x:v>
      </x:c>
      <x:c r="C1796" s="5" t="str">
        <x:v>CUST-0593</x:v>
      </x:c>
      <x:c r="D1796" s="5" t="str">
        <x:v>FD003</x:v>
      </x:c>
      <x:c r="E1796" s="5" t="str">
        <x:v>Fried Rice &amp; Chicken</x:v>
      </x:c>
      <x:c r="F1796" s="5" t="str">
        <x:v>Rice Meals</x:v>
      </x:c>
      <x:c r="G1796" s="44" t="n">
        <x:v>2</x:v>
      </x:c>
      <x:c r="H1796" s="45" t="n">
        <x:v>3000</x:v>
      </x:c>
      <x:c r="I1796" s="46" t="n">
        <x:v>0</x:v>
      </x:c>
      <x:c r="J1796" s="47" t="n">
        <x:f>G1796*H1796*(1-I1796)</x:f>
        <x:v>6000</x:v>
      </x:c>
      <x:c r="K1796" s="47" t="n">
        <x:v>1580</x:v>
      </x:c>
      <x:c r="L1796" s="47" t="n">
        <x:f>G1796*K1796</x:f>
        <x:v>3160</x:v>
      </x:c>
      <x:c r="M1796" s="47" t="n">
        <x:f>J1796-L1796</x:f>
        <x:v>2840</x:v>
      </x:c>
      <x:c r="N1796" s="5" t="str">
        <x:v>Takeaway</x:v>
      </x:c>
      <x:c r="O1796" s="5" t="str">
        <x:v>Transfer</x:v>
      </x:c>
      <x:c r="P1796" s="5" t="str">
        <x:v>Lunch</x:v>
      </x:c>
      <x:c r="Q1796" s="48" t="n">
        <x:v>13</x:v>
      </x:c>
      <x:c r="R1796" s="5" t="n">
        <x:v>5</x:v>
      </x:c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5" t="str">
        <x:v>ORD-01180</x:v>
      </x:c>
      <x:c r="B1797" s="43" t="n">
        <x:v>46265</x:v>
      </x:c>
      <x:c r="C1797" s="5" t="str">
        <x:v>CUST-0504</x:v>
      </x:c>
      <x:c r="D1797" s="5" t="str">
        <x:v>FD007</x:v>
      </x:c>
      <x:c r="E1797" s="5" t="str">
        <x:v>Amala &amp; Ewedu</x:v>
      </x:c>
      <x:c r="F1797" s="5" t="str">
        <x:v>Swallow</x:v>
      </x:c>
      <x:c r="G1797" s="44" t="n">
        <x:v>3</x:v>
      </x:c>
      <x:c r="H1797" s="45" t="n">
        <x:v>2500</x:v>
      </x:c>
      <x:c r="I1797" s="46" t="n">
        <x:v>0</x:v>
      </x:c>
      <x:c r="J1797" s="47" t="n">
        <x:f>G1797*H1797*(1-I1797)</x:f>
        <x:v>7500</x:v>
      </x:c>
      <x:c r="K1797" s="47" t="n">
        <x:v>1250</x:v>
      </x:c>
      <x:c r="L1797" s="47" t="n">
        <x:f>G1797*K1797</x:f>
        <x:v>3750</x:v>
      </x:c>
      <x:c r="M1797" s="47" t="n">
        <x:f>J1797-L1797</x:f>
        <x:v>3750</x:v>
      </x:c>
      <x:c r="N1797" s="5" t="str">
        <x:v>Delivery</x:v>
      </x:c>
      <x:c r="O1797" s="5" t="str">
        <x:v>POS</x:v>
      </x:c>
      <x:c r="P1797" s="5" t="str">
        <x:v>Lunch</x:v>
      </x:c>
      <x:c r="Q1797" s="48" t="n">
        <x:v>13</x:v>
      </x:c>
      <x:c r="R1797" s="5" t="n">
        <x:v>5</x:v>
      </x:c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5" t="str">
        <x:v>ORD-01204</x:v>
      </x:c>
      <x:c r="B1798" s="43" t="n">
        <x:v>46265</x:v>
      </x:c>
      <x:c r="C1798" s="5" t="str">
        <x:v>CUST-0548</x:v>
      </x:c>
      <x:c r="D1798" s="5" t="str">
        <x:v>FD001</x:v>
      </x:c>
      <x:c r="E1798" s="5" t="str">
        <x:v>White Rice &amp; Stew</x:v>
      </x:c>
      <x:c r="F1798" s="5" t="str">
        <x:v>Rice Meals</x:v>
      </x:c>
      <x:c r="G1798" s="44" t="n">
        <x:v>4</x:v>
      </x:c>
      <x:c r="H1798" s="45" t="n">
        <x:v>1800</x:v>
      </x:c>
      <x:c r="I1798" s="46" t="n">
        <x:v>0</x:v>
      </x:c>
      <x:c r="J1798" s="47" t="n">
        <x:f>G1798*H1798*(1-I1798)</x:f>
        <x:v>7200</x:v>
      </x:c>
      <x:c r="K1798" s="47" t="n">
        <x:v>820</x:v>
      </x:c>
      <x:c r="L1798" s="47" t="n">
        <x:f>G1798*K1798</x:f>
        <x:v>3280</x:v>
      </x:c>
      <x:c r="M1798" s="47" t="n">
        <x:f>J1798-L1798</x:f>
        <x:v>3920</x:v>
      </x:c>
      <x:c r="N1798" s="5" t="str">
        <x:v>Takeaway</x:v>
      </x:c>
      <x:c r="O1798" s="5" t="str">
        <x:v>POS</x:v>
      </x:c>
      <x:c r="P1798" s="5" t="str">
        <x:v>Lunch</x:v>
      </x:c>
      <x:c r="Q1798" s="48" t="n">
        <x:v>13</x:v>
      </x:c>
      <x:c r="R1798" s="5" t="n">
        <x:v>5</x:v>
      </x:c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5" t="str">
        <x:v>ORD-01231</x:v>
      </x:c>
      <x:c r="B1799" s="43" t="n">
        <x:v>46265</x:v>
      </x:c>
      <x:c r="C1799" s="5" t="str">
        <x:v>CUST-0420</x:v>
      </x:c>
      <x:c r="D1799" s="5" t="str">
        <x:v>FD002</x:v>
      </x:c>
      <x:c r="E1799" s="5" t="str">
        <x:v>Jollof Rice &amp; Chicken</x:v>
      </x:c>
      <x:c r="F1799" s="5" t="str">
        <x:v>Rice Meals</x:v>
      </x:c>
      <x:c r="G1799" s="44" t="n">
        <x:v>4</x:v>
      </x:c>
      <x:c r="H1799" s="45" t="n">
        <x:v>2800</x:v>
      </x:c>
      <x:c r="I1799" s="46" t="n">
        <x:v>0</x:v>
      </x:c>
      <x:c r="J1799" s="47" t="n">
        <x:f>G1799*H1799*(1-I1799)</x:f>
        <x:v>11200</x:v>
      </x:c>
      <x:c r="K1799" s="47" t="n">
        <x:v>1450</x:v>
      </x:c>
      <x:c r="L1799" s="47" t="n">
        <x:f>G1799*K1799</x:f>
        <x:v>5800</x:v>
      </x:c>
      <x:c r="M1799" s="47" t="n">
        <x:f>J1799-L1799</x:f>
        <x:v>5400</x:v>
      </x:c>
      <x:c r="N1799" s="5" t="str">
        <x:v>Delivery</x:v>
      </x:c>
      <x:c r="O1799" s="5" t="str">
        <x:v>POS</x:v>
      </x:c>
      <x:c r="P1799" s="5" t="str">
        <x:v>Lunch</x:v>
      </x:c>
      <x:c r="Q1799" s="48" t="n">
        <x:v>14</x:v>
      </x:c>
      <x:c r="R1799" s="5" t="n">
        <x:v>5</x:v>
      </x:c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5" t="str">
        <x:v>ORD-01337</x:v>
      </x:c>
      <x:c r="B1800" s="43" t="n">
        <x:v>46265</x:v>
      </x:c>
      <x:c r="C1800" s="5" t="str">
        <x:v>CUST-0148</x:v>
      </x:c>
      <x:c r="D1800" s="5" t="str">
        <x:v>FD012</x:v>
      </x:c>
      <x:c r="E1800" s="5" t="str">
        <x:v>Fried Plantain</x:v>
      </x:c>
      <x:c r="F1800" s="5" t="str">
        <x:v>Sides</x:v>
      </x:c>
      <x:c r="G1800" s="44" t="n">
        <x:v>4</x:v>
      </x:c>
      <x:c r="H1800" s="45" t="n">
        <x:v>700</x:v>
      </x:c>
      <x:c r="I1800" s="46" t="n">
        <x:v>0</x:v>
      </x:c>
      <x:c r="J1800" s="47" t="n">
        <x:f>G1800*H1800*(1-I1800)</x:f>
        <x:v>2800</x:v>
      </x:c>
      <x:c r="K1800" s="47" t="n">
        <x:v>300</x:v>
      </x:c>
      <x:c r="L1800" s="47" t="n">
        <x:f>G1800*K1800</x:f>
        <x:v>1200</x:v>
      </x:c>
      <x:c r="M1800" s="47" t="n">
        <x:f>J1800-L1800</x:f>
        <x:v>1600</x:v>
      </x:c>
      <x:c r="N1800" s="5" t="str">
        <x:v>Takeaway</x:v>
      </x:c>
      <x:c r="O1800" s="5" t="str">
        <x:v>Transfer</x:v>
      </x:c>
      <x:c r="P1800" s="5" t="str">
        <x:v>Lunch</x:v>
      </x:c>
      <x:c r="Q1800" s="48" t="n">
        <x:v>13</x:v>
      </x:c>
      <x:c r="R1800" s="5" t="n">
        <x:v>4</x:v>
      </x:c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5" t="str">
        <x:v>ORD-01351</x:v>
      </x:c>
      <x:c r="B1801" s="43" t="n">
        <x:v>46265</x:v>
      </x:c>
      <x:c r="C1801" s="5" t="str">
        <x:v>CUST-0302</x:v>
      </x:c>
      <x:c r="D1801" s="5" t="str">
        <x:v>FD003</x:v>
      </x:c>
      <x:c r="E1801" s="5" t="str">
        <x:v>Fried Rice &amp; Chicken</x:v>
      </x:c>
      <x:c r="F1801" s="5" t="str">
        <x:v>Rice Meals</x:v>
      </x:c>
      <x:c r="G1801" s="44" t="n">
        <x:v>2</x:v>
      </x:c>
      <x:c r="H1801" s="45" t="n">
        <x:v>3000</x:v>
      </x:c>
      <x:c r="I1801" s="46" t="n">
        <x:v>0</x:v>
      </x:c>
      <x:c r="J1801" s="47" t="n">
        <x:f>G1801*H1801*(1-I1801)</x:f>
        <x:v>6000</x:v>
      </x:c>
      <x:c r="K1801" s="47" t="n">
        <x:v>1580</x:v>
      </x:c>
      <x:c r="L1801" s="47" t="n">
        <x:f>G1801*K1801</x:f>
        <x:v>3160</x:v>
      </x:c>
      <x:c r="M1801" s="47" t="n">
        <x:f>J1801-L1801</x:f>
        <x:v>2840</x:v>
      </x:c>
      <x:c r="N1801" s="5" t="str">
        <x:v>Walk-in</x:v>
      </x:c>
      <x:c r="O1801" s="5" t="str">
        <x:v>POS</x:v>
      </x:c>
      <x:c r="P1801" s="5" t="str">
        <x:v>Lunch</x:v>
      </x:c>
      <x:c r="Q1801" s="48" t="n">
        <x:v>14</x:v>
      </x:c>
      <x:c r="R1801" s="5" t="n">
        <x:v>4</x:v>
      </x:c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  <x:row r="2001">
      <x:c r="A2001" s="1"/>
      <x:c r="B2001" s="1"/>
      <x:c r="C2001" s="1"/>
      <x:c r="D2001" s="1"/>
      <x:c r="E2001" s="1"/>
      <x:c r="F2001" s="1"/>
      <x:c r="G2001" s="1"/>
      <x:c r="H2001" s="1"/>
      <x:c r="I2001" s="1"/>
      <x:c r="J2001" s="1"/>
      <x:c r="K2001" s="1"/>
      <x:c r="L2001" s="1"/>
      <x:c r="M2001" s="1"/>
      <x:c r="N2001" s="1"/>
      <x:c r="O2001" s="1"/>
      <x:c r="P2001" s="1"/>
      <x:c r="Q2001" s="1"/>
      <x:c r="R2001" s="1"/>
      <x:c r="S2001" s="1"/>
      <x:c r="T2001" s="1"/>
      <x:c r="U2001" s="1"/>
      <x:c r="V2001" s="1"/>
      <x:c r="W2001" s="1"/>
      <x:c r="X2001" s="1"/>
      <x:c r="Y2001" s="1"/>
      <x:c r="Z2001" s="1"/>
    </x:row>
    <x:row r="2002">
      <x:c r="A2002" s="1"/>
      <x:c r="B2002" s="1"/>
      <x:c r="C2002" s="1"/>
      <x:c r="D2002" s="1"/>
      <x:c r="E2002" s="1"/>
      <x:c r="F2002" s="1"/>
      <x:c r="G2002" s="1"/>
      <x:c r="H2002" s="1"/>
      <x:c r="I2002" s="1"/>
      <x:c r="J2002" s="1"/>
      <x:c r="K2002" s="1"/>
      <x:c r="L2002" s="1"/>
      <x:c r="M2002" s="1"/>
      <x:c r="N2002" s="1"/>
      <x:c r="O2002" s="1"/>
      <x:c r="P2002" s="1"/>
      <x:c r="Q2002" s="1"/>
      <x:c r="R2002" s="1"/>
      <x:c r="S2002" s="1"/>
      <x:c r="T2002" s="1"/>
      <x:c r="U2002" s="1"/>
      <x:c r="V2002" s="1"/>
      <x:c r="W2002" s="1"/>
      <x:c r="X2002" s="1"/>
      <x:c r="Y2002" s="1"/>
      <x:c r="Z2002" s="1"/>
    </x:row>
    <x:row r="2003">
      <x:c r="A2003" s="1"/>
      <x:c r="B2003" s="1"/>
      <x:c r="C2003" s="1"/>
      <x:c r="D2003" s="1"/>
      <x:c r="E2003" s="1"/>
      <x:c r="F2003" s="1"/>
      <x:c r="G2003" s="1"/>
      <x:c r="H2003" s="1"/>
      <x:c r="I2003" s="1"/>
      <x:c r="J2003" s="1"/>
      <x:c r="K2003" s="1"/>
      <x:c r="L2003" s="1"/>
      <x:c r="M2003" s="1"/>
      <x:c r="N2003" s="1"/>
      <x:c r="O2003" s="1"/>
      <x:c r="P2003" s="1"/>
      <x:c r="Q2003" s="1"/>
      <x:c r="R2003" s="1"/>
      <x:c r="S2003" s="1"/>
      <x:c r="T2003" s="1"/>
      <x:c r="U2003" s="1"/>
      <x:c r="V2003" s="1"/>
      <x:c r="W2003" s="1"/>
      <x:c r="X2003" s="1"/>
      <x:c r="Y2003" s="1"/>
      <x:c r="Z2003" s="1"/>
    </x:row>
    <x:row r="2004">
      <x:c r="A2004" s="1"/>
      <x:c r="B2004" s="1"/>
      <x:c r="C2004" s="1"/>
      <x:c r="D2004" s="1"/>
      <x:c r="E2004" s="1"/>
      <x:c r="F2004" s="1"/>
      <x:c r="G2004" s="1"/>
      <x:c r="H2004" s="1"/>
      <x:c r="I2004" s="1"/>
      <x:c r="J2004" s="1"/>
      <x:c r="K2004" s="1"/>
      <x:c r="L2004" s="1"/>
      <x:c r="M2004" s="1"/>
      <x:c r="N2004" s="1"/>
      <x:c r="O2004" s="1"/>
      <x:c r="P2004" s="1"/>
      <x:c r="Q2004" s="1"/>
      <x:c r="R2004" s="1"/>
      <x:c r="S2004" s="1"/>
      <x:c r="T2004" s="1"/>
      <x:c r="U2004" s="1"/>
      <x:c r="V2004" s="1"/>
      <x:c r="W2004" s="1"/>
      <x:c r="X2004" s="1"/>
      <x:c r="Y2004" s="1"/>
      <x:c r="Z2004" s="1"/>
    </x:row>
    <x:row r="2005">
      <x:c r="A2005" s="1"/>
      <x:c r="B2005" s="1"/>
      <x:c r="C2005" s="1"/>
      <x:c r="D2005" s="1"/>
      <x:c r="E2005" s="1"/>
      <x:c r="F2005" s="1"/>
      <x:c r="G2005" s="1"/>
      <x:c r="H2005" s="1"/>
      <x:c r="I2005" s="1"/>
      <x:c r="J2005" s="1"/>
      <x:c r="K2005" s="1"/>
      <x:c r="L2005" s="1"/>
      <x:c r="M2005" s="1"/>
      <x:c r="N2005" s="1"/>
      <x:c r="O2005" s="1"/>
      <x:c r="P2005" s="1"/>
      <x:c r="Q2005" s="1"/>
      <x:c r="R2005" s="1"/>
      <x:c r="S2005" s="1"/>
      <x:c r="T2005" s="1"/>
      <x:c r="U2005" s="1"/>
      <x:c r="V2005" s="1"/>
      <x:c r="W2005" s="1"/>
      <x:c r="X2005" s="1"/>
      <x:c r="Y2005" s="1"/>
      <x:c r="Z2005" s="1"/>
    </x:row>
    <x:row r="2006">
      <x:c r="A2006" s="1"/>
      <x:c r="B2006" s="1"/>
      <x:c r="C2006" s="1"/>
      <x:c r="D2006" s="1"/>
      <x:c r="E2006" s="1"/>
      <x:c r="F2006" s="1"/>
      <x:c r="G2006" s="1"/>
      <x:c r="H2006" s="1"/>
      <x:c r="I2006" s="1"/>
      <x:c r="J2006" s="1"/>
      <x:c r="K2006" s="1"/>
      <x:c r="L2006" s="1"/>
      <x:c r="M2006" s="1"/>
      <x:c r="N2006" s="1"/>
      <x:c r="O2006" s="1"/>
      <x:c r="P2006" s="1"/>
      <x:c r="Q2006" s="1"/>
      <x:c r="R2006" s="1"/>
      <x:c r="S2006" s="1"/>
      <x:c r="T2006" s="1"/>
      <x:c r="U2006" s="1"/>
      <x:c r="V2006" s="1"/>
      <x:c r="W2006" s="1"/>
      <x:c r="X2006" s="1"/>
      <x:c r="Y2006" s="1"/>
      <x:c r="Z2006" s="1"/>
    </x:row>
    <x:row r="2007">
      <x:c r="A2007" s="1"/>
      <x:c r="B2007" s="1"/>
      <x:c r="C2007" s="1"/>
      <x:c r="D2007" s="1"/>
      <x:c r="E2007" s="1"/>
      <x:c r="F2007" s="1"/>
      <x:c r="G2007" s="1"/>
      <x:c r="H2007" s="1"/>
      <x:c r="I2007" s="1"/>
      <x:c r="J2007" s="1"/>
      <x:c r="K2007" s="1"/>
      <x:c r="L2007" s="1"/>
      <x:c r="M2007" s="1"/>
      <x:c r="N2007" s="1"/>
      <x:c r="O2007" s="1"/>
      <x:c r="P2007" s="1"/>
      <x:c r="Q2007" s="1"/>
      <x:c r="R2007" s="1"/>
      <x:c r="S2007" s="1"/>
      <x:c r="T2007" s="1"/>
      <x:c r="U2007" s="1"/>
      <x:c r="V2007" s="1"/>
      <x:c r="W2007" s="1"/>
      <x:c r="X2007" s="1"/>
      <x:c r="Y2007" s="1"/>
      <x:c r="Z2007" s="1"/>
    </x:row>
    <x:row r="2008">
      <x:c r="A2008" s="1"/>
      <x:c r="B2008" s="1"/>
      <x:c r="C2008" s="1"/>
      <x:c r="D2008" s="1"/>
      <x:c r="E2008" s="1"/>
      <x:c r="F2008" s="1"/>
      <x:c r="G2008" s="1"/>
      <x:c r="H2008" s="1"/>
      <x:c r="I2008" s="1"/>
      <x:c r="J2008" s="1"/>
      <x:c r="K2008" s="1"/>
      <x:c r="L2008" s="1"/>
      <x:c r="M2008" s="1"/>
      <x:c r="N2008" s="1"/>
      <x:c r="O2008" s="1"/>
      <x:c r="P2008" s="1"/>
      <x:c r="Q2008" s="1"/>
      <x:c r="R2008" s="1"/>
      <x:c r="S2008" s="1"/>
      <x:c r="T2008" s="1"/>
      <x:c r="U2008" s="1"/>
      <x:c r="V2008" s="1"/>
      <x:c r="W2008" s="1"/>
      <x:c r="X2008" s="1"/>
      <x:c r="Y2008" s="1"/>
      <x:c r="Z2008" s="1"/>
    </x:row>
    <x:row r="2009">
      <x:c r="A2009" s="1"/>
      <x:c r="B2009" s="1"/>
      <x:c r="C2009" s="1"/>
      <x:c r="D2009" s="1"/>
      <x:c r="E2009" s="1"/>
      <x:c r="F2009" s="1"/>
      <x:c r="G2009" s="1"/>
      <x:c r="H2009" s="1"/>
      <x:c r="I2009" s="1"/>
      <x:c r="J2009" s="1"/>
      <x:c r="K2009" s="1"/>
      <x:c r="L2009" s="1"/>
      <x:c r="M2009" s="1"/>
      <x:c r="N2009" s="1"/>
      <x:c r="O2009" s="1"/>
      <x:c r="P2009" s="1"/>
      <x:c r="Q2009" s="1"/>
      <x:c r="R2009" s="1"/>
      <x:c r="S2009" s="1"/>
      <x:c r="T2009" s="1"/>
      <x:c r="U2009" s="1"/>
      <x:c r="V2009" s="1"/>
      <x:c r="W2009" s="1"/>
      <x:c r="X2009" s="1"/>
      <x:c r="Y2009" s="1"/>
      <x:c r="Z2009" s="1"/>
    </x:row>
    <x:row r="2010">
      <x:c r="A2010" s="1"/>
      <x:c r="B2010" s="1"/>
      <x:c r="C2010" s="1"/>
      <x:c r="D2010" s="1"/>
      <x:c r="E2010" s="1"/>
      <x:c r="F2010" s="1"/>
      <x:c r="G2010" s="1"/>
      <x:c r="H2010" s="1"/>
      <x:c r="I2010" s="1"/>
      <x:c r="J2010" s="1"/>
      <x:c r="K2010" s="1"/>
      <x:c r="L2010" s="1"/>
      <x:c r="M2010" s="1"/>
      <x:c r="N2010" s="1"/>
      <x:c r="O2010" s="1"/>
      <x:c r="P2010" s="1"/>
      <x:c r="Q2010" s="1"/>
      <x:c r="R2010" s="1"/>
      <x:c r="S2010" s="1"/>
      <x:c r="T2010" s="1"/>
      <x:c r="U2010" s="1"/>
      <x:c r="V2010" s="1"/>
      <x:c r="W2010" s="1"/>
      <x:c r="X2010" s="1"/>
      <x:c r="Y2010" s="1"/>
      <x:c r="Z2010" s="1"/>
    </x:row>
    <x:row r="2011">
      <x:c r="A2011" s="1"/>
      <x:c r="B2011" s="1"/>
      <x:c r="C2011" s="1"/>
      <x:c r="D2011" s="1"/>
      <x:c r="E2011" s="1"/>
      <x:c r="F2011" s="1"/>
      <x:c r="G2011" s="1"/>
      <x:c r="H2011" s="1"/>
      <x:c r="I2011" s="1"/>
      <x:c r="J2011" s="1"/>
      <x:c r="K2011" s="1"/>
      <x:c r="L2011" s="1"/>
      <x:c r="M2011" s="1"/>
      <x:c r="N2011" s="1"/>
      <x:c r="O2011" s="1"/>
      <x:c r="P2011" s="1"/>
      <x:c r="Q2011" s="1"/>
      <x:c r="R2011" s="1"/>
      <x:c r="S2011" s="1"/>
      <x:c r="T2011" s="1"/>
      <x:c r="U2011" s="1"/>
      <x:c r="V2011" s="1"/>
      <x:c r="W2011" s="1"/>
      <x:c r="X2011" s="1"/>
      <x:c r="Y2011" s="1"/>
      <x:c r="Z2011" s="1"/>
    </x:row>
    <x:row r="2012">
      <x:c r="A2012" s="1"/>
      <x:c r="B2012" s="1"/>
      <x:c r="C2012" s="1"/>
      <x:c r="D2012" s="1"/>
      <x:c r="E2012" s="1"/>
      <x:c r="F2012" s="1"/>
      <x:c r="G2012" s="1"/>
      <x:c r="H2012" s="1"/>
      <x:c r="I2012" s="1"/>
      <x:c r="J2012" s="1"/>
      <x:c r="K2012" s="1"/>
      <x:c r="L2012" s="1"/>
      <x:c r="M2012" s="1"/>
      <x:c r="N2012" s="1"/>
      <x:c r="O2012" s="1"/>
      <x:c r="P2012" s="1"/>
      <x:c r="Q2012" s="1"/>
      <x:c r="R2012" s="1"/>
      <x:c r="S2012" s="1"/>
      <x:c r="T2012" s="1"/>
      <x:c r="U2012" s="1"/>
      <x:c r="V2012" s="1"/>
      <x:c r="W2012" s="1"/>
      <x:c r="X2012" s="1"/>
      <x:c r="Y2012" s="1"/>
      <x:c r="Z2012" s="1"/>
    </x:row>
    <x:row r="2013">
      <x:c r="A2013" s="1"/>
      <x:c r="B2013" s="1"/>
      <x:c r="C2013" s="1"/>
      <x:c r="D2013" s="1"/>
      <x:c r="E2013" s="1"/>
      <x:c r="F2013" s="1"/>
      <x:c r="G2013" s="1"/>
      <x:c r="H2013" s="1"/>
      <x:c r="I2013" s="1"/>
      <x:c r="J2013" s="1"/>
      <x:c r="K2013" s="1"/>
      <x:c r="L2013" s="1"/>
      <x:c r="M2013" s="1"/>
      <x:c r="N2013" s="1"/>
      <x:c r="O2013" s="1"/>
      <x:c r="P2013" s="1"/>
      <x:c r="Q2013" s="1"/>
      <x:c r="R2013" s="1"/>
      <x:c r="S2013" s="1"/>
      <x:c r="T2013" s="1"/>
      <x:c r="U2013" s="1"/>
      <x:c r="V2013" s="1"/>
      <x:c r="W2013" s="1"/>
      <x:c r="X2013" s="1"/>
      <x:c r="Y2013" s="1"/>
      <x:c r="Z2013" s="1"/>
    </x:row>
    <x:row r="2014">
      <x:c r="A2014" s="1"/>
      <x:c r="B2014" s="1"/>
      <x:c r="C2014" s="1"/>
      <x:c r="D2014" s="1"/>
      <x:c r="E2014" s="1"/>
      <x:c r="F2014" s="1"/>
      <x:c r="G2014" s="1"/>
      <x:c r="H2014" s="1"/>
      <x:c r="I2014" s="1"/>
      <x:c r="J2014" s="1"/>
      <x:c r="K2014" s="1"/>
      <x:c r="L2014" s="1"/>
      <x:c r="M2014" s="1"/>
      <x:c r="N2014" s="1"/>
      <x:c r="O2014" s="1"/>
      <x:c r="P2014" s="1"/>
      <x:c r="Q2014" s="1"/>
      <x:c r="R2014" s="1"/>
      <x:c r="S2014" s="1"/>
      <x:c r="T2014" s="1"/>
      <x:c r="U2014" s="1"/>
      <x:c r="V2014" s="1"/>
      <x:c r="W2014" s="1"/>
      <x:c r="X2014" s="1"/>
      <x:c r="Y2014" s="1"/>
      <x:c r="Z2014" s="1"/>
    </x:row>
    <x:row r="2015">
      <x:c r="A2015" s="1"/>
      <x:c r="B2015" s="1"/>
      <x:c r="C2015" s="1"/>
      <x:c r="D2015" s="1"/>
      <x:c r="E2015" s="1"/>
      <x:c r="F2015" s="1"/>
      <x:c r="G2015" s="1"/>
      <x:c r="H2015" s="1"/>
      <x:c r="I2015" s="1"/>
      <x:c r="J2015" s="1"/>
      <x:c r="K2015" s="1"/>
      <x:c r="L2015" s="1"/>
      <x:c r="M2015" s="1"/>
      <x:c r="N2015" s="1"/>
      <x:c r="O2015" s="1"/>
      <x:c r="P2015" s="1"/>
      <x:c r="Q2015" s="1"/>
      <x:c r="R2015" s="1"/>
      <x:c r="S2015" s="1"/>
      <x:c r="T2015" s="1"/>
      <x:c r="U2015" s="1"/>
      <x:c r="V2015" s="1"/>
      <x:c r="W2015" s="1"/>
      <x:c r="X2015" s="1"/>
      <x:c r="Y2015" s="1"/>
      <x:c r="Z2015" s="1"/>
    </x:row>
    <x:row r="2016">
      <x:c r="A2016" s="1"/>
      <x:c r="B2016" s="1"/>
      <x:c r="C2016" s="1"/>
      <x:c r="D2016" s="1"/>
      <x:c r="E2016" s="1"/>
      <x:c r="F2016" s="1"/>
      <x:c r="G2016" s="1"/>
      <x:c r="H2016" s="1"/>
      <x:c r="I2016" s="1"/>
      <x:c r="J2016" s="1"/>
      <x:c r="K2016" s="1"/>
      <x:c r="L2016" s="1"/>
      <x:c r="M2016" s="1"/>
      <x:c r="N2016" s="1"/>
      <x:c r="O2016" s="1"/>
      <x:c r="P2016" s="1"/>
      <x:c r="Q2016" s="1"/>
      <x:c r="R2016" s="1"/>
      <x:c r="S2016" s="1"/>
      <x:c r="T2016" s="1"/>
      <x:c r="U2016" s="1"/>
      <x:c r="V2016" s="1"/>
      <x:c r="W2016" s="1"/>
      <x:c r="X2016" s="1"/>
      <x:c r="Y2016" s="1"/>
      <x:c r="Z2016" s="1"/>
    </x:row>
    <x:row r="2017">
      <x:c r="A2017" s="1"/>
      <x:c r="B2017" s="1"/>
      <x:c r="C2017" s="1"/>
      <x:c r="D2017" s="1"/>
      <x:c r="E2017" s="1"/>
      <x:c r="F2017" s="1"/>
      <x:c r="G2017" s="1"/>
      <x:c r="H2017" s="1"/>
      <x:c r="I2017" s="1"/>
      <x:c r="J2017" s="1"/>
      <x:c r="K2017" s="1"/>
      <x:c r="L2017" s="1"/>
      <x:c r="M2017" s="1"/>
      <x:c r="N2017" s="1"/>
      <x:c r="O2017" s="1"/>
      <x:c r="P2017" s="1"/>
      <x:c r="Q2017" s="1"/>
      <x:c r="R2017" s="1"/>
      <x:c r="S2017" s="1"/>
      <x:c r="T2017" s="1"/>
      <x:c r="U2017" s="1"/>
      <x:c r="V2017" s="1"/>
      <x:c r="W2017" s="1"/>
      <x:c r="X2017" s="1"/>
      <x:c r="Y2017" s="1"/>
      <x:c r="Z2017" s="1"/>
    </x:row>
    <x:row r="2018">
      <x:c r="A2018" s="1"/>
      <x:c r="B2018" s="1"/>
      <x:c r="C2018" s="1"/>
      <x:c r="D2018" s="1"/>
      <x:c r="E2018" s="1"/>
      <x:c r="F2018" s="1"/>
      <x:c r="G2018" s="1"/>
      <x:c r="H2018" s="1"/>
      <x:c r="I2018" s="1"/>
      <x:c r="J2018" s="1"/>
      <x:c r="K2018" s="1"/>
      <x:c r="L2018" s="1"/>
      <x:c r="M2018" s="1"/>
      <x:c r="N2018" s="1"/>
      <x:c r="O2018" s="1"/>
      <x:c r="P2018" s="1"/>
      <x:c r="Q2018" s="1"/>
      <x:c r="R2018" s="1"/>
      <x:c r="S2018" s="1"/>
      <x:c r="T2018" s="1"/>
      <x:c r="U2018" s="1"/>
      <x:c r="V2018" s="1"/>
      <x:c r="W2018" s="1"/>
      <x:c r="X2018" s="1"/>
      <x:c r="Y2018" s="1"/>
      <x:c r="Z2018" s="1"/>
    </x:row>
    <x:row r="2019">
      <x:c r="A2019" s="1"/>
      <x:c r="B2019" s="1"/>
      <x:c r="C2019" s="1"/>
      <x:c r="D2019" s="1"/>
      <x:c r="E2019" s="1"/>
      <x:c r="F2019" s="1"/>
      <x:c r="G2019" s="1"/>
      <x:c r="H2019" s="1"/>
      <x:c r="I2019" s="1"/>
      <x:c r="J2019" s="1"/>
      <x:c r="K2019" s="1"/>
      <x:c r="L2019" s="1"/>
      <x:c r="M2019" s="1"/>
      <x:c r="N2019" s="1"/>
      <x:c r="O2019" s="1"/>
      <x:c r="P2019" s="1"/>
      <x:c r="Q2019" s="1"/>
      <x:c r="R2019" s="1"/>
      <x:c r="S2019" s="1"/>
      <x:c r="T2019" s="1"/>
      <x:c r="U2019" s="1"/>
      <x:c r="V2019" s="1"/>
      <x:c r="W2019" s="1"/>
      <x:c r="X2019" s="1"/>
      <x:c r="Y2019" s="1"/>
      <x:c r="Z2019" s="1"/>
    </x:row>
    <x:row r="2020">
      <x:c r="A2020" s="1"/>
      <x:c r="B2020" s="1"/>
      <x:c r="C2020" s="1"/>
      <x:c r="D2020" s="1"/>
      <x:c r="E2020" s="1"/>
      <x:c r="F2020" s="1"/>
      <x:c r="G2020" s="1"/>
      <x:c r="H2020" s="1"/>
      <x:c r="I2020" s="1"/>
      <x:c r="J2020" s="1"/>
      <x:c r="K2020" s="1"/>
      <x:c r="L2020" s="1"/>
      <x:c r="M2020" s="1"/>
      <x:c r="N2020" s="1"/>
      <x:c r="O2020" s="1"/>
      <x:c r="P2020" s="1"/>
      <x:c r="Q2020" s="1"/>
      <x:c r="R2020" s="1"/>
      <x:c r="S2020" s="1"/>
      <x:c r="T2020" s="1"/>
      <x:c r="U2020" s="1"/>
      <x:c r="V2020" s="1"/>
      <x:c r="W2020" s="1"/>
      <x:c r="X2020" s="1"/>
      <x:c r="Y2020" s="1"/>
      <x:c r="Z2020" s="1"/>
    </x:row>
    <x:row r="2021">
      <x:c r="A2021" s="1"/>
      <x:c r="B2021" s="1"/>
      <x:c r="C2021" s="1"/>
      <x:c r="D2021" s="1"/>
      <x:c r="E2021" s="1"/>
      <x:c r="F2021" s="1"/>
      <x:c r="G2021" s="1"/>
      <x:c r="H2021" s="1"/>
      <x:c r="I2021" s="1"/>
      <x:c r="J2021" s="1"/>
      <x:c r="K2021" s="1"/>
      <x:c r="L2021" s="1"/>
      <x:c r="M2021" s="1"/>
      <x:c r="N2021" s="1"/>
      <x:c r="O2021" s="1"/>
      <x:c r="P2021" s="1"/>
      <x:c r="Q2021" s="1"/>
      <x:c r="R2021" s="1"/>
      <x:c r="S2021" s="1"/>
      <x:c r="T2021" s="1"/>
      <x:c r="U2021" s="1"/>
      <x:c r="V2021" s="1"/>
      <x:c r="W2021" s="1"/>
      <x:c r="X2021" s="1"/>
      <x:c r="Y2021" s="1"/>
      <x:c r="Z2021" s="1"/>
    </x:row>
    <x:row r="2022">
      <x:c r="A2022" s="1"/>
      <x:c r="B2022" s="1"/>
      <x:c r="C2022" s="1"/>
      <x:c r="D2022" s="1"/>
      <x:c r="E2022" s="1"/>
      <x:c r="F2022" s="1"/>
      <x:c r="G2022" s="1"/>
      <x:c r="H2022" s="1"/>
      <x:c r="I2022" s="1"/>
      <x:c r="J2022" s="1"/>
      <x:c r="K2022" s="1"/>
      <x:c r="L2022" s="1"/>
      <x:c r="M2022" s="1"/>
      <x:c r="N2022" s="1"/>
      <x:c r="O2022" s="1"/>
      <x:c r="P2022" s="1"/>
      <x:c r="Q2022" s="1"/>
      <x:c r="R2022" s="1"/>
      <x:c r="S2022" s="1"/>
      <x:c r="T2022" s="1"/>
      <x:c r="U2022" s="1"/>
      <x:c r="V2022" s="1"/>
      <x:c r="W2022" s="1"/>
      <x:c r="X2022" s="1"/>
      <x:c r="Y2022" s="1"/>
      <x:c r="Z2022" s="1"/>
    </x:row>
    <x:row r="2023">
      <x:c r="A2023" s="1"/>
      <x:c r="B2023" s="1"/>
      <x:c r="C2023" s="1"/>
      <x:c r="D2023" s="1"/>
      <x:c r="E2023" s="1"/>
      <x:c r="F2023" s="1"/>
      <x:c r="G2023" s="1"/>
      <x:c r="H2023" s="1"/>
      <x:c r="I2023" s="1"/>
      <x:c r="J2023" s="1"/>
      <x:c r="K2023" s="1"/>
      <x:c r="L2023" s="1"/>
      <x:c r="M2023" s="1"/>
      <x:c r="N2023" s="1"/>
      <x:c r="O2023" s="1"/>
      <x:c r="P2023" s="1"/>
      <x:c r="Q2023" s="1"/>
      <x:c r="R2023" s="1"/>
      <x:c r="S2023" s="1"/>
      <x:c r="T2023" s="1"/>
      <x:c r="U2023" s="1"/>
      <x:c r="V2023" s="1"/>
      <x:c r="W2023" s="1"/>
      <x:c r="X2023" s="1"/>
      <x:c r="Y2023" s="1"/>
      <x:c r="Z2023" s="1"/>
    </x:row>
    <x:row r="2024">
      <x:c r="A2024" s="1"/>
      <x:c r="B2024" s="1"/>
      <x:c r="C2024" s="1"/>
      <x:c r="D2024" s="1"/>
      <x:c r="E2024" s="1"/>
      <x:c r="F2024" s="1"/>
      <x:c r="G2024" s="1"/>
      <x:c r="H2024" s="1"/>
      <x:c r="I2024" s="1"/>
      <x:c r="J2024" s="1"/>
      <x:c r="K2024" s="1"/>
      <x:c r="L2024" s="1"/>
      <x:c r="M2024" s="1"/>
      <x:c r="N2024" s="1"/>
      <x:c r="O2024" s="1"/>
      <x:c r="P2024" s="1"/>
      <x:c r="Q2024" s="1"/>
      <x:c r="R2024" s="1"/>
      <x:c r="S2024" s="1"/>
      <x:c r="T2024" s="1"/>
      <x:c r="U2024" s="1"/>
      <x:c r="V2024" s="1"/>
      <x:c r="W2024" s="1"/>
      <x:c r="X2024" s="1"/>
      <x:c r="Y2024" s="1"/>
      <x:c r="Z2024" s="1"/>
    </x:row>
    <x:row r="2025">
      <x:c r="A2025" s="1"/>
      <x:c r="B2025" s="1"/>
      <x:c r="C2025" s="1"/>
      <x:c r="D2025" s="1"/>
      <x:c r="E2025" s="1"/>
      <x:c r="F2025" s="1"/>
      <x:c r="G2025" s="1"/>
      <x:c r="H2025" s="1"/>
      <x:c r="I2025" s="1"/>
      <x:c r="J2025" s="1"/>
      <x:c r="K2025" s="1"/>
      <x:c r="L2025" s="1"/>
      <x:c r="M2025" s="1"/>
      <x:c r="N2025" s="1"/>
      <x:c r="O2025" s="1"/>
      <x:c r="P2025" s="1"/>
      <x:c r="Q2025" s="1"/>
      <x:c r="R2025" s="1"/>
      <x:c r="S2025" s="1"/>
      <x:c r="T2025" s="1"/>
      <x:c r="U2025" s="1"/>
      <x:c r="V2025" s="1"/>
      <x:c r="W2025" s="1"/>
      <x:c r="X2025" s="1"/>
      <x:c r="Y2025" s="1"/>
      <x:c r="Z2025" s="1"/>
    </x:row>
    <x:row r="2026">
      <x:c r="A2026" s="1"/>
      <x:c r="B2026" s="1"/>
      <x:c r="C2026" s="1"/>
      <x:c r="D2026" s="1"/>
      <x:c r="E2026" s="1"/>
      <x:c r="F2026" s="1"/>
      <x:c r="G2026" s="1"/>
      <x:c r="H2026" s="1"/>
      <x:c r="I2026" s="1"/>
      <x:c r="J2026" s="1"/>
      <x:c r="K2026" s="1"/>
      <x:c r="L2026" s="1"/>
      <x:c r="M2026" s="1"/>
      <x:c r="N2026" s="1"/>
      <x:c r="O2026" s="1"/>
      <x:c r="P2026" s="1"/>
      <x:c r="Q2026" s="1"/>
      <x:c r="R2026" s="1"/>
      <x:c r="S2026" s="1"/>
      <x:c r="T2026" s="1"/>
      <x:c r="U2026" s="1"/>
      <x:c r="V2026" s="1"/>
      <x:c r="W2026" s="1"/>
      <x:c r="X2026" s="1"/>
      <x:c r="Y2026" s="1"/>
      <x:c r="Z2026" s="1"/>
    </x:row>
    <x:row r="2027">
      <x:c r="A2027" s="1"/>
      <x:c r="B2027" s="1"/>
      <x:c r="C2027" s="1"/>
      <x:c r="D2027" s="1"/>
      <x:c r="E2027" s="1"/>
      <x:c r="F2027" s="1"/>
      <x:c r="G2027" s="1"/>
      <x:c r="H2027" s="1"/>
      <x:c r="I2027" s="1"/>
      <x:c r="J2027" s="1"/>
      <x:c r="K2027" s="1"/>
      <x:c r="L2027" s="1"/>
      <x:c r="M2027" s="1"/>
      <x:c r="N2027" s="1"/>
      <x:c r="O2027" s="1"/>
      <x:c r="P2027" s="1"/>
      <x:c r="Q2027" s="1"/>
      <x:c r="R2027" s="1"/>
      <x:c r="S2027" s="1"/>
      <x:c r="T2027" s="1"/>
      <x:c r="U2027" s="1"/>
      <x:c r="V2027" s="1"/>
      <x:c r="W2027" s="1"/>
      <x:c r="X2027" s="1"/>
      <x:c r="Y2027" s="1"/>
      <x:c r="Z2027" s="1"/>
    </x:row>
    <x:row r="2028">
      <x:c r="A2028" s="1"/>
      <x:c r="B2028" s="1"/>
      <x:c r="C2028" s="1"/>
      <x:c r="D2028" s="1"/>
      <x:c r="E2028" s="1"/>
      <x:c r="F2028" s="1"/>
      <x:c r="G2028" s="1"/>
      <x:c r="H2028" s="1"/>
      <x:c r="I2028" s="1"/>
      <x:c r="J2028" s="1"/>
      <x:c r="K2028" s="1"/>
      <x:c r="L2028" s="1"/>
      <x:c r="M2028" s="1"/>
      <x:c r="N2028" s="1"/>
      <x:c r="O2028" s="1"/>
      <x:c r="P2028" s="1"/>
      <x:c r="Q2028" s="1"/>
      <x:c r="R2028" s="1"/>
      <x:c r="S2028" s="1"/>
      <x:c r="T2028" s="1"/>
      <x:c r="U2028" s="1"/>
      <x:c r="V2028" s="1"/>
      <x:c r="W2028" s="1"/>
      <x:c r="X2028" s="1"/>
      <x:c r="Y2028" s="1"/>
      <x:c r="Z2028" s="1"/>
    </x:row>
    <x:row r="2029">
      <x:c r="A2029" s="1"/>
      <x:c r="B2029" s="1"/>
      <x:c r="C2029" s="1"/>
      <x:c r="D2029" s="1"/>
      <x:c r="E2029" s="1"/>
      <x:c r="F2029" s="1"/>
      <x:c r="G2029" s="1"/>
      <x:c r="H2029" s="1"/>
      <x:c r="I2029" s="1"/>
      <x:c r="J2029" s="1"/>
      <x:c r="K2029" s="1"/>
      <x:c r="L2029" s="1"/>
      <x:c r="M2029" s="1"/>
      <x:c r="N2029" s="1"/>
      <x:c r="O2029" s="1"/>
      <x:c r="P2029" s="1"/>
      <x:c r="Q2029" s="1"/>
      <x:c r="R2029" s="1"/>
      <x:c r="S2029" s="1"/>
      <x:c r="T2029" s="1"/>
      <x:c r="U2029" s="1"/>
      <x:c r="V2029" s="1"/>
      <x:c r="W2029" s="1"/>
      <x:c r="X2029" s="1"/>
      <x:c r="Y2029" s="1"/>
      <x:c r="Z2029" s="1"/>
    </x:row>
    <x:row r="2030">
      <x:c r="A2030" s="1"/>
      <x:c r="B2030" s="1"/>
      <x:c r="C2030" s="1"/>
      <x:c r="D2030" s="1"/>
      <x:c r="E2030" s="1"/>
      <x:c r="F2030" s="1"/>
      <x:c r="G2030" s="1"/>
      <x:c r="H2030" s="1"/>
      <x:c r="I2030" s="1"/>
      <x:c r="J2030" s="1"/>
      <x:c r="K2030" s="1"/>
      <x:c r="L2030" s="1"/>
      <x:c r="M2030" s="1"/>
      <x:c r="N2030" s="1"/>
      <x:c r="O2030" s="1"/>
      <x:c r="P2030" s="1"/>
      <x:c r="Q2030" s="1"/>
      <x:c r="R2030" s="1"/>
      <x:c r="S2030" s="1"/>
      <x:c r="T2030" s="1"/>
      <x:c r="U2030" s="1"/>
      <x:c r="V2030" s="1"/>
      <x:c r="W2030" s="1"/>
      <x:c r="X2030" s="1"/>
      <x:c r="Y2030" s="1"/>
      <x:c r="Z2030" s="1"/>
    </x:row>
    <x:row r="2031">
      <x:c r="A2031" s="1"/>
      <x:c r="B2031" s="1"/>
      <x:c r="C2031" s="1"/>
      <x:c r="D2031" s="1"/>
      <x:c r="E2031" s="1"/>
      <x:c r="F2031" s="1"/>
      <x:c r="G2031" s="1"/>
      <x:c r="H2031" s="1"/>
      <x:c r="I2031" s="1"/>
      <x:c r="J2031" s="1"/>
      <x:c r="K2031" s="1"/>
      <x:c r="L2031" s="1"/>
      <x:c r="M2031" s="1"/>
      <x:c r="N2031" s="1"/>
      <x:c r="O2031" s="1"/>
      <x:c r="P2031" s="1"/>
      <x:c r="Q2031" s="1"/>
      <x:c r="R2031" s="1"/>
      <x:c r="S2031" s="1"/>
      <x:c r="T2031" s="1"/>
      <x:c r="U2031" s="1"/>
      <x:c r="V2031" s="1"/>
      <x:c r="W2031" s="1"/>
      <x:c r="X2031" s="1"/>
      <x:c r="Y2031" s="1"/>
      <x:c r="Z2031" s="1"/>
    </x:row>
    <x:row r="2032">
      <x:c r="A2032" s="1"/>
      <x:c r="B2032" s="1"/>
      <x:c r="C2032" s="1"/>
      <x:c r="D2032" s="1"/>
      <x:c r="E2032" s="1"/>
      <x:c r="F2032" s="1"/>
      <x:c r="G2032" s="1"/>
      <x:c r="H2032" s="1"/>
      <x:c r="I2032" s="1"/>
      <x:c r="J2032" s="1"/>
      <x:c r="K2032" s="1"/>
      <x:c r="L2032" s="1"/>
      <x:c r="M2032" s="1"/>
      <x:c r="N2032" s="1"/>
      <x:c r="O2032" s="1"/>
      <x:c r="P2032" s="1"/>
      <x:c r="Q2032" s="1"/>
      <x:c r="R2032" s="1"/>
      <x:c r="S2032" s="1"/>
      <x:c r="T2032" s="1"/>
      <x:c r="U2032" s="1"/>
      <x:c r="V2032" s="1"/>
      <x:c r="W2032" s="1"/>
      <x:c r="X2032" s="1"/>
      <x:c r="Y2032" s="1"/>
      <x:c r="Z2032" s="1"/>
    </x:row>
    <x:row r="2033">
      <x:c r="A2033" s="1"/>
      <x:c r="B2033" s="1"/>
      <x:c r="C2033" s="1"/>
      <x:c r="D2033" s="1"/>
      <x:c r="E2033" s="1"/>
      <x:c r="F2033" s="1"/>
      <x:c r="G2033" s="1"/>
      <x:c r="H2033" s="1"/>
      <x:c r="I2033" s="1"/>
      <x:c r="J2033" s="1"/>
      <x:c r="K2033" s="1"/>
      <x:c r="L2033" s="1"/>
      <x:c r="M2033" s="1"/>
      <x:c r="N2033" s="1"/>
      <x:c r="O2033" s="1"/>
      <x:c r="P2033" s="1"/>
      <x:c r="Q2033" s="1"/>
      <x:c r="R2033" s="1"/>
      <x:c r="S2033" s="1"/>
      <x:c r="T2033" s="1"/>
      <x:c r="U2033" s="1"/>
      <x:c r="V2033" s="1"/>
      <x:c r="W2033" s="1"/>
      <x:c r="X2033" s="1"/>
      <x:c r="Y2033" s="1"/>
      <x:c r="Z2033" s="1"/>
    </x:row>
    <x:row r="2034">
      <x:c r="A2034" s="1"/>
      <x:c r="B2034" s="1"/>
      <x:c r="C2034" s="1"/>
      <x:c r="D2034" s="1"/>
      <x:c r="E2034" s="1"/>
      <x:c r="F2034" s="1"/>
      <x:c r="G2034" s="1"/>
      <x:c r="H2034" s="1"/>
      <x:c r="I2034" s="1"/>
      <x:c r="J2034" s="1"/>
      <x:c r="K2034" s="1"/>
      <x:c r="L2034" s="1"/>
      <x:c r="M2034" s="1"/>
      <x:c r="N2034" s="1"/>
      <x:c r="O2034" s="1"/>
      <x:c r="P2034" s="1"/>
      <x:c r="Q2034" s="1"/>
      <x:c r="R2034" s="1"/>
      <x:c r="S2034" s="1"/>
      <x:c r="T2034" s="1"/>
      <x:c r="U2034" s="1"/>
      <x:c r="V2034" s="1"/>
      <x:c r="W2034" s="1"/>
      <x:c r="X2034" s="1"/>
      <x:c r="Y2034" s="1"/>
      <x:c r="Z2034" s="1"/>
    </x:row>
    <x:row r="2035">
      <x:c r="A2035" s="1"/>
      <x:c r="B2035" s="1"/>
      <x:c r="C2035" s="1"/>
      <x:c r="D2035" s="1"/>
      <x:c r="E2035" s="1"/>
      <x:c r="F2035" s="1"/>
      <x:c r="G2035" s="1"/>
      <x:c r="H2035" s="1"/>
      <x:c r="I2035" s="1"/>
      <x:c r="J2035" s="1"/>
      <x:c r="K2035" s="1"/>
      <x:c r="L2035" s="1"/>
      <x:c r="M2035" s="1"/>
      <x:c r="N2035" s="1"/>
      <x:c r="O2035" s="1"/>
      <x:c r="P2035" s="1"/>
      <x:c r="Q2035" s="1"/>
      <x:c r="R2035" s="1"/>
      <x:c r="S2035" s="1"/>
      <x:c r="T2035" s="1"/>
      <x:c r="U2035" s="1"/>
      <x:c r="V2035" s="1"/>
      <x:c r="W2035" s="1"/>
      <x:c r="X2035" s="1"/>
      <x:c r="Y2035" s="1"/>
      <x:c r="Z2035" s="1"/>
    </x:row>
    <x:row r="2036">
      <x:c r="A2036" s="1"/>
      <x:c r="B2036" s="1"/>
      <x:c r="C2036" s="1"/>
      <x:c r="D2036" s="1"/>
      <x:c r="E2036" s="1"/>
      <x:c r="F2036" s="1"/>
      <x:c r="G2036" s="1"/>
      <x:c r="H2036" s="1"/>
      <x:c r="I2036" s="1"/>
      <x:c r="J2036" s="1"/>
      <x:c r="K2036" s="1"/>
      <x:c r="L2036" s="1"/>
      <x:c r="M2036" s="1"/>
      <x:c r="N2036" s="1"/>
      <x:c r="O2036" s="1"/>
      <x:c r="P2036" s="1"/>
      <x:c r="Q2036" s="1"/>
      <x:c r="R2036" s="1"/>
      <x:c r="S2036" s="1"/>
      <x:c r="T2036" s="1"/>
      <x:c r="U2036" s="1"/>
      <x:c r="V2036" s="1"/>
      <x:c r="W2036" s="1"/>
      <x:c r="X2036" s="1"/>
      <x:c r="Y2036" s="1"/>
      <x:c r="Z2036" s="1"/>
    </x:row>
    <x:row r="2037">
      <x:c r="A2037" s="1"/>
      <x:c r="B2037" s="1"/>
      <x:c r="C2037" s="1"/>
      <x:c r="D2037" s="1"/>
      <x:c r="E2037" s="1"/>
      <x:c r="F2037" s="1"/>
      <x:c r="G2037" s="1"/>
      <x:c r="H2037" s="1"/>
      <x:c r="I2037" s="1"/>
      <x:c r="J2037" s="1"/>
      <x:c r="K2037" s="1"/>
      <x:c r="L2037" s="1"/>
      <x:c r="M2037" s="1"/>
      <x:c r="N2037" s="1"/>
      <x:c r="O2037" s="1"/>
      <x:c r="P2037" s="1"/>
      <x:c r="Q2037" s="1"/>
      <x:c r="R2037" s="1"/>
      <x:c r="S2037" s="1"/>
      <x:c r="T2037" s="1"/>
      <x:c r="U2037" s="1"/>
      <x:c r="V2037" s="1"/>
      <x:c r="W2037" s="1"/>
      <x:c r="X2037" s="1"/>
      <x:c r="Y2037" s="1"/>
      <x:c r="Z2037" s="1"/>
    </x:row>
    <x:row r="2038">
      <x:c r="A2038" s="1"/>
      <x:c r="B2038" s="1"/>
      <x:c r="C2038" s="1"/>
      <x:c r="D2038" s="1"/>
      <x:c r="E2038" s="1"/>
      <x:c r="F2038" s="1"/>
      <x:c r="G2038" s="1"/>
      <x:c r="H2038" s="1"/>
      <x:c r="I2038" s="1"/>
      <x:c r="J2038" s="1"/>
      <x:c r="K2038" s="1"/>
      <x:c r="L2038" s="1"/>
      <x:c r="M2038" s="1"/>
      <x:c r="N2038" s="1"/>
      <x:c r="O2038" s="1"/>
      <x:c r="P2038" s="1"/>
      <x:c r="Q2038" s="1"/>
      <x:c r="R2038" s="1"/>
      <x:c r="S2038" s="1"/>
      <x:c r="T2038" s="1"/>
      <x:c r="U2038" s="1"/>
      <x:c r="V2038" s="1"/>
      <x:c r="W2038" s="1"/>
      <x:c r="X2038" s="1"/>
      <x:c r="Y2038" s="1"/>
      <x:c r="Z2038" s="1"/>
    </x:row>
    <x:row r="2039">
      <x:c r="A2039" s="1"/>
      <x:c r="B2039" s="1"/>
      <x:c r="C2039" s="1"/>
      <x:c r="D2039" s="1"/>
      <x:c r="E2039" s="1"/>
      <x:c r="F2039" s="1"/>
      <x:c r="G2039" s="1"/>
      <x:c r="H2039" s="1"/>
      <x:c r="I2039" s="1"/>
      <x:c r="J2039" s="1"/>
      <x:c r="K2039" s="1"/>
      <x:c r="L2039" s="1"/>
      <x:c r="M2039" s="1"/>
      <x:c r="N2039" s="1"/>
      <x:c r="O2039" s="1"/>
      <x:c r="P2039" s="1"/>
      <x:c r="Q2039" s="1"/>
      <x:c r="R2039" s="1"/>
      <x:c r="S2039" s="1"/>
      <x:c r="T2039" s="1"/>
      <x:c r="U2039" s="1"/>
      <x:c r="V2039" s="1"/>
      <x:c r="W2039" s="1"/>
      <x:c r="X2039" s="1"/>
      <x:c r="Y2039" s="1"/>
      <x:c r="Z2039" s="1"/>
    </x:row>
    <x:row r="2040">
      <x:c r="A2040" s="1"/>
      <x:c r="B2040" s="1"/>
      <x:c r="C2040" s="1"/>
      <x:c r="D2040" s="1"/>
      <x:c r="E2040" s="1"/>
      <x:c r="F2040" s="1"/>
      <x:c r="G2040" s="1"/>
      <x:c r="H2040" s="1"/>
      <x:c r="I2040" s="1"/>
      <x:c r="J2040" s="1"/>
      <x:c r="K2040" s="1"/>
      <x:c r="L2040" s="1"/>
      <x:c r="M2040" s="1"/>
      <x:c r="N2040" s="1"/>
      <x:c r="O2040" s="1"/>
      <x:c r="P2040" s="1"/>
      <x:c r="Q2040" s="1"/>
      <x:c r="R2040" s="1"/>
      <x:c r="S2040" s="1"/>
      <x:c r="T2040" s="1"/>
      <x:c r="U2040" s="1"/>
      <x:c r="V2040" s="1"/>
      <x:c r="W2040" s="1"/>
      <x:c r="X2040" s="1"/>
      <x:c r="Y2040" s="1"/>
      <x:c r="Z2040" s="1"/>
    </x:row>
    <x:row r="2041">
      <x:c r="A2041" s="1"/>
      <x:c r="B2041" s="1"/>
      <x:c r="C2041" s="1"/>
      <x:c r="D2041" s="1"/>
      <x:c r="E2041" s="1"/>
      <x:c r="F2041" s="1"/>
      <x:c r="G2041" s="1"/>
      <x:c r="H2041" s="1"/>
      <x:c r="I2041" s="1"/>
      <x:c r="J2041" s="1"/>
      <x:c r="K2041" s="1"/>
      <x:c r="L2041" s="1"/>
      <x:c r="M2041" s="1"/>
      <x:c r="N2041" s="1"/>
      <x:c r="O2041" s="1"/>
      <x:c r="P2041" s="1"/>
      <x:c r="Q2041" s="1"/>
      <x:c r="R2041" s="1"/>
      <x:c r="S2041" s="1"/>
      <x:c r="T2041" s="1"/>
      <x:c r="U2041" s="1"/>
      <x:c r="V2041" s="1"/>
      <x:c r="W2041" s="1"/>
      <x:c r="X2041" s="1"/>
      <x:c r="Y2041" s="1"/>
      <x:c r="Z2041" s="1"/>
    </x:row>
    <x:row r="2042">
      <x:c r="A2042" s="1"/>
      <x:c r="B2042" s="1"/>
      <x:c r="C2042" s="1"/>
      <x:c r="D2042" s="1"/>
      <x:c r="E2042" s="1"/>
      <x:c r="F2042" s="1"/>
      <x:c r="G2042" s="1"/>
      <x:c r="H2042" s="1"/>
      <x:c r="I2042" s="1"/>
      <x:c r="J2042" s="1"/>
      <x:c r="K2042" s="1"/>
      <x:c r="L2042" s="1"/>
      <x:c r="M2042" s="1"/>
      <x:c r="N2042" s="1"/>
      <x:c r="O2042" s="1"/>
      <x:c r="P2042" s="1"/>
      <x:c r="Q2042" s="1"/>
      <x:c r="R2042" s="1"/>
      <x:c r="S2042" s="1"/>
      <x:c r="T2042" s="1"/>
      <x:c r="U2042" s="1"/>
      <x:c r="V2042" s="1"/>
      <x:c r="W2042" s="1"/>
      <x:c r="X2042" s="1"/>
      <x:c r="Y2042" s="1"/>
      <x:c r="Z2042" s="1"/>
    </x:row>
    <x:row r="2043">
      <x:c r="A2043" s="1"/>
      <x:c r="B2043" s="1"/>
      <x:c r="C2043" s="1"/>
      <x:c r="D2043" s="1"/>
      <x:c r="E2043" s="1"/>
      <x:c r="F2043" s="1"/>
      <x:c r="G2043" s="1"/>
      <x:c r="H2043" s="1"/>
      <x:c r="I2043" s="1"/>
      <x:c r="J2043" s="1"/>
      <x:c r="K2043" s="1"/>
      <x:c r="L2043" s="1"/>
      <x:c r="M2043" s="1"/>
      <x:c r="N2043" s="1"/>
      <x:c r="O2043" s="1"/>
      <x:c r="P2043" s="1"/>
      <x:c r="Q2043" s="1"/>
      <x:c r="R2043" s="1"/>
      <x:c r="S2043" s="1"/>
      <x:c r="T2043" s="1"/>
      <x:c r="U2043" s="1"/>
      <x:c r="V2043" s="1"/>
      <x:c r="W2043" s="1"/>
      <x:c r="X2043" s="1"/>
      <x:c r="Y2043" s="1"/>
      <x:c r="Z2043" s="1"/>
    </x:row>
    <x:row r="2044">
      <x:c r="A2044" s="1"/>
      <x:c r="B2044" s="1"/>
      <x:c r="C2044" s="1"/>
      <x:c r="D2044" s="1"/>
      <x:c r="E2044" s="1"/>
      <x:c r="F2044" s="1"/>
      <x:c r="G2044" s="1"/>
      <x:c r="H2044" s="1"/>
      <x:c r="I2044" s="1"/>
      <x:c r="J2044" s="1"/>
      <x:c r="K2044" s="1"/>
      <x:c r="L2044" s="1"/>
      <x:c r="M2044" s="1"/>
      <x:c r="N2044" s="1"/>
      <x:c r="O2044" s="1"/>
      <x:c r="P2044" s="1"/>
      <x:c r="Q2044" s="1"/>
      <x:c r="R2044" s="1"/>
      <x:c r="S2044" s="1"/>
      <x:c r="T2044" s="1"/>
      <x:c r="U2044" s="1"/>
      <x:c r="V2044" s="1"/>
      <x:c r="W2044" s="1"/>
      <x:c r="X2044" s="1"/>
      <x:c r="Y2044" s="1"/>
      <x:c r="Z2044" s="1"/>
    </x:row>
    <x:row r="2045">
      <x:c r="A2045" s="1"/>
      <x:c r="B2045" s="1"/>
      <x:c r="C2045" s="1"/>
      <x:c r="D2045" s="1"/>
      <x:c r="E2045" s="1"/>
      <x:c r="F2045" s="1"/>
      <x:c r="G2045" s="1"/>
      <x:c r="H2045" s="1"/>
      <x:c r="I2045" s="1"/>
      <x:c r="J2045" s="1"/>
      <x:c r="K2045" s="1"/>
      <x:c r="L2045" s="1"/>
      <x:c r="M2045" s="1"/>
      <x:c r="N2045" s="1"/>
      <x:c r="O2045" s="1"/>
      <x:c r="P2045" s="1"/>
      <x:c r="Q2045" s="1"/>
      <x:c r="R2045" s="1"/>
      <x:c r="S2045" s="1"/>
      <x:c r="T2045" s="1"/>
      <x:c r="U2045" s="1"/>
      <x:c r="V2045" s="1"/>
      <x:c r="W2045" s="1"/>
      <x:c r="X2045" s="1"/>
      <x:c r="Y2045" s="1"/>
      <x:c r="Z2045" s="1"/>
    </x:row>
    <x:row r="2046">
      <x:c r="A2046" s="1"/>
      <x:c r="B2046" s="1"/>
      <x:c r="C2046" s="1"/>
      <x:c r="D2046" s="1"/>
      <x:c r="E2046" s="1"/>
      <x:c r="F2046" s="1"/>
      <x:c r="G2046" s="1"/>
      <x:c r="H2046" s="1"/>
      <x:c r="I2046" s="1"/>
      <x:c r="J2046" s="1"/>
      <x:c r="K2046" s="1"/>
      <x:c r="L2046" s="1"/>
      <x:c r="M2046" s="1"/>
      <x:c r="N2046" s="1"/>
      <x:c r="O2046" s="1"/>
      <x:c r="P2046" s="1"/>
      <x:c r="Q2046" s="1"/>
      <x:c r="R2046" s="1"/>
      <x:c r="S2046" s="1"/>
      <x:c r="T2046" s="1"/>
      <x:c r="U2046" s="1"/>
      <x:c r="V2046" s="1"/>
      <x:c r="W2046" s="1"/>
      <x:c r="X2046" s="1"/>
      <x:c r="Y2046" s="1"/>
      <x:c r="Z2046" s="1"/>
    </x:row>
    <x:row r="2047">
      <x:c r="A2047" s="1"/>
      <x:c r="B2047" s="1"/>
      <x:c r="C2047" s="1"/>
      <x:c r="D2047" s="1"/>
      <x:c r="E2047" s="1"/>
      <x:c r="F2047" s="1"/>
      <x:c r="G2047" s="1"/>
      <x:c r="H2047" s="1"/>
      <x:c r="I2047" s="1"/>
      <x:c r="J2047" s="1"/>
      <x:c r="K2047" s="1"/>
      <x:c r="L2047" s="1"/>
      <x:c r="M2047" s="1"/>
      <x:c r="N2047" s="1"/>
      <x:c r="O2047" s="1"/>
      <x:c r="P2047" s="1"/>
      <x:c r="Q2047" s="1"/>
      <x:c r="R2047" s="1"/>
      <x:c r="S2047" s="1"/>
      <x:c r="T2047" s="1"/>
      <x:c r="U2047" s="1"/>
      <x:c r="V2047" s="1"/>
      <x:c r="W2047" s="1"/>
      <x:c r="X2047" s="1"/>
      <x:c r="Y2047" s="1"/>
      <x:c r="Z2047" s="1"/>
    </x:row>
    <x:row r="2048">
      <x:c r="A2048" s="1"/>
      <x:c r="B2048" s="1"/>
      <x:c r="C2048" s="1"/>
      <x:c r="D2048" s="1"/>
      <x:c r="E2048" s="1"/>
      <x:c r="F2048" s="1"/>
      <x:c r="G2048" s="1"/>
      <x:c r="H2048" s="1"/>
      <x:c r="I2048" s="1"/>
      <x:c r="J2048" s="1"/>
      <x:c r="K2048" s="1"/>
      <x:c r="L2048" s="1"/>
      <x:c r="M2048" s="1"/>
      <x:c r="N2048" s="1"/>
      <x:c r="O2048" s="1"/>
      <x:c r="P2048" s="1"/>
      <x:c r="Q2048" s="1"/>
      <x:c r="R2048" s="1"/>
      <x:c r="S2048" s="1"/>
      <x:c r="T2048" s="1"/>
      <x:c r="U2048" s="1"/>
      <x:c r="V2048" s="1"/>
      <x:c r="W2048" s="1"/>
      <x:c r="X2048" s="1"/>
      <x:c r="Y2048" s="1"/>
      <x:c r="Z2048" s="1"/>
    </x:row>
    <x:row r="2049">
      <x:c r="A2049" s="1"/>
      <x:c r="B2049" s="1"/>
      <x:c r="C2049" s="1"/>
      <x:c r="D2049" s="1"/>
      <x:c r="E2049" s="1"/>
      <x:c r="F2049" s="1"/>
      <x:c r="G2049" s="1"/>
      <x:c r="H2049" s="1"/>
      <x:c r="I2049" s="1"/>
      <x:c r="J2049" s="1"/>
      <x:c r="K2049" s="1"/>
      <x:c r="L2049" s="1"/>
      <x:c r="M2049" s="1"/>
      <x:c r="N2049" s="1"/>
      <x:c r="O2049" s="1"/>
      <x:c r="P2049" s="1"/>
      <x:c r="Q2049" s="1"/>
      <x:c r="R2049" s="1"/>
      <x:c r="S2049" s="1"/>
      <x:c r="T2049" s="1"/>
      <x:c r="U2049" s="1"/>
      <x:c r="V2049" s="1"/>
      <x:c r="W2049" s="1"/>
      <x:c r="X2049" s="1"/>
      <x:c r="Y2049" s="1"/>
      <x:c r="Z2049" s="1"/>
    </x:row>
    <x:row r="2050">
      <x:c r="A2050" s="1"/>
      <x:c r="B2050" s="1"/>
      <x:c r="C2050" s="1"/>
      <x:c r="D2050" s="1"/>
      <x:c r="E2050" s="1"/>
      <x:c r="F2050" s="1"/>
      <x:c r="G2050" s="1"/>
      <x:c r="H2050" s="1"/>
      <x:c r="I2050" s="1"/>
      <x:c r="J2050" s="1"/>
      <x:c r="K2050" s="1"/>
      <x:c r="L2050" s="1"/>
      <x:c r="M2050" s="1"/>
      <x:c r="N2050" s="1"/>
      <x:c r="O2050" s="1"/>
      <x:c r="P2050" s="1"/>
      <x:c r="Q2050" s="1"/>
      <x:c r="R2050" s="1"/>
      <x:c r="S2050" s="1"/>
      <x:c r="T2050" s="1"/>
      <x:c r="U2050" s="1"/>
      <x:c r="V2050" s="1"/>
      <x:c r="W2050" s="1"/>
      <x:c r="X2050" s="1"/>
      <x:c r="Y2050" s="1"/>
      <x:c r="Z2050" s="1"/>
    </x:row>
    <x:row r="2051">
      <x:c r="A2051" s="1"/>
      <x:c r="B2051" s="1"/>
      <x:c r="C2051" s="1"/>
      <x:c r="D2051" s="1"/>
      <x:c r="E2051" s="1"/>
      <x:c r="F2051" s="1"/>
      <x:c r="G2051" s="1"/>
      <x:c r="H2051" s="1"/>
      <x:c r="I2051" s="1"/>
      <x:c r="J2051" s="1"/>
      <x:c r="K2051" s="1"/>
      <x:c r="L2051" s="1"/>
      <x:c r="M2051" s="1"/>
      <x:c r="N2051" s="1"/>
      <x:c r="O2051" s="1"/>
      <x:c r="P2051" s="1"/>
      <x:c r="Q2051" s="1"/>
      <x:c r="R2051" s="1"/>
      <x:c r="S2051" s="1"/>
      <x:c r="T2051" s="1"/>
      <x:c r="U2051" s="1"/>
      <x:c r="V2051" s="1"/>
      <x:c r="W2051" s="1"/>
      <x:c r="X2051" s="1"/>
      <x:c r="Y2051" s="1"/>
      <x:c r="Z2051" s="1"/>
    </x:row>
    <x:row r="2052">
      <x:c r="A2052" s="1"/>
      <x:c r="B2052" s="1"/>
      <x:c r="C2052" s="1"/>
      <x:c r="D2052" s="1"/>
      <x:c r="E2052" s="1"/>
      <x:c r="F2052" s="1"/>
      <x:c r="G2052" s="1"/>
      <x:c r="H2052" s="1"/>
      <x:c r="I2052" s="1"/>
      <x:c r="J2052" s="1"/>
      <x:c r="K2052" s="1"/>
      <x:c r="L2052" s="1"/>
      <x:c r="M2052" s="1"/>
      <x:c r="N2052" s="1"/>
      <x:c r="O2052" s="1"/>
      <x:c r="P2052" s="1"/>
      <x:c r="Q2052" s="1"/>
      <x:c r="R2052" s="1"/>
      <x:c r="S2052" s="1"/>
      <x:c r="T2052" s="1"/>
      <x:c r="U2052" s="1"/>
      <x:c r="V2052" s="1"/>
      <x:c r="W2052" s="1"/>
      <x:c r="X2052" s="1"/>
      <x:c r="Y2052" s="1"/>
      <x:c r="Z2052" s="1"/>
    </x:row>
    <x:row r="2053">
      <x:c r="A2053" s="1"/>
      <x:c r="B2053" s="1"/>
      <x:c r="C2053" s="1"/>
      <x:c r="D2053" s="1"/>
      <x:c r="E2053" s="1"/>
      <x:c r="F2053" s="1"/>
      <x:c r="G2053" s="1"/>
      <x:c r="H2053" s="1"/>
      <x:c r="I2053" s="1"/>
      <x:c r="J2053" s="1"/>
      <x:c r="K2053" s="1"/>
      <x:c r="L2053" s="1"/>
      <x:c r="M2053" s="1"/>
      <x:c r="N2053" s="1"/>
      <x:c r="O2053" s="1"/>
      <x:c r="P2053" s="1"/>
      <x:c r="Q2053" s="1"/>
      <x:c r="R2053" s="1"/>
      <x:c r="S2053" s="1"/>
      <x:c r="T2053" s="1"/>
      <x:c r="U2053" s="1"/>
      <x:c r="V2053" s="1"/>
      <x:c r="W2053" s="1"/>
      <x:c r="X2053" s="1"/>
      <x:c r="Y2053" s="1"/>
      <x:c r="Z2053" s="1"/>
    </x:row>
    <x:row r="2054">
      <x:c r="A2054" s="1"/>
      <x:c r="B2054" s="1"/>
      <x:c r="C2054" s="1"/>
      <x:c r="D2054" s="1"/>
      <x:c r="E2054" s="1"/>
      <x:c r="F2054" s="1"/>
      <x:c r="G2054" s="1"/>
      <x:c r="H2054" s="1"/>
      <x:c r="I2054" s="1"/>
      <x:c r="J2054" s="1"/>
      <x:c r="K2054" s="1"/>
      <x:c r="L2054" s="1"/>
      <x:c r="M2054" s="1"/>
      <x:c r="N2054" s="1"/>
      <x:c r="O2054" s="1"/>
      <x:c r="P2054" s="1"/>
      <x:c r="Q2054" s="1"/>
      <x:c r="R2054" s="1"/>
      <x:c r="S2054" s="1"/>
      <x:c r="T2054" s="1"/>
      <x:c r="U2054" s="1"/>
      <x:c r="V2054" s="1"/>
      <x:c r="W2054" s="1"/>
      <x:c r="X2054" s="1"/>
      <x:c r="Y2054" s="1"/>
      <x:c r="Z2054" s="1"/>
    </x:row>
    <x:row r="2055">
      <x:c r="A2055" s="1"/>
      <x:c r="B2055" s="1"/>
      <x:c r="C2055" s="1"/>
      <x:c r="D2055" s="1"/>
      <x:c r="E2055" s="1"/>
      <x:c r="F2055" s="1"/>
      <x:c r="G2055" s="1"/>
      <x:c r="H2055" s="1"/>
      <x:c r="I2055" s="1"/>
      <x:c r="J2055" s="1"/>
      <x:c r="K2055" s="1"/>
      <x:c r="L2055" s="1"/>
      <x:c r="M2055" s="1"/>
      <x:c r="N2055" s="1"/>
      <x:c r="O2055" s="1"/>
      <x:c r="P2055" s="1"/>
      <x:c r="Q2055" s="1"/>
      <x:c r="R2055" s="1"/>
      <x:c r="S2055" s="1"/>
      <x:c r="T2055" s="1"/>
      <x:c r="U2055" s="1"/>
      <x:c r="V2055" s="1"/>
      <x:c r="W2055" s="1"/>
      <x:c r="X2055" s="1"/>
      <x:c r="Y2055" s="1"/>
      <x:c r="Z2055" s="1"/>
    </x:row>
    <x:row r="2056">
      <x:c r="A2056" s="1"/>
      <x:c r="B2056" s="1"/>
      <x:c r="C2056" s="1"/>
      <x:c r="D2056" s="1"/>
      <x:c r="E2056" s="1"/>
      <x:c r="F2056" s="1"/>
      <x:c r="G2056" s="1"/>
      <x:c r="H2056" s="1"/>
      <x:c r="I2056" s="1"/>
      <x:c r="J2056" s="1"/>
      <x:c r="K2056" s="1"/>
      <x:c r="L2056" s="1"/>
      <x:c r="M2056" s="1"/>
      <x:c r="N2056" s="1"/>
      <x:c r="O2056" s="1"/>
      <x:c r="P2056" s="1"/>
      <x:c r="Q2056" s="1"/>
      <x:c r="R2056" s="1"/>
      <x:c r="S2056" s="1"/>
      <x:c r="T2056" s="1"/>
      <x:c r="U2056" s="1"/>
      <x:c r="V2056" s="1"/>
      <x:c r="W2056" s="1"/>
      <x:c r="X2056" s="1"/>
      <x:c r="Y2056" s="1"/>
      <x:c r="Z2056" s="1"/>
    </x:row>
    <x:row r="2057">
      <x:c r="A2057" s="1"/>
      <x:c r="B2057" s="1"/>
      <x:c r="C2057" s="1"/>
      <x:c r="D2057" s="1"/>
      <x:c r="E2057" s="1"/>
      <x:c r="F2057" s="1"/>
      <x:c r="G2057" s="1"/>
      <x:c r="H2057" s="1"/>
      <x:c r="I2057" s="1"/>
      <x:c r="J2057" s="1"/>
      <x:c r="K2057" s="1"/>
      <x:c r="L2057" s="1"/>
      <x:c r="M2057" s="1"/>
      <x:c r="N2057" s="1"/>
      <x:c r="O2057" s="1"/>
      <x:c r="P2057" s="1"/>
      <x:c r="Q2057" s="1"/>
      <x:c r="R2057" s="1"/>
      <x:c r="S2057" s="1"/>
      <x:c r="T2057" s="1"/>
      <x:c r="U2057" s="1"/>
      <x:c r="V2057" s="1"/>
      <x:c r="W2057" s="1"/>
      <x:c r="X2057" s="1"/>
      <x:c r="Y2057" s="1"/>
      <x:c r="Z2057" s="1"/>
    </x:row>
    <x:row r="2058">
      <x:c r="A2058" s="1"/>
      <x:c r="B2058" s="1"/>
      <x:c r="C2058" s="1"/>
      <x:c r="D2058" s="1"/>
      <x:c r="E2058" s="1"/>
      <x:c r="F2058" s="1"/>
      <x:c r="G2058" s="1"/>
      <x:c r="H2058" s="1"/>
      <x:c r="I2058" s="1"/>
      <x:c r="J2058" s="1"/>
      <x:c r="K2058" s="1"/>
      <x:c r="L2058" s="1"/>
      <x:c r="M2058" s="1"/>
      <x:c r="N2058" s="1"/>
      <x:c r="O2058" s="1"/>
      <x:c r="P2058" s="1"/>
      <x:c r="Q2058" s="1"/>
      <x:c r="R2058" s="1"/>
      <x:c r="S2058" s="1"/>
      <x:c r="T2058" s="1"/>
      <x:c r="U2058" s="1"/>
      <x:c r="V2058" s="1"/>
      <x:c r="W2058" s="1"/>
      <x:c r="X2058" s="1"/>
      <x:c r="Y2058" s="1"/>
      <x:c r="Z2058" s="1"/>
    </x:row>
    <x:row r="2059">
      <x:c r="A2059" s="1"/>
      <x:c r="B2059" s="1"/>
      <x:c r="C2059" s="1"/>
      <x:c r="D2059" s="1"/>
      <x:c r="E2059" s="1"/>
      <x:c r="F2059" s="1"/>
      <x:c r="G2059" s="1"/>
      <x:c r="H2059" s="1"/>
      <x:c r="I2059" s="1"/>
      <x:c r="J2059" s="1"/>
      <x:c r="K2059" s="1"/>
      <x:c r="L2059" s="1"/>
      <x:c r="M2059" s="1"/>
      <x:c r="N2059" s="1"/>
      <x:c r="O2059" s="1"/>
      <x:c r="P2059" s="1"/>
      <x:c r="Q2059" s="1"/>
      <x:c r="R2059" s="1"/>
      <x:c r="S2059" s="1"/>
      <x:c r="T2059" s="1"/>
      <x:c r="U2059" s="1"/>
      <x:c r="V2059" s="1"/>
      <x:c r="W2059" s="1"/>
      <x:c r="X2059" s="1"/>
      <x:c r="Y2059" s="1"/>
      <x:c r="Z2059" s="1"/>
    </x:row>
    <x:row r="2060">
      <x:c r="A2060" s="1"/>
      <x:c r="B2060" s="1"/>
      <x:c r="C2060" s="1"/>
      <x:c r="D2060" s="1"/>
      <x:c r="E2060" s="1"/>
      <x:c r="F2060" s="1"/>
      <x:c r="G2060" s="1"/>
      <x:c r="H2060" s="1"/>
      <x:c r="I2060" s="1"/>
      <x:c r="J2060" s="1"/>
      <x:c r="K2060" s="1"/>
      <x:c r="L2060" s="1"/>
      <x:c r="M2060" s="1"/>
      <x:c r="N2060" s="1"/>
      <x:c r="O2060" s="1"/>
      <x:c r="P2060" s="1"/>
      <x:c r="Q2060" s="1"/>
      <x:c r="R2060" s="1"/>
      <x:c r="S2060" s="1"/>
      <x:c r="T2060" s="1"/>
      <x:c r="U2060" s="1"/>
      <x:c r="V2060" s="1"/>
      <x:c r="W2060" s="1"/>
      <x:c r="X2060" s="1"/>
      <x:c r="Y2060" s="1"/>
      <x:c r="Z2060" s="1"/>
    </x:row>
    <x:row r="2061">
      <x:c r="A2061" s="1"/>
      <x:c r="B2061" s="1"/>
      <x:c r="C2061" s="1"/>
      <x:c r="D2061" s="1"/>
      <x:c r="E2061" s="1"/>
      <x:c r="F2061" s="1"/>
      <x:c r="G2061" s="1"/>
      <x:c r="H2061" s="1"/>
      <x:c r="I2061" s="1"/>
      <x:c r="J2061" s="1"/>
      <x:c r="K2061" s="1"/>
      <x:c r="L2061" s="1"/>
      <x:c r="M2061" s="1"/>
      <x:c r="N2061" s="1"/>
      <x:c r="O2061" s="1"/>
      <x:c r="P2061" s="1"/>
      <x:c r="Q2061" s="1"/>
      <x:c r="R2061" s="1"/>
      <x:c r="S2061" s="1"/>
      <x:c r="T2061" s="1"/>
      <x:c r="U2061" s="1"/>
      <x:c r="V2061" s="1"/>
      <x:c r="W2061" s="1"/>
      <x:c r="X2061" s="1"/>
      <x:c r="Y2061" s="1"/>
      <x:c r="Z2061" s="1"/>
    </x:row>
    <x:row r="2062">
      <x:c r="A2062" s="1"/>
      <x:c r="B2062" s="1"/>
      <x:c r="C2062" s="1"/>
      <x:c r="D2062" s="1"/>
      <x:c r="E2062" s="1"/>
      <x:c r="F2062" s="1"/>
      <x:c r="G2062" s="1"/>
      <x:c r="H2062" s="1"/>
      <x:c r="I2062" s="1"/>
      <x:c r="J2062" s="1"/>
      <x:c r="K2062" s="1"/>
      <x:c r="L2062" s="1"/>
      <x:c r="M2062" s="1"/>
      <x:c r="N2062" s="1"/>
      <x:c r="O2062" s="1"/>
      <x:c r="P2062" s="1"/>
      <x:c r="Q2062" s="1"/>
      <x:c r="R2062" s="1"/>
      <x:c r="S2062" s="1"/>
      <x:c r="T2062" s="1"/>
      <x:c r="U2062" s="1"/>
      <x:c r="V2062" s="1"/>
      <x:c r="W2062" s="1"/>
      <x:c r="X2062" s="1"/>
      <x:c r="Y2062" s="1"/>
      <x:c r="Z2062" s="1"/>
    </x:row>
    <x:row r="2063">
      <x:c r="A2063" s="1"/>
      <x:c r="B2063" s="1"/>
      <x:c r="C2063" s="1"/>
      <x:c r="D2063" s="1"/>
      <x:c r="E2063" s="1"/>
      <x:c r="F2063" s="1"/>
      <x:c r="G2063" s="1"/>
      <x:c r="H2063" s="1"/>
      <x:c r="I2063" s="1"/>
      <x:c r="J2063" s="1"/>
      <x:c r="K2063" s="1"/>
      <x:c r="L2063" s="1"/>
      <x:c r="M2063" s="1"/>
      <x:c r="N2063" s="1"/>
      <x:c r="O2063" s="1"/>
      <x:c r="P2063" s="1"/>
      <x:c r="Q2063" s="1"/>
      <x:c r="R2063" s="1"/>
      <x:c r="S2063" s="1"/>
      <x:c r="T2063" s="1"/>
      <x:c r="U2063" s="1"/>
      <x:c r="V2063" s="1"/>
      <x:c r="W2063" s="1"/>
      <x:c r="X2063" s="1"/>
      <x:c r="Y2063" s="1"/>
      <x:c r="Z2063" s="1"/>
    </x:row>
    <x:row r="2064">
      <x:c r="A2064" s="1"/>
      <x:c r="B2064" s="1"/>
      <x:c r="C2064" s="1"/>
      <x:c r="D2064" s="1"/>
      <x:c r="E2064" s="1"/>
      <x:c r="F2064" s="1"/>
      <x:c r="G2064" s="1"/>
      <x:c r="H2064" s="1"/>
      <x:c r="I2064" s="1"/>
      <x:c r="J2064" s="1"/>
      <x:c r="K2064" s="1"/>
      <x:c r="L2064" s="1"/>
      <x:c r="M2064" s="1"/>
      <x:c r="N2064" s="1"/>
      <x:c r="O2064" s="1"/>
      <x:c r="P2064" s="1"/>
      <x:c r="Q2064" s="1"/>
      <x:c r="R2064" s="1"/>
      <x:c r="S2064" s="1"/>
      <x:c r="T2064" s="1"/>
      <x:c r="U2064" s="1"/>
      <x:c r="V2064" s="1"/>
      <x:c r="W2064" s="1"/>
      <x:c r="X2064" s="1"/>
      <x:c r="Y2064" s="1"/>
      <x:c r="Z2064" s="1"/>
    </x:row>
    <x:row r="2065">
      <x:c r="A2065" s="1"/>
      <x:c r="B2065" s="1"/>
      <x:c r="C2065" s="1"/>
      <x:c r="D2065" s="1"/>
      <x:c r="E2065" s="1"/>
      <x:c r="F2065" s="1"/>
      <x:c r="G2065" s="1"/>
      <x:c r="H2065" s="1"/>
      <x:c r="I2065" s="1"/>
      <x:c r="J2065" s="1"/>
      <x:c r="K2065" s="1"/>
      <x:c r="L2065" s="1"/>
      <x:c r="M2065" s="1"/>
      <x:c r="N2065" s="1"/>
      <x:c r="O2065" s="1"/>
      <x:c r="P2065" s="1"/>
      <x:c r="Q2065" s="1"/>
      <x:c r="R2065" s="1"/>
      <x:c r="S2065" s="1"/>
      <x:c r="T2065" s="1"/>
      <x:c r="U2065" s="1"/>
      <x:c r="V2065" s="1"/>
      <x:c r="W2065" s="1"/>
      <x:c r="X2065" s="1"/>
      <x:c r="Y2065" s="1"/>
      <x:c r="Z2065" s="1"/>
    </x:row>
    <x:row r="2066">
      <x:c r="A2066" s="1"/>
      <x:c r="B2066" s="1"/>
      <x:c r="C2066" s="1"/>
      <x:c r="D2066" s="1"/>
      <x:c r="E2066" s="1"/>
      <x:c r="F2066" s="1"/>
      <x:c r="G2066" s="1"/>
      <x:c r="H2066" s="1"/>
      <x:c r="I2066" s="1"/>
      <x:c r="J2066" s="1"/>
      <x:c r="K2066" s="1"/>
      <x:c r="L2066" s="1"/>
      <x:c r="M2066" s="1"/>
      <x:c r="N2066" s="1"/>
      <x:c r="O2066" s="1"/>
      <x:c r="P2066" s="1"/>
      <x:c r="Q2066" s="1"/>
      <x:c r="R2066" s="1"/>
      <x:c r="S2066" s="1"/>
      <x:c r="T2066" s="1"/>
      <x:c r="U2066" s="1"/>
      <x:c r="V2066" s="1"/>
      <x:c r="W2066" s="1"/>
      <x:c r="X2066" s="1"/>
      <x:c r="Y2066" s="1"/>
      <x:c r="Z2066" s="1"/>
    </x:row>
    <x:row r="2067">
      <x:c r="A2067" s="1"/>
      <x:c r="B2067" s="1"/>
      <x:c r="C2067" s="1"/>
      <x:c r="D2067" s="1"/>
      <x:c r="E2067" s="1"/>
      <x:c r="F2067" s="1"/>
      <x:c r="G2067" s="1"/>
      <x:c r="H2067" s="1"/>
      <x:c r="I2067" s="1"/>
      <x:c r="J2067" s="1"/>
      <x:c r="K2067" s="1"/>
      <x:c r="L2067" s="1"/>
      <x:c r="M2067" s="1"/>
      <x:c r="N2067" s="1"/>
      <x:c r="O2067" s="1"/>
      <x:c r="P2067" s="1"/>
      <x:c r="Q2067" s="1"/>
      <x:c r="R2067" s="1"/>
      <x:c r="S2067" s="1"/>
      <x:c r="T2067" s="1"/>
      <x:c r="U2067" s="1"/>
      <x:c r="V2067" s="1"/>
      <x:c r="W2067" s="1"/>
      <x:c r="X2067" s="1"/>
      <x:c r="Y2067" s="1"/>
      <x:c r="Z2067" s="1"/>
    </x:row>
    <x:row r="2068">
      <x:c r="A2068" s="1"/>
      <x:c r="B2068" s="1"/>
      <x:c r="C2068" s="1"/>
      <x:c r="D2068" s="1"/>
      <x:c r="E2068" s="1"/>
      <x:c r="F2068" s="1"/>
      <x:c r="G2068" s="1"/>
      <x:c r="H2068" s="1"/>
      <x:c r="I2068" s="1"/>
      <x:c r="J2068" s="1"/>
      <x:c r="K2068" s="1"/>
      <x:c r="L2068" s="1"/>
      <x:c r="M2068" s="1"/>
      <x:c r="N2068" s="1"/>
      <x:c r="O2068" s="1"/>
      <x:c r="P2068" s="1"/>
      <x:c r="Q2068" s="1"/>
      <x:c r="R2068" s="1"/>
      <x:c r="S2068" s="1"/>
      <x:c r="T2068" s="1"/>
      <x:c r="U2068" s="1"/>
      <x:c r="V2068" s="1"/>
      <x:c r="W2068" s="1"/>
      <x:c r="X2068" s="1"/>
      <x:c r="Y2068" s="1"/>
      <x:c r="Z2068" s="1"/>
    </x:row>
    <x:row r="2069">
      <x:c r="A2069" s="1"/>
      <x:c r="B2069" s="1"/>
      <x:c r="C2069" s="1"/>
      <x:c r="D2069" s="1"/>
      <x:c r="E2069" s="1"/>
      <x:c r="F2069" s="1"/>
      <x:c r="G2069" s="1"/>
      <x:c r="H2069" s="1"/>
      <x:c r="I2069" s="1"/>
      <x:c r="J2069" s="1"/>
      <x:c r="K2069" s="1"/>
      <x:c r="L2069" s="1"/>
      <x:c r="M2069" s="1"/>
      <x:c r="N2069" s="1"/>
      <x:c r="O2069" s="1"/>
      <x:c r="P2069" s="1"/>
      <x:c r="Q2069" s="1"/>
      <x:c r="R2069" s="1"/>
      <x:c r="S2069" s="1"/>
      <x:c r="T2069" s="1"/>
      <x:c r="U2069" s="1"/>
      <x:c r="V2069" s="1"/>
      <x:c r="W2069" s="1"/>
      <x:c r="X2069" s="1"/>
      <x:c r="Y2069" s="1"/>
      <x:c r="Z2069" s="1"/>
    </x:row>
    <x:row r="2070">
      <x:c r="A2070" s="1"/>
      <x:c r="B2070" s="1"/>
      <x:c r="C2070" s="1"/>
      <x:c r="D2070" s="1"/>
      <x:c r="E2070" s="1"/>
      <x:c r="F2070" s="1"/>
      <x:c r="G2070" s="1"/>
      <x:c r="H2070" s="1"/>
      <x:c r="I2070" s="1"/>
      <x:c r="J2070" s="1"/>
      <x:c r="K2070" s="1"/>
      <x:c r="L2070" s="1"/>
      <x:c r="M2070" s="1"/>
      <x:c r="N2070" s="1"/>
      <x:c r="O2070" s="1"/>
      <x:c r="P2070" s="1"/>
      <x:c r="Q2070" s="1"/>
      <x:c r="R2070" s="1"/>
      <x:c r="S2070" s="1"/>
      <x:c r="T2070" s="1"/>
      <x:c r="U2070" s="1"/>
      <x:c r="V2070" s="1"/>
      <x:c r="W2070" s="1"/>
      <x:c r="X2070" s="1"/>
      <x:c r="Y2070" s="1"/>
      <x:c r="Z2070" s="1"/>
    </x:row>
    <x:row r="2071">
      <x:c r="A2071" s="1"/>
      <x:c r="B2071" s="1"/>
      <x:c r="C2071" s="1"/>
      <x:c r="D2071" s="1"/>
      <x:c r="E2071" s="1"/>
      <x:c r="F2071" s="1"/>
      <x:c r="G2071" s="1"/>
      <x:c r="H2071" s="1"/>
      <x:c r="I2071" s="1"/>
      <x:c r="J2071" s="1"/>
      <x:c r="K2071" s="1"/>
      <x:c r="L2071" s="1"/>
      <x:c r="M2071" s="1"/>
      <x:c r="N2071" s="1"/>
      <x:c r="O2071" s="1"/>
      <x:c r="P2071" s="1"/>
      <x:c r="Q2071" s="1"/>
      <x:c r="R2071" s="1"/>
      <x:c r="S2071" s="1"/>
      <x:c r="T2071" s="1"/>
      <x:c r="U2071" s="1"/>
      <x:c r="V2071" s="1"/>
      <x:c r="W2071" s="1"/>
      <x:c r="X2071" s="1"/>
      <x:c r="Y2071" s="1"/>
      <x:c r="Z2071" s="1"/>
    </x:row>
    <x:row r="2072">
      <x:c r="A2072" s="1"/>
      <x:c r="B2072" s="1"/>
      <x:c r="C2072" s="1"/>
      <x:c r="D2072" s="1"/>
      <x:c r="E2072" s="1"/>
      <x:c r="F2072" s="1"/>
      <x:c r="G2072" s="1"/>
      <x:c r="H2072" s="1"/>
      <x:c r="I2072" s="1"/>
      <x:c r="J2072" s="1"/>
      <x:c r="K2072" s="1"/>
      <x:c r="L2072" s="1"/>
      <x:c r="M2072" s="1"/>
      <x:c r="N2072" s="1"/>
      <x:c r="O2072" s="1"/>
      <x:c r="P2072" s="1"/>
      <x:c r="Q2072" s="1"/>
      <x:c r="R2072" s="1"/>
      <x:c r="S2072" s="1"/>
      <x:c r="T2072" s="1"/>
      <x:c r="U2072" s="1"/>
      <x:c r="V2072" s="1"/>
      <x:c r="W2072" s="1"/>
      <x:c r="X2072" s="1"/>
      <x:c r="Y2072" s="1"/>
      <x:c r="Z2072" s="1"/>
    </x:row>
    <x:row r="2073">
      <x:c r="A2073" s="1"/>
      <x:c r="B2073" s="1"/>
      <x:c r="C2073" s="1"/>
      <x:c r="D2073" s="1"/>
      <x:c r="E2073" s="1"/>
      <x:c r="F2073" s="1"/>
      <x:c r="G2073" s="1"/>
      <x:c r="H2073" s="1"/>
      <x:c r="I2073" s="1"/>
      <x:c r="J2073" s="1"/>
      <x:c r="K2073" s="1"/>
      <x:c r="L2073" s="1"/>
      <x:c r="M2073" s="1"/>
      <x:c r="N2073" s="1"/>
      <x:c r="O2073" s="1"/>
      <x:c r="P2073" s="1"/>
      <x:c r="Q2073" s="1"/>
      <x:c r="R2073" s="1"/>
      <x:c r="S2073" s="1"/>
      <x:c r="T2073" s="1"/>
      <x:c r="U2073" s="1"/>
      <x:c r="V2073" s="1"/>
      <x:c r="W2073" s="1"/>
      <x:c r="X2073" s="1"/>
      <x:c r="Y2073" s="1"/>
      <x:c r="Z2073" s="1"/>
    </x:row>
    <x:row r="2074">
      <x:c r="A2074" s="1"/>
      <x:c r="B2074" s="1"/>
      <x:c r="C2074" s="1"/>
      <x:c r="D2074" s="1"/>
      <x:c r="E2074" s="1"/>
      <x:c r="F2074" s="1"/>
      <x:c r="G2074" s="1"/>
      <x:c r="H2074" s="1"/>
      <x:c r="I2074" s="1"/>
      <x:c r="J2074" s="1"/>
      <x:c r="K2074" s="1"/>
      <x:c r="L2074" s="1"/>
      <x:c r="M2074" s="1"/>
      <x:c r="N2074" s="1"/>
      <x:c r="O2074" s="1"/>
      <x:c r="P2074" s="1"/>
      <x:c r="Q2074" s="1"/>
      <x:c r="R2074" s="1"/>
      <x:c r="S2074" s="1"/>
      <x:c r="T2074" s="1"/>
      <x:c r="U2074" s="1"/>
      <x:c r="V2074" s="1"/>
      <x:c r="W2074" s="1"/>
      <x:c r="X2074" s="1"/>
      <x:c r="Y2074" s="1"/>
      <x:c r="Z2074" s="1"/>
    </x:row>
    <x:row r="2075">
      <x:c r="A2075" s="1"/>
      <x:c r="B2075" s="1"/>
      <x:c r="C2075" s="1"/>
      <x:c r="D2075" s="1"/>
      <x:c r="E2075" s="1"/>
      <x:c r="F2075" s="1"/>
      <x:c r="G2075" s="1"/>
      <x:c r="H2075" s="1"/>
      <x:c r="I2075" s="1"/>
      <x:c r="J2075" s="1"/>
      <x:c r="K2075" s="1"/>
      <x:c r="L2075" s="1"/>
      <x:c r="M2075" s="1"/>
      <x:c r="N2075" s="1"/>
      <x:c r="O2075" s="1"/>
      <x:c r="P2075" s="1"/>
      <x:c r="Q2075" s="1"/>
      <x:c r="R2075" s="1"/>
      <x:c r="S2075" s="1"/>
      <x:c r="T2075" s="1"/>
      <x:c r="U2075" s="1"/>
      <x:c r="V2075" s="1"/>
      <x:c r="W2075" s="1"/>
      <x:c r="X2075" s="1"/>
      <x:c r="Y2075" s="1"/>
      <x:c r="Z2075" s="1"/>
    </x:row>
    <x:row r="2076">
      <x:c r="A2076" s="1"/>
      <x:c r="B2076" s="1"/>
      <x:c r="C2076" s="1"/>
      <x:c r="D2076" s="1"/>
      <x:c r="E2076" s="1"/>
      <x:c r="F2076" s="1"/>
      <x:c r="G2076" s="1"/>
      <x:c r="H2076" s="1"/>
      <x:c r="I2076" s="1"/>
      <x:c r="J2076" s="1"/>
      <x:c r="K2076" s="1"/>
      <x:c r="L2076" s="1"/>
      <x:c r="M2076" s="1"/>
      <x:c r="N2076" s="1"/>
      <x:c r="O2076" s="1"/>
      <x:c r="P2076" s="1"/>
      <x:c r="Q2076" s="1"/>
      <x:c r="R2076" s="1"/>
      <x:c r="S2076" s="1"/>
      <x:c r="T2076" s="1"/>
      <x:c r="U2076" s="1"/>
      <x:c r="V2076" s="1"/>
      <x:c r="W2076" s="1"/>
      <x:c r="X2076" s="1"/>
      <x:c r="Y2076" s="1"/>
      <x:c r="Z2076" s="1"/>
    </x:row>
    <x:row r="2077">
      <x:c r="A2077" s="1"/>
      <x:c r="B2077" s="1"/>
      <x:c r="C2077" s="1"/>
      <x:c r="D2077" s="1"/>
      <x:c r="E2077" s="1"/>
      <x:c r="F2077" s="1"/>
      <x:c r="G2077" s="1"/>
      <x:c r="H2077" s="1"/>
      <x:c r="I2077" s="1"/>
      <x:c r="J2077" s="1"/>
      <x:c r="K2077" s="1"/>
      <x:c r="L2077" s="1"/>
      <x:c r="M2077" s="1"/>
      <x:c r="N2077" s="1"/>
      <x:c r="O2077" s="1"/>
      <x:c r="P2077" s="1"/>
      <x:c r="Q2077" s="1"/>
      <x:c r="R2077" s="1"/>
      <x:c r="S2077" s="1"/>
      <x:c r="T2077" s="1"/>
      <x:c r="U2077" s="1"/>
      <x:c r="V2077" s="1"/>
      <x:c r="W2077" s="1"/>
      <x:c r="X2077" s="1"/>
      <x:c r="Y2077" s="1"/>
      <x:c r="Z2077" s="1"/>
    </x:row>
    <x:row r="2078">
      <x:c r="A2078" s="1"/>
      <x:c r="B2078" s="1"/>
      <x:c r="C2078" s="1"/>
      <x:c r="D2078" s="1"/>
      <x:c r="E2078" s="1"/>
      <x:c r="F2078" s="1"/>
      <x:c r="G2078" s="1"/>
      <x:c r="H2078" s="1"/>
      <x:c r="I2078" s="1"/>
      <x:c r="J2078" s="1"/>
      <x:c r="K2078" s="1"/>
      <x:c r="L2078" s="1"/>
      <x:c r="M2078" s="1"/>
      <x:c r="N2078" s="1"/>
      <x:c r="O2078" s="1"/>
      <x:c r="P2078" s="1"/>
      <x:c r="Q2078" s="1"/>
      <x:c r="R2078" s="1"/>
      <x:c r="S2078" s="1"/>
      <x:c r="T2078" s="1"/>
      <x:c r="U2078" s="1"/>
      <x:c r="V2078" s="1"/>
      <x:c r="W2078" s="1"/>
      <x:c r="X2078" s="1"/>
      <x:c r="Y2078" s="1"/>
      <x:c r="Z2078" s="1"/>
    </x:row>
    <x:row r="2079">
      <x:c r="A2079" s="1"/>
      <x:c r="B2079" s="1"/>
      <x:c r="C2079" s="1"/>
      <x:c r="D2079" s="1"/>
      <x:c r="E2079" s="1"/>
      <x:c r="F2079" s="1"/>
      <x:c r="G2079" s="1"/>
      <x:c r="H2079" s="1"/>
      <x:c r="I2079" s="1"/>
      <x:c r="J2079" s="1"/>
      <x:c r="K2079" s="1"/>
      <x:c r="L2079" s="1"/>
      <x:c r="M2079" s="1"/>
      <x:c r="N2079" s="1"/>
      <x:c r="O2079" s="1"/>
      <x:c r="P2079" s="1"/>
      <x:c r="Q2079" s="1"/>
      <x:c r="R2079" s="1"/>
      <x:c r="S2079" s="1"/>
      <x:c r="T2079" s="1"/>
      <x:c r="U2079" s="1"/>
      <x:c r="V2079" s="1"/>
      <x:c r="W2079" s="1"/>
      <x:c r="X2079" s="1"/>
      <x:c r="Y2079" s="1"/>
      <x:c r="Z2079" s="1"/>
    </x:row>
    <x:row r="2080">
      <x:c r="A2080" s="1"/>
      <x:c r="B2080" s="1"/>
      <x:c r="C2080" s="1"/>
      <x:c r="D2080" s="1"/>
      <x:c r="E2080" s="1"/>
      <x:c r="F2080" s="1"/>
      <x:c r="G2080" s="1"/>
      <x:c r="H2080" s="1"/>
      <x:c r="I2080" s="1"/>
      <x:c r="J2080" s="1"/>
      <x:c r="K2080" s="1"/>
      <x:c r="L2080" s="1"/>
      <x:c r="M2080" s="1"/>
      <x:c r="N2080" s="1"/>
      <x:c r="O2080" s="1"/>
      <x:c r="P2080" s="1"/>
      <x:c r="Q2080" s="1"/>
      <x:c r="R2080" s="1"/>
      <x:c r="S2080" s="1"/>
      <x:c r="T2080" s="1"/>
      <x:c r="U2080" s="1"/>
      <x:c r="V2080" s="1"/>
      <x:c r="W2080" s="1"/>
      <x:c r="X2080" s="1"/>
      <x:c r="Y2080" s="1"/>
      <x:c r="Z2080" s="1"/>
    </x:row>
    <x:row r="2081">
      <x:c r="A2081" s="1"/>
      <x:c r="B2081" s="1"/>
      <x:c r="C2081" s="1"/>
      <x:c r="D2081" s="1"/>
      <x:c r="E2081" s="1"/>
      <x:c r="F2081" s="1"/>
      <x:c r="G2081" s="1"/>
      <x:c r="H2081" s="1"/>
      <x:c r="I2081" s="1"/>
      <x:c r="J2081" s="1"/>
      <x:c r="K2081" s="1"/>
      <x:c r="L2081" s="1"/>
      <x:c r="M2081" s="1"/>
      <x:c r="N2081" s="1"/>
      <x:c r="O2081" s="1"/>
      <x:c r="P2081" s="1"/>
      <x:c r="Q2081" s="1"/>
      <x:c r="R2081" s="1"/>
      <x:c r="S2081" s="1"/>
      <x:c r="T2081" s="1"/>
      <x:c r="U2081" s="1"/>
      <x:c r="V2081" s="1"/>
      <x:c r="W2081" s="1"/>
      <x:c r="X2081" s="1"/>
      <x:c r="Y2081" s="1"/>
      <x:c r="Z2081" s="1"/>
    </x:row>
    <x:row r="2082">
      <x:c r="A2082" s="1"/>
      <x:c r="B2082" s="1"/>
      <x:c r="C2082" s="1"/>
      <x:c r="D2082" s="1"/>
      <x:c r="E2082" s="1"/>
      <x:c r="F2082" s="1"/>
      <x:c r="G2082" s="1"/>
      <x:c r="H2082" s="1"/>
      <x:c r="I2082" s="1"/>
      <x:c r="J2082" s="1"/>
      <x:c r="K2082" s="1"/>
      <x:c r="L2082" s="1"/>
      <x:c r="M2082" s="1"/>
      <x:c r="N2082" s="1"/>
      <x:c r="O2082" s="1"/>
      <x:c r="P2082" s="1"/>
      <x:c r="Q2082" s="1"/>
      <x:c r="R2082" s="1"/>
      <x:c r="S2082" s="1"/>
      <x:c r="T2082" s="1"/>
      <x:c r="U2082" s="1"/>
      <x:c r="V2082" s="1"/>
      <x:c r="W2082" s="1"/>
      <x:c r="X2082" s="1"/>
      <x:c r="Y2082" s="1"/>
      <x:c r="Z2082" s="1"/>
    </x:row>
    <x:row r="2083">
      <x:c r="A2083" s="1"/>
      <x:c r="B2083" s="1"/>
      <x:c r="C2083" s="1"/>
      <x:c r="D2083" s="1"/>
      <x:c r="E2083" s="1"/>
      <x:c r="F2083" s="1"/>
      <x:c r="G2083" s="1"/>
      <x:c r="H2083" s="1"/>
      <x:c r="I2083" s="1"/>
      <x:c r="J2083" s="1"/>
      <x:c r="K2083" s="1"/>
      <x:c r="L2083" s="1"/>
      <x:c r="M2083" s="1"/>
      <x:c r="N2083" s="1"/>
      <x:c r="O2083" s="1"/>
      <x:c r="P2083" s="1"/>
      <x:c r="Q2083" s="1"/>
      <x:c r="R2083" s="1"/>
      <x:c r="S2083" s="1"/>
      <x:c r="T2083" s="1"/>
      <x:c r="U2083" s="1"/>
      <x:c r="V2083" s="1"/>
      <x:c r="W2083" s="1"/>
      <x:c r="X2083" s="1"/>
      <x:c r="Y2083" s="1"/>
      <x:c r="Z2083" s="1"/>
    </x:row>
    <x:row r="2084">
      <x:c r="A2084" s="1"/>
      <x:c r="B2084" s="1"/>
      <x:c r="C2084" s="1"/>
      <x:c r="D2084" s="1"/>
      <x:c r="E2084" s="1"/>
      <x:c r="F2084" s="1"/>
      <x:c r="G2084" s="1"/>
      <x:c r="H2084" s="1"/>
      <x:c r="I2084" s="1"/>
      <x:c r="J2084" s="1"/>
      <x:c r="K2084" s="1"/>
      <x:c r="L2084" s="1"/>
      <x:c r="M2084" s="1"/>
      <x:c r="N2084" s="1"/>
      <x:c r="O2084" s="1"/>
      <x:c r="P2084" s="1"/>
      <x:c r="Q2084" s="1"/>
      <x:c r="R2084" s="1"/>
      <x:c r="S2084" s="1"/>
      <x:c r="T2084" s="1"/>
      <x:c r="U2084" s="1"/>
      <x:c r="V2084" s="1"/>
      <x:c r="W2084" s="1"/>
      <x:c r="X2084" s="1"/>
      <x:c r="Y2084" s="1"/>
      <x:c r="Z2084" s="1"/>
    </x:row>
    <x:row r="2085">
      <x:c r="A2085" s="1"/>
      <x:c r="B2085" s="1"/>
      <x:c r="C2085" s="1"/>
      <x:c r="D2085" s="1"/>
      <x:c r="E2085" s="1"/>
      <x:c r="F2085" s="1"/>
      <x:c r="G2085" s="1"/>
      <x:c r="H2085" s="1"/>
      <x:c r="I2085" s="1"/>
      <x:c r="J2085" s="1"/>
      <x:c r="K2085" s="1"/>
      <x:c r="L2085" s="1"/>
      <x:c r="M2085" s="1"/>
      <x:c r="N2085" s="1"/>
      <x:c r="O2085" s="1"/>
      <x:c r="P2085" s="1"/>
      <x:c r="Q2085" s="1"/>
      <x:c r="R2085" s="1"/>
      <x:c r="S2085" s="1"/>
      <x:c r="T2085" s="1"/>
      <x:c r="U2085" s="1"/>
      <x:c r="V2085" s="1"/>
      <x:c r="W2085" s="1"/>
      <x:c r="X2085" s="1"/>
      <x:c r="Y2085" s="1"/>
      <x:c r="Z2085" s="1"/>
    </x:row>
    <x:row r="2086">
      <x:c r="A2086" s="1"/>
      <x:c r="B2086" s="1"/>
      <x:c r="C2086" s="1"/>
      <x:c r="D2086" s="1"/>
      <x:c r="E2086" s="1"/>
      <x:c r="F2086" s="1"/>
      <x:c r="G2086" s="1"/>
      <x:c r="H2086" s="1"/>
      <x:c r="I2086" s="1"/>
      <x:c r="J2086" s="1"/>
      <x:c r="K2086" s="1"/>
      <x:c r="L2086" s="1"/>
      <x:c r="M2086" s="1"/>
      <x:c r="N2086" s="1"/>
      <x:c r="O2086" s="1"/>
      <x:c r="P2086" s="1"/>
      <x:c r="Q2086" s="1"/>
      <x:c r="R2086" s="1"/>
      <x:c r="S2086" s="1"/>
      <x:c r="T2086" s="1"/>
      <x:c r="U2086" s="1"/>
      <x:c r="V2086" s="1"/>
      <x:c r="W2086" s="1"/>
      <x:c r="X2086" s="1"/>
      <x:c r="Y2086" s="1"/>
      <x:c r="Z2086" s="1"/>
    </x:row>
    <x:row r="2087">
      <x:c r="A2087" s="1"/>
      <x:c r="B2087" s="1"/>
      <x:c r="C2087" s="1"/>
      <x:c r="D2087" s="1"/>
      <x:c r="E2087" s="1"/>
      <x:c r="F2087" s="1"/>
      <x:c r="G2087" s="1"/>
      <x:c r="H2087" s="1"/>
      <x:c r="I2087" s="1"/>
      <x:c r="J2087" s="1"/>
      <x:c r="K2087" s="1"/>
      <x:c r="L2087" s="1"/>
      <x:c r="M2087" s="1"/>
      <x:c r="N2087" s="1"/>
      <x:c r="O2087" s="1"/>
      <x:c r="P2087" s="1"/>
      <x:c r="Q2087" s="1"/>
      <x:c r="R2087" s="1"/>
      <x:c r="S2087" s="1"/>
      <x:c r="T2087" s="1"/>
      <x:c r="U2087" s="1"/>
      <x:c r="V2087" s="1"/>
      <x:c r="W2087" s="1"/>
      <x:c r="X2087" s="1"/>
      <x:c r="Y2087" s="1"/>
      <x:c r="Z2087" s="1"/>
    </x:row>
    <x:row r="2088">
      <x:c r="A2088" s="1"/>
      <x:c r="B2088" s="1"/>
      <x:c r="C2088" s="1"/>
      <x:c r="D2088" s="1"/>
      <x:c r="E2088" s="1"/>
      <x:c r="F2088" s="1"/>
      <x:c r="G2088" s="1"/>
      <x:c r="H2088" s="1"/>
      <x:c r="I2088" s="1"/>
      <x:c r="J2088" s="1"/>
      <x:c r="K2088" s="1"/>
      <x:c r="L2088" s="1"/>
      <x:c r="M2088" s="1"/>
      <x:c r="N2088" s="1"/>
      <x:c r="O2088" s="1"/>
      <x:c r="P2088" s="1"/>
      <x:c r="Q2088" s="1"/>
      <x:c r="R2088" s="1"/>
      <x:c r="S2088" s="1"/>
      <x:c r="T2088" s="1"/>
      <x:c r="U2088" s="1"/>
      <x:c r="V2088" s="1"/>
      <x:c r="W2088" s="1"/>
      <x:c r="X2088" s="1"/>
      <x:c r="Y2088" s="1"/>
      <x:c r="Z2088" s="1"/>
    </x:row>
    <x:row r="2089">
      <x:c r="A2089" s="1"/>
      <x:c r="B2089" s="1"/>
      <x:c r="C2089" s="1"/>
      <x:c r="D2089" s="1"/>
      <x:c r="E2089" s="1"/>
      <x:c r="F2089" s="1"/>
      <x:c r="G2089" s="1"/>
      <x:c r="H2089" s="1"/>
      <x:c r="I2089" s="1"/>
      <x:c r="J2089" s="1"/>
      <x:c r="K2089" s="1"/>
      <x:c r="L2089" s="1"/>
      <x:c r="M2089" s="1"/>
      <x:c r="N2089" s="1"/>
      <x:c r="O2089" s="1"/>
      <x:c r="P2089" s="1"/>
      <x:c r="Q2089" s="1"/>
      <x:c r="R2089" s="1"/>
      <x:c r="S2089" s="1"/>
      <x:c r="T2089" s="1"/>
      <x:c r="U2089" s="1"/>
      <x:c r="V2089" s="1"/>
      <x:c r="W2089" s="1"/>
      <x:c r="X2089" s="1"/>
      <x:c r="Y2089" s="1"/>
      <x:c r="Z2089" s="1"/>
    </x:row>
    <x:row r="2090">
      <x:c r="A2090" s="1"/>
      <x:c r="B2090" s="1"/>
      <x:c r="C2090" s="1"/>
      <x:c r="D2090" s="1"/>
      <x:c r="E2090" s="1"/>
      <x:c r="F2090" s="1"/>
      <x:c r="G2090" s="1"/>
      <x:c r="H2090" s="1"/>
      <x:c r="I2090" s="1"/>
      <x:c r="J2090" s="1"/>
      <x:c r="K2090" s="1"/>
      <x:c r="L2090" s="1"/>
      <x:c r="M2090" s="1"/>
      <x:c r="N2090" s="1"/>
      <x:c r="O2090" s="1"/>
      <x:c r="P2090" s="1"/>
      <x:c r="Q2090" s="1"/>
      <x:c r="R2090" s="1"/>
      <x:c r="S2090" s="1"/>
      <x:c r="T2090" s="1"/>
      <x:c r="U2090" s="1"/>
      <x:c r="V2090" s="1"/>
      <x:c r="W2090" s="1"/>
      <x:c r="X2090" s="1"/>
      <x:c r="Y2090" s="1"/>
      <x:c r="Z2090" s="1"/>
    </x:row>
    <x:row r="2091">
      <x:c r="A2091" s="1"/>
      <x:c r="B2091" s="1"/>
      <x:c r="C2091" s="1"/>
      <x:c r="D2091" s="1"/>
      <x:c r="E2091" s="1"/>
      <x:c r="F2091" s="1"/>
      <x:c r="G2091" s="1"/>
      <x:c r="H2091" s="1"/>
      <x:c r="I2091" s="1"/>
      <x:c r="J2091" s="1"/>
      <x:c r="K2091" s="1"/>
      <x:c r="L2091" s="1"/>
      <x:c r="M2091" s="1"/>
      <x:c r="N2091" s="1"/>
      <x:c r="O2091" s="1"/>
      <x:c r="P2091" s="1"/>
      <x:c r="Q2091" s="1"/>
      <x:c r="R2091" s="1"/>
      <x:c r="S2091" s="1"/>
      <x:c r="T2091" s="1"/>
      <x:c r="U2091" s="1"/>
      <x:c r="V2091" s="1"/>
      <x:c r="W2091" s="1"/>
      <x:c r="X2091" s="1"/>
      <x:c r="Y2091" s="1"/>
      <x:c r="Z2091" s="1"/>
    </x:row>
    <x:row r="2092">
      <x:c r="A2092" s="1"/>
      <x:c r="B2092" s="1"/>
      <x:c r="C2092" s="1"/>
      <x:c r="D2092" s="1"/>
      <x:c r="E2092" s="1"/>
      <x:c r="F2092" s="1"/>
      <x:c r="G2092" s="1"/>
      <x:c r="H2092" s="1"/>
      <x:c r="I2092" s="1"/>
      <x:c r="J2092" s="1"/>
      <x:c r="K2092" s="1"/>
      <x:c r="L2092" s="1"/>
      <x:c r="M2092" s="1"/>
      <x:c r="N2092" s="1"/>
      <x:c r="O2092" s="1"/>
      <x:c r="P2092" s="1"/>
      <x:c r="Q2092" s="1"/>
      <x:c r="R2092" s="1"/>
      <x:c r="S2092" s="1"/>
      <x:c r="T2092" s="1"/>
      <x:c r="U2092" s="1"/>
      <x:c r="V2092" s="1"/>
      <x:c r="W2092" s="1"/>
      <x:c r="X2092" s="1"/>
      <x:c r="Y2092" s="1"/>
      <x:c r="Z2092" s="1"/>
    </x:row>
    <x:row r="2093">
      <x:c r="A2093" s="1"/>
      <x:c r="B2093" s="1"/>
      <x:c r="C2093" s="1"/>
      <x:c r="D2093" s="1"/>
      <x:c r="E2093" s="1"/>
      <x:c r="F2093" s="1"/>
      <x:c r="G2093" s="1"/>
      <x:c r="H2093" s="1"/>
      <x:c r="I2093" s="1"/>
      <x:c r="J2093" s="1"/>
      <x:c r="K2093" s="1"/>
      <x:c r="L2093" s="1"/>
      <x:c r="M2093" s="1"/>
      <x:c r="N2093" s="1"/>
      <x:c r="O2093" s="1"/>
      <x:c r="P2093" s="1"/>
      <x:c r="Q2093" s="1"/>
      <x:c r="R2093" s="1"/>
      <x:c r="S2093" s="1"/>
      <x:c r="T2093" s="1"/>
      <x:c r="U2093" s="1"/>
      <x:c r="V2093" s="1"/>
      <x:c r="W2093" s="1"/>
      <x:c r="X2093" s="1"/>
      <x:c r="Y2093" s="1"/>
      <x:c r="Z2093" s="1"/>
    </x:row>
    <x:row r="2094">
      <x:c r="A2094" s="1"/>
      <x:c r="B2094" s="1"/>
      <x:c r="C2094" s="1"/>
      <x:c r="D2094" s="1"/>
      <x:c r="E2094" s="1"/>
      <x:c r="F2094" s="1"/>
      <x:c r="G2094" s="1"/>
      <x:c r="H2094" s="1"/>
      <x:c r="I2094" s="1"/>
      <x:c r="J2094" s="1"/>
      <x:c r="K2094" s="1"/>
      <x:c r="L2094" s="1"/>
      <x:c r="M2094" s="1"/>
      <x:c r="N2094" s="1"/>
      <x:c r="O2094" s="1"/>
      <x:c r="P2094" s="1"/>
      <x:c r="Q2094" s="1"/>
      <x:c r="R2094" s="1"/>
      <x:c r="S2094" s="1"/>
      <x:c r="T2094" s="1"/>
      <x:c r="U2094" s="1"/>
      <x:c r="V2094" s="1"/>
      <x:c r="W2094" s="1"/>
      <x:c r="X2094" s="1"/>
      <x:c r="Y2094" s="1"/>
      <x:c r="Z2094" s="1"/>
    </x:row>
    <x:row r="2095">
      <x:c r="A2095" s="1"/>
      <x:c r="B2095" s="1"/>
      <x:c r="C2095" s="1"/>
      <x:c r="D2095" s="1"/>
      <x:c r="E2095" s="1"/>
      <x:c r="F2095" s="1"/>
      <x:c r="G2095" s="1"/>
      <x:c r="H2095" s="1"/>
      <x:c r="I2095" s="1"/>
      <x:c r="J2095" s="1"/>
      <x:c r="K2095" s="1"/>
      <x:c r="L2095" s="1"/>
      <x:c r="M2095" s="1"/>
      <x:c r="N2095" s="1"/>
      <x:c r="O2095" s="1"/>
      <x:c r="P2095" s="1"/>
      <x:c r="Q2095" s="1"/>
      <x:c r="R2095" s="1"/>
      <x:c r="S2095" s="1"/>
      <x:c r="T2095" s="1"/>
      <x:c r="U2095" s="1"/>
      <x:c r="V2095" s="1"/>
      <x:c r="W2095" s="1"/>
      <x:c r="X2095" s="1"/>
      <x:c r="Y2095" s="1"/>
      <x:c r="Z2095" s="1"/>
    </x:row>
    <x:row r="2096">
      <x:c r="A2096" s="1"/>
      <x:c r="B2096" s="1"/>
      <x:c r="C2096" s="1"/>
      <x:c r="D2096" s="1"/>
      <x:c r="E2096" s="1"/>
      <x:c r="F2096" s="1"/>
      <x:c r="G2096" s="1"/>
      <x:c r="H2096" s="1"/>
      <x:c r="I2096" s="1"/>
      <x:c r="J2096" s="1"/>
      <x:c r="K2096" s="1"/>
      <x:c r="L2096" s="1"/>
      <x:c r="M2096" s="1"/>
      <x:c r="N2096" s="1"/>
      <x:c r="O2096" s="1"/>
      <x:c r="P2096" s="1"/>
      <x:c r="Q2096" s="1"/>
      <x:c r="R2096" s="1"/>
      <x:c r="S2096" s="1"/>
      <x:c r="T2096" s="1"/>
      <x:c r="U2096" s="1"/>
      <x:c r="V2096" s="1"/>
      <x:c r="W2096" s="1"/>
      <x:c r="X2096" s="1"/>
      <x:c r="Y2096" s="1"/>
      <x:c r="Z2096" s="1"/>
    </x:row>
    <x:row r="2097">
      <x:c r="A2097" s="1"/>
      <x:c r="B2097" s="1"/>
      <x:c r="C2097" s="1"/>
      <x:c r="D2097" s="1"/>
      <x:c r="E2097" s="1"/>
      <x:c r="F2097" s="1"/>
      <x:c r="G2097" s="1"/>
      <x:c r="H2097" s="1"/>
      <x:c r="I2097" s="1"/>
      <x:c r="J2097" s="1"/>
      <x:c r="K2097" s="1"/>
      <x:c r="L2097" s="1"/>
      <x:c r="M2097" s="1"/>
      <x:c r="N2097" s="1"/>
      <x:c r="O2097" s="1"/>
      <x:c r="P2097" s="1"/>
      <x:c r="Q2097" s="1"/>
      <x:c r="R2097" s="1"/>
      <x:c r="S2097" s="1"/>
      <x:c r="T2097" s="1"/>
      <x:c r="U2097" s="1"/>
      <x:c r="V2097" s="1"/>
      <x:c r="W2097" s="1"/>
      <x:c r="X2097" s="1"/>
      <x:c r="Y2097" s="1"/>
      <x:c r="Z2097" s="1"/>
    </x:row>
    <x:row r="2098">
      <x:c r="A2098" s="1"/>
      <x:c r="B2098" s="1"/>
      <x:c r="C2098" s="1"/>
      <x:c r="D2098" s="1"/>
      <x:c r="E2098" s="1"/>
      <x:c r="F2098" s="1"/>
      <x:c r="G2098" s="1"/>
      <x:c r="H2098" s="1"/>
      <x:c r="I2098" s="1"/>
      <x:c r="J2098" s="1"/>
      <x:c r="K2098" s="1"/>
      <x:c r="L2098" s="1"/>
      <x:c r="M2098" s="1"/>
      <x:c r="N2098" s="1"/>
      <x:c r="O2098" s="1"/>
      <x:c r="P2098" s="1"/>
      <x:c r="Q2098" s="1"/>
      <x:c r="R2098" s="1"/>
      <x:c r="S2098" s="1"/>
      <x:c r="T2098" s="1"/>
      <x:c r="U2098" s="1"/>
      <x:c r="V2098" s="1"/>
      <x:c r="W2098" s="1"/>
      <x:c r="X2098" s="1"/>
      <x:c r="Y2098" s="1"/>
      <x:c r="Z2098" s="1"/>
    </x:row>
    <x:row r="2099">
      <x:c r="A2099" s="1"/>
      <x:c r="B2099" s="1"/>
      <x:c r="C2099" s="1"/>
      <x:c r="D2099" s="1"/>
      <x:c r="E2099" s="1"/>
      <x:c r="F2099" s="1"/>
      <x:c r="G2099" s="1"/>
      <x:c r="H2099" s="1"/>
      <x:c r="I2099" s="1"/>
      <x:c r="J2099" s="1"/>
      <x:c r="K2099" s="1"/>
      <x:c r="L2099" s="1"/>
      <x:c r="M2099" s="1"/>
      <x:c r="N2099" s="1"/>
      <x:c r="O2099" s="1"/>
      <x:c r="P2099" s="1"/>
      <x:c r="Q2099" s="1"/>
      <x:c r="R2099" s="1"/>
      <x:c r="S2099" s="1"/>
      <x:c r="T2099" s="1"/>
      <x:c r="U2099" s="1"/>
      <x:c r="V2099" s="1"/>
      <x:c r="W2099" s="1"/>
      <x:c r="X2099" s="1"/>
      <x:c r="Y2099" s="1"/>
      <x:c r="Z2099" s="1"/>
    </x:row>
    <x:row r="2100">
      <x:c r="A2100" s="1"/>
      <x:c r="B2100" s="1"/>
      <x:c r="C2100" s="1"/>
      <x:c r="D2100" s="1"/>
      <x:c r="E2100" s="1"/>
      <x:c r="F2100" s="1"/>
      <x:c r="G2100" s="1"/>
      <x:c r="H2100" s="1"/>
      <x:c r="I2100" s="1"/>
      <x:c r="J2100" s="1"/>
      <x:c r="K2100" s="1"/>
      <x:c r="L2100" s="1"/>
      <x:c r="M2100" s="1"/>
      <x:c r="N2100" s="1"/>
      <x:c r="O2100" s="1"/>
      <x:c r="P2100" s="1"/>
      <x:c r="Q2100" s="1"/>
      <x:c r="R2100" s="1"/>
      <x:c r="S2100" s="1"/>
      <x:c r="T2100" s="1"/>
      <x:c r="U2100" s="1"/>
      <x:c r="V2100" s="1"/>
      <x:c r="W2100" s="1"/>
      <x:c r="X2100" s="1"/>
      <x:c r="Y2100" s="1"/>
      <x:c r="Z2100" s="1"/>
    </x:row>
    <x:row r="2101">
      <x:c r="A2101" s="1"/>
      <x:c r="B2101" s="1"/>
      <x:c r="C2101" s="1"/>
      <x:c r="D2101" s="1"/>
      <x:c r="E2101" s="1"/>
      <x:c r="F2101" s="1"/>
      <x:c r="G2101" s="1"/>
      <x:c r="H2101" s="1"/>
      <x:c r="I2101" s="1"/>
      <x:c r="J2101" s="1"/>
      <x:c r="K2101" s="1"/>
      <x:c r="L2101" s="1"/>
      <x:c r="M2101" s="1"/>
      <x:c r="N2101" s="1"/>
      <x:c r="O2101" s="1"/>
      <x:c r="P2101" s="1"/>
      <x:c r="Q2101" s="1"/>
      <x:c r="R2101" s="1"/>
      <x:c r="S2101" s="1"/>
      <x:c r="T2101" s="1"/>
      <x:c r="U2101" s="1"/>
      <x:c r="V2101" s="1"/>
      <x:c r="W2101" s="1"/>
      <x:c r="X2101" s="1"/>
      <x:c r="Y2101" s="1"/>
      <x:c r="Z2101" s="1"/>
    </x:row>
    <x:row r="2102">
      <x:c r="A2102" s="1"/>
      <x:c r="B2102" s="1"/>
      <x:c r="C2102" s="1"/>
      <x:c r="D2102" s="1"/>
      <x:c r="E2102" s="1"/>
      <x:c r="F2102" s="1"/>
      <x:c r="G2102" s="1"/>
      <x:c r="H2102" s="1"/>
      <x:c r="I2102" s="1"/>
      <x:c r="J2102" s="1"/>
      <x:c r="K2102" s="1"/>
      <x:c r="L2102" s="1"/>
      <x:c r="M2102" s="1"/>
      <x:c r="N2102" s="1"/>
      <x:c r="O2102" s="1"/>
      <x:c r="P2102" s="1"/>
      <x:c r="Q2102" s="1"/>
      <x:c r="R2102" s="1"/>
      <x:c r="S2102" s="1"/>
      <x:c r="T2102" s="1"/>
      <x:c r="U2102" s="1"/>
      <x:c r="V2102" s="1"/>
      <x:c r="W2102" s="1"/>
      <x:c r="X2102" s="1"/>
      <x:c r="Y2102" s="1"/>
      <x:c r="Z2102" s="1"/>
    </x:row>
    <x:row r="2103">
      <x:c r="A2103" s="1"/>
      <x:c r="B2103" s="1"/>
      <x:c r="C2103" s="1"/>
      <x:c r="D2103" s="1"/>
      <x:c r="E2103" s="1"/>
      <x:c r="F2103" s="1"/>
      <x:c r="G2103" s="1"/>
      <x:c r="H2103" s="1"/>
      <x:c r="I2103" s="1"/>
      <x:c r="J2103" s="1"/>
      <x:c r="K2103" s="1"/>
      <x:c r="L2103" s="1"/>
      <x:c r="M2103" s="1"/>
      <x:c r="N2103" s="1"/>
      <x:c r="O2103" s="1"/>
      <x:c r="P2103" s="1"/>
      <x:c r="Q2103" s="1"/>
      <x:c r="R2103" s="1"/>
      <x:c r="S2103" s="1"/>
      <x:c r="T2103" s="1"/>
      <x:c r="U2103" s="1"/>
      <x:c r="V2103" s="1"/>
      <x:c r="W2103" s="1"/>
      <x:c r="X2103" s="1"/>
      <x:c r="Y2103" s="1"/>
      <x:c r="Z2103" s="1"/>
    </x:row>
    <x:row r="2104">
      <x:c r="A2104" s="1"/>
      <x:c r="B2104" s="1"/>
      <x:c r="C2104" s="1"/>
      <x:c r="D2104" s="1"/>
      <x:c r="E2104" s="1"/>
      <x:c r="F2104" s="1"/>
      <x:c r="G2104" s="1"/>
      <x:c r="H2104" s="1"/>
      <x:c r="I2104" s="1"/>
      <x:c r="J2104" s="1"/>
      <x:c r="K2104" s="1"/>
      <x:c r="L2104" s="1"/>
      <x:c r="M2104" s="1"/>
      <x:c r="N2104" s="1"/>
      <x:c r="O2104" s="1"/>
      <x:c r="P2104" s="1"/>
      <x:c r="Q2104" s="1"/>
      <x:c r="R2104" s="1"/>
      <x:c r="S2104" s="1"/>
      <x:c r="T2104" s="1"/>
      <x:c r="U2104" s="1"/>
      <x:c r="V2104" s="1"/>
      <x:c r="W2104" s="1"/>
      <x:c r="X2104" s="1"/>
      <x:c r="Y2104" s="1"/>
      <x:c r="Z2104" s="1"/>
    </x:row>
    <x:row r="2105">
      <x:c r="A2105" s="1"/>
      <x:c r="B2105" s="1"/>
      <x:c r="C2105" s="1"/>
      <x:c r="D2105" s="1"/>
      <x:c r="E2105" s="1"/>
      <x:c r="F2105" s="1"/>
      <x:c r="G2105" s="1"/>
      <x:c r="H2105" s="1"/>
      <x:c r="I2105" s="1"/>
      <x:c r="J2105" s="1"/>
      <x:c r="K2105" s="1"/>
      <x:c r="L2105" s="1"/>
      <x:c r="M2105" s="1"/>
      <x:c r="N2105" s="1"/>
      <x:c r="O2105" s="1"/>
      <x:c r="P2105" s="1"/>
      <x:c r="Q2105" s="1"/>
      <x:c r="R2105" s="1"/>
      <x:c r="S2105" s="1"/>
      <x:c r="T2105" s="1"/>
      <x:c r="U2105" s="1"/>
      <x:c r="V2105" s="1"/>
      <x:c r="W2105" s="1"/>
      <x:c r="X2105" s="1"/>
      <x:c r="Y2105" s="1"/>
      <x:c r="Z2105" s="1"/>
    </x:row>
    <x:row r="2106">
      <x:c r="A2106" s="1"/>
      <x:c r="B2106" s="1"/>
      <x:c r="C2106" s="1"/>
      <x:c r="D2106" s="1"/>
      <x:c r="E2106" s="1"/>
      <x:c r="F2106" s="1"/>
      <x:c r="G2106" s="1"/>
      <x:c r="H2106" s="1"/>
      <x:c r="I2106" s="1"/>
      <x:c r="J2106" s="1"/>
      <x:c r="K2106" s="1"/>
      <x:c r="L2106" s="1"/>
      <x:c r="M2106" s="1"/>
      <x:c r="N2106" s="1"/>
      <x:c r="O2106" s="1"/>
      <x:c r="P2106" s="1"/>
      <x:c r="Q2106" s="1"/>
      <x:c r="R2106" s="1"/>
      <x:c r="S2106" s="1"/>
      <x:c r="T2106" s="1"/>
      <x:c r="U2106" s="1"/>
      <x:c r="V2106" s="1"/>
      <x:c r="W2106" s="1"/>
      <x:c r="X2106" s="1"/>
      <x:c r="Y2106" s="1"/>
      <x:c r="Z2106" s="1"/>
    </x:row>
    <x:row r="2107">
      <x:c r="A2107" s="1"/>
      <x:c r="B2107" s="1"/>
      <x:c r="C2107" s="1"/>
      <x:c r="D2107" s="1"/>
      <x:c r="E2107" s="1"/>
      <x:c r="F2107" s="1"/>
      <x:c r="G2107" s="1"/>
      <x:c r="H2107" s="1"/>
      <x:c r="I2107" s="1"/>
      <x:c r="J2107" s="1"/>
      <x:c r="K2107" s="1"/>
      <x:c r="L2107" s="1"/>
      <x:c r="M2107" s="1"/>
      <x:c r="N2107" s="1"/>
      <x:c r="O2107" s="1"/>
      <x:c r="P2107" s="1"/>
      <x:c r="Q2107" s="1"/>
      <x:c r="R2107" s="1"/>
      <x:c r="S2107" s="1"/>
      <x:c r="T2107" s="1"/>
      <x:c r="U2107" s="1"/>
      <x:c r="V2107" s="1"/>
      <x:c r="W2107" s="1"/>
      <x:c r="X2107" s="1"/>
      <x:c r="Y2107" s="1"/>
      <x:c r="Z2107" s="1"/>
    </x:row>
    <x:row r="2108">
      <x:c r="A2108" s="1"/>
      <x:c r="B2108" s="1"/>
      <x:c r="C2108" s="1"/>
      <x:c r="D2108" s="1"/>
      <x:c r="E2108" s="1"/>
      <x:c r="F2108" s="1"/>
      <x:c r="G2108" s="1"/>
      <x:c r="H2108" s="1"/>
      <x:c r="I2108" s="1"/>
      <x:c r="J2108" s="1"/>
      <x:c r="K2108" s="1"/>
      <x:c r="L2108" s="1"/>
      <x:c r="M2108" s="1"/>
      <x:c r="N2108" s="1"/>
      <x:c r="O2108" s="1"/>
      <x:c r="P2108" s="1"/>
      <x:c r="Q2108" s="1"/>
      <x:c r="R2108" s="1"/>
      <x:c r="S2108" s="1"/>
      <x:c r="T2108" s="1"/>
      <x:c r="U2108" s="1"/>
      <x:c r="V2108" s="1"/>
      <x:c r="W2108" s="1"/>
      <x:c r="X2108" s="1"/>
      <x:c r="Y2108" s="1"/>
      <x:c r="Z2108" s="1"/>
    </x:row>
    <x:row r="2109">
      <x:c r="A2109" s="1"/>
      <x:c r="B2109" s="1"/>
      <x:c r="C2109" s="1"/>
      <x:c r="D2109" s="1"/>
      <x:c r="E2109" s="1"/>
      <x:c r="F2109" s="1"/>
      <x:c r="G2109" s="1"/>
      <x:c r="H2109" s="1"/>
      <x:c r="I2109" s="1"/>
      <x:c r="J2109" s="1"/>
      <x:c r="K2109" s="1"/>
      <x:c r="L2109" s="1"/>
      <x:c r="M2109" s="1"/>
      <x:c r="N2109" s="1"/>
      <x:c r="O2109" s="1"/>
      <x:c r="P2109" s="1"/>
      <x:c r="Q2109" s="1"/>
      <x:c r="R2109" s="1"/>
      <x:c r="S2109" s="1"/>
      <x:c r="T2109" s="1"/>
      <x:c r="U2109" s="1"/>
      <x:c r="V2109" s="1"/>
      <x:c r="W2109" s="1"/>
      <x:c r="X2109" s="1"/>
      <x:c r="Y2109" s="1"/>
      <x:c r="Z2109" s="1"/>
    </x:row>
    <x:row r="2110">
      <x:c r="A2110" s="1"/>
      <x:c r="B2110" s="1"/>
      <x:c r="C2110" s="1"/>
      <x:c r="D2110" s="1"/>
      <x:c r="E2110" s="1"/>
      <x:c r="F2110" s="1"/>
      <x:c r="G2110" s="1"/>
      <x:c r="H2110" s="1"/>
      <x:c r="I2110" s="1"/>
      <x:c r="J2110" s="1"/>
      <x:c r="K2110" s="1"/>
      <x:c r="L2110" s="1"/>
      <x:c r="M2110" s="1"/>
      <x:c r="N2110" s="1"/>
      <x:c r="O2110" s="1"/>
      <x:c r="P2110" s="1"/>
      <x:c r="Q2110" s="1"/>
      <x:c r="R2110" s="1"/>
      <x:c r="S2110" s="1"/>
      <x:c r="T2110" s="1"/>
      <x:c r="U2110" s="1"/>
      <x:c r="V2110" s="1"/>
      <x:c r="W2110" s="1"/>
      <x:c r="X2110" s="1"/>
      <x:c r="Y2110" s="1"/>
      <x:c r="Z2110" s="1"/>
    </x:row>
    <x:row r="2111">
      <x:c r="A2111" s="1"/>
      <x:c r="B2111" s="1"/>
      <x:c r="C2111" s="1"/>
      <x:c r="D2111" s="1"/>
      <x:c r="E2111" s="1"/>
      <x:c r="F2111" s="1"/>
      <x:c r="G2111" s="1"/>
      <x:c r="H2111" s="1"/>
      <x:c r="I2111" s="1"/>
      <x:c r="J2111" s="1"/>
      <x:c r="K2111" s="1"/>
      <x:c r="L2111" s="1"/>
      <x:c r="M2111" s="1"/>
      <x:c r="N2111" s="1"/>
      <x:c r="O2111" s="1"/>
      <x:c r="P2111" s="1"/>
      <x:c r="Q2111" s="1"/>
      <x:c r="R2111" s="1"/>
      <x:c r="S2111" s="1"/>
      <x:c r="T2111" s="1"/>
      <x:c r="U2111" s="1"/>
      <x:c r="V2111" s="1"/>
      <x:c r="W2111" s="1"/>
      <x:c r="X2111" s="1"/>
      <x:c r="Y2111" s="1"/>
      <x:c r="Z2111" s="1"/>
    </x:row>
    <x:row r="2112">
      <x:c r="A2112" s="1"/>
      <x:c r="B2112" s="1"/>
      <x:c r="C2112" s="1"/>
      <x:c r="D2112" s="1"/>
      <x:c r="E2112" s="1"/>
      <x:c r="F2112" s="1"/>
      <x:c r="G2112" s="1"/>
      <x:c r="H2112" s="1"/>
      <x:c r="I2112" s="1"/>
      <x:c r="J2112" s="1"/>
      <x:c r="K2112" s="1"/>
      <x:c r="L2112" s="1"/>
      <x:c r="M2112" s="1"/>
      <x:c r="N2112" s="1"/>
      <x:c r="O2112" s="1"/>
      <x:c r="P2112" s="1"/>
      <x:c r="Q2112" s="1"/>
      <x:c r="R2112" s="1"/>
      <x:c r="S2112" s="1"/>
      <x:c r="T2112" s="1"/>
      <x:c r="U2112" s="1"/>
      <x:c r="V2112" s="1"/>
      <x:c r="W2112" s="1"/>
      <x:c r="X2112" s="1"/>
      <x:c r="Y2112" s="1"/>
      <x:c r="Z2112" s="1"/>
    </x:row>
    <x:row r="2113">
      <x:c r="A2113" s="1"/>
      <x:c r="B2113" s="1"/>
      <x:c r="C2113" s="1"/>
      <x:c r="D2113" s="1"/>
      <x:c r="E2113" s="1"/>
      <x:c r="F2113" s="1"/>
      <x:c r="G2113" s="1"/>
      <x:c r="H2113" s="1"/>
      <x:c r="I2113" s="1"/>
      <x:c r="J2113" s="1"/>
      <x:c r="K2113" s="1"/>
      <x:c r="L2113" s="1"/>
      <x:c r="M2113" s="1"/>
      <x:c r="N2113" s="1"/>
      <x:c r="O2113" s="1"/>
      <x:c r="P2113" s="1"/>
      <x:c r="Q2113" s="1"/>
      <x:c r="R2113" s="1"/>
      <x:c r="S2113" s="1"/>
      <x:c r="T2113" s="1"/>
      <x:c r="U2113" s="1"/>
      <x:c r="V2113" s="1"/>
      <x:c r="W2113" s="1"/>
      <x:c r="X2113" s="1"/>
      <x:c r="Y2113" s="1"/>
      <x:c r="Z2113" s="1"/>
    </x:row>
    <x:row r="2114">
      <x:c r="A2114" s="1"/>
      <x:c r="B2114" s="1"/>
      <x:c r="C2114" s="1"/>
      <x:c r="D2114" s="1"/>
      <x:c r="E2114" s="1"/>
      <x:c r="F2114" s="1"/>
      <x:c r="G2114" s="1"/>
      <x:c r="H2114" s="1"/>
      <x:c r="I2114" s="1"/>
      <x:c r="J2114" s="1"/>
      <x:c r="K2114" s="1"/>
      <x:c r="L2114" s="1"/>
      <x:c r="M2114" s="1"/>
      <x:c r="N2114" s="1"/>
      <x:c r="O2114" s="1"/>
      <x:c r="P2114" s="1"/>
      <x:c r="Q2114" s="1"/>
      <x:c r="R2114" s="1"/>
      <x:c r="S2114" s="1"/>
      <x:c r="T2114" s="1"/>
      <x:c r="U2114" s="1"/>
      <x:c r="V2114" s="1"/>
      <x:c r="W2114" s="1"/>
      <x:c r="X2114" s="1"/>
      <x:c r="Y2114" s="1"/>
      <x:c r="Z2114" s="1"/>
    </x:row>
    <x:row r="2115">
      <x:c r="A2115" s="1"/>
      <x:c r="B2115" s="1"/>
      <x:c r="C2115" s="1"/>
      <x:c r="D2115" s="1"/>
      <x:c r="E2115" s="1"/>
      <x:c r="F2115" s="1"/>
      <x:c r="G2115" s="1"/>
      <x:c r="H2115" s="1"/>
      <x:c r="I2115" s="1"/>
      <x:c r="J2115" s="1"/>
      <x:c r="K2115" s="1"/>
      <x:c r="L2115" s="1"/>
      <x:c r="M2115" s="1"/>
      <x:c r="N2115" s="1"/>
      <x:c r="O2115" s="1"/>
      <x:c r="P2115" s="1"/>
      <x:c r="Q2115" s="1"/>
      <x:c r="R2115" s="1"/>
      <x:c r="S2115" s="1"/>
      <x:c r="T2115" s="1"/>
      <x:c r="U2115" s="1"/>
      <x:c r="V2115" s="1"/>
      <x:c r="W2115" s="1"/>
      <x:c r="X2115" s="1"/>
      <x:c r="Y2115" s="1"/>
      <x:c r="Z2115" s="1"/>
    </x:row>
    <x:row r="2116">
      <x:c r="A2116" s="1"/>
      <x:c r="B2116" s="1"/>
      <x:c r="C2116" s="1"/>
      <x:c r="D2116" s="1"/>
      <x:c r="E2116" s="1"/>
      <x:c r="F2116" s="1"/>
      <x:c r="G2116" s="1"/>
      <x:c r="H2116" s="1"/>
      <x:c r="I2116" s="1"/>
      <x:c r="J2116" s="1"/>
      <x:c r="K2116" s="1"/>
      <x:c r="L2116" s="1"/>
      <x:c r="M2116" s="1"/>
      <x:c r="N2116" s="1"/>
      <x:c r="O2116" s="1"/>
      <x:c r="P2116" s="1"/>
      <x:c r="Q2116" s="1"/>
      <x:c r="R2116" s="1"/>
      <x:c r="S2116" s="1"/>
      <x:c r="T2116" s="1"/>
      <x:c r="U2116" s="1"/>
      <x:c r="V2116" s="1"/>
      <x:c r="W2116" s="1"/>
      <x:c r="X2116" s="1"/>
      <x:c r="Y2116" s="1"/>
      <x:c r="Z2116" s="1"/>
    </x:row>
    <x:row r="2117">
      <x:c r="A2117" s="1"/>
      <x:c r="B2117" s="1"/>
      <x:c r="C2117" s="1"/>
      <x:c r="D2117" s="1"/>
      <x:c r="E2117" s="1"/>
      <x:c r="F2117" s="1"/>
      <x:c r="G2117" s="1"/>
      <x:c r="H2117" s="1"/>
      <x:c r="I2117" s="1"/>
      <x:c r="J2117" s="1"/>
      <x:c r="K2117" s="1"/>
      <x:c r="L2117" s="1"/>
      <x:c r="M2117" s="1"/>
      <x:c r="N2117" s="1"/>
      <x:c r="O2117" s="1"/>
      <x:c r="P2117" s="1"/>
      <x:c r="Q2117" s="1"/>
      <x:c r="R2117" s="1"/>
      <x:c r="S2117" s="1"/>
      <x:c r="T2117" s="1"/>
      <x:c r="U2117" s="1"/>
      <x:c r="V2117" s="1"/>
      <x:c r="W2117" s="1"/>
      <x:c r="X2117" s="1"/>
      <x:c r="Y2117" s="1"/>
      <x:c r="Z2117" s="1"/>
    </x:row>
    <x:row r="2118">
      <x:c r="A2118" s="1"/>
      <x:c r="B2118" s="1"/>
      <x:c r="C2118" s="1"/>
      <x:c r="D2118" s="1"/>
      <x:c r="E2118" s="1"/>
      <x:c r="F2118" s="1"/>
      <x:c r="G2118" s="1"/>
      <x:c r="H2118" s="1"/>
      <x:c r="I2118" s="1"/>
      <x:c r="J2118" s="1"/>
      <x:c r="K2118" s="1"/>
      <x:c r="L2118" s="1"/>
      <x:c r="M2118" s="1"/>
      <x:c r="N2118" s="1"/>
      <x:c r="O2118" s="1"/>
      <x:c r="P2118" s="1"/>
      <x:c r="Q2118" s="1"/>
      <x:c r="R2118" s="1"/>
      <x:c r="S2118" s="1"/>
      <x:c r="T2118" s="1"/>
      <x:c r="U2118" s="1"/>
      <x:c r="V2118" s="1"/>
      <x:c r="W2118" s="1"/>
      <x:c r="X2118" s="1"/>
      <x:c r="Y2118" s="1"/>
      <x:c r="Z2118" s="1"/>
    </x:row>
    <x:row r="2119">
      <x:c r="A2119" s="1"/>
      <x:c r="B2119" s="1"/>
      <x:c r="C2119" s="1"/>
      <x:c r="D2119" s="1"/>
      <x:c r="E2119" s="1"/>
      <x:c r="F2119" s="1"/>
      <x:c r="G2119" s="1"/>
      <x:c r="H2119" s="1"/>
      <x:c r="I2119" s="1"/>
      <x:c r="J2119" s="1"/>
      <x:c r="K2119" s="1"/>
      <x:c r="L2119" s="1"/>
      <x:c r="M2119" s="1"/>
      <x:c r="N2119" s="1"/>
      <x:c r="O2119" s="1"/>
      <x:c r="P2119" s="1"/>
      <x:c r="Q2119" s="1"/>
      <x:c r="R2119" s="1"/>
      <x:c r="S2119" s="1"/>
      <x:c r="T2119" s="1"/>
      <x:c r="U2119" s="1"/>
      <x:c r="V2119" s="1"/>
      <x:c r="W2119" s="1"/>
      <x:c r="X2119" s="1"/>
      <x:c r="Y2119" s="1"/>
      <x:c r="Z2119" s="1"/>
    </x:row>
    <x:row r="2120">
      <x:c r="A2120" s="1"/>
      <x:c r="B2120" s="1"/>
      <x:c r="C2120" s="1"/>
      <x:c r="D2120" s="1"/>
      <x:c r="E2120" s="1"/>
      <x:c r="F2120" s="1"/>
      <x:c r="G2120" s="1"/>
      <x:c r="H2120" s="1"/>
      <x:c r="I2120" s="1"/>
      <x:c r="J2120" s="1"/>
      <x:c r="K2120" s="1"/>
      <x:c r="L2120" s="1"/>
      <x:c r="M2120" s="1"/>
      <x:c r="N2120" s="1"/>
      <x:c r="O2120" s="1"/>
      <x:c r="P2120" s="1"/>
      <x:c r="Q2120" s="1"/>
      <x:c r="R2120" s="1"/>
      <x:c r="S2120" s="1"/>
      <x:c r="T2120" s="1"/>
      <x:c r="U2120" s="1"/>
      <x:c r="V2120" s="1"/>
      <x:c r="W2120" s="1"/>
      <x:c r="X2120" s="1"/>
      <x:c r="Y2120" s="1"/>
      <x:c r="Z2120" s="1"/>
    </x:row>
    <x:row r="2121">
      <x:c r="A2121" s="1"/>
      <x:c r="B2121" s="1"/>
      <x:c r="C2121" s="1"/>
      <x:c r="D2121" s="1"/>
      <x:c r="E2121" s="1"/>
      <x:c r="F2121" s="1"/>
      <x:c r="G2121" s="1"/>
      <x:c r="H2121" s="1"/>
      <x:c r="I2121" s="1"/>
      <x:c r="J2121" s="1"/>
      <x:c r="K2121" s="1"/>
      <x:c r="L2121" s="1"/>
      <x:c r="M2121" s="1"/>
      <x:c r="N2121" s="1"/>
      <x:c r="O2121" s="1"/>
      <x:c r="P2121" s="1"/>
      <x:c r="Q2121" s="1"/>
      <x:c r="R2121" s="1"/>
      <x:c r="S2121" s="1"/>
      <x:c r="T2121" s="1"/>
      <x:c r="U2121" s="1"/>
      <x:c r="V2121" s="1"/>
      <x:c r="W2121" s="1"/>
      <x:c r="X2121" s="1"/>
      <x:c r="Y2121" s="1"/>
      <x:c r="Z2121" s="1"/>
    </x:row>
    <x:row r="2122">
      <x:c r="A2122" s="1"/>
      <x:c r="B2122" s="1"/>
      <x:c r="C2122" s="1"/>
      <x:c r="D2122" s="1"/>
      <x:c r="E2122" s="1"/>
      <x:c r="F2122" s="1"/>
      <x:c r="G2122" s="1"/>
      <x:c r="H2122" s="1"/>
      <x:c r="I2122" s="1"/>
      <x:c r="J2122" s="1"/>
      <x:c r="K2122" s="1"/>
      <x:c r="L2122" s="1"/>
      <x:c r="M2122" s="1"/>
      <x:c r="N2122" s="1"/>
      <x:c r="O2122" s="1"/>
      <x:c r="P2122" s="1"/>
      <x:c r="Q2122" s="1"/>
      <x:c r="R2122" s="1"/>
      <x:c r="S2122" s="1"/>
      <x:c r="T2122" s="1"/>
      <x:c r="U2122" s="1"/>
      <x:c r="V2122" s="1"/>
      <x:c r="W2122" s="1"/>
      <x:c r="X2122" s="1"/>
      <x:c r="Y2122" s="1"/>
      <x:c r="Z2122" s="1"/>
    </x:row>
    <x:row r="2123">
      <x:c r="A2123" s="1"/>
      <x:c r="B2123" s="1"/>
      <x:c r="C2123" s="1"/>
      <x:c r="D2123" s="1"/>
      <x:c r="E2123" s="1"/>
      <x:c r="F2123" s="1"/>
      <x:c r="G2123" s="1"/>
      <x:c r="H2123" s="1"/>
      <x:c r="I2123" s="1"/>
      <x:c r="J2123" s="1"/>
      <x:c r="K2123" s="1"/>
      <x:c r="L2123" s="1"/>
      <x:c r="M2123" s="1"/>
      <x:c r="N2123" s="1"/>
      <x:c r="O2123" s="1"/>
      <x:c r="P2123" s="1"/>
      <x:c r="Q2123" s="1"/>
      <x:c r="R2123" s="1"/>
      <x:c r="S2123" s="1"/>
      <x:c r="T2123" s="1"/>
      <x:c r="U2123" s="1"/>
      <x:c r="V2123" s="1"/>
      <x:c r="W2123" s="1"/>
      <x:c r="X2123" s="1"/>
      <x:c r="Y2123" s="1"/>
      <x:c r="Z2123" s="1"/>
    </x:row>
    <x:row r="2124">
      <x:c r="A2124" s="1"/>
      <x:c r="B2124" s="1"/>
      <x:c r="C2124" s="1"/>
      <x:c r="D2124" s="1"/>
      <x:c r="E2124" s="1"/>
      <x:c r="F2124" s="1"/>
      <x:c r="G2124" s="1"/>
      <x:c r="H2124" s="1"/>
      <x:c r="I2124" s="1"/>
      <x:c r="J2124" s="1"/>
      <x:c r="K2124" s="1"/>
      <x:c r="L2124" s="1"/>
      <x:c r="M2124" s="1"/>
      <x:c r="N2124" s="1"/>
      <x:c r="O2124" s="1"/>
      <x:c r="P2124" s="1"/>
      <x:c r="Q2124" s="1"/>
      <x:c r="R2124" s="1"/>
      <x:c r="S2124" s="1"/>
      <x:c r="T2124" s="1"/>
      <x:c r="U2124" s="1"/>
      <x:c r="V2124" s="1"/>
      <x:c r="W2124" s="1"/>
      <x:c r="X2124" s="1"/>
      <x:c r="Y2124" s="1"/>
      <x:c r="Z2124" s="1"/>
    </x:row>
    <x:row r="2125">
      <x:c r="A2125" s="1"/>
      <x:c r="B2125" s="1"/>
      <x:c r="C2125" s="1"/>
      <x:c r="D2125" s="1"/>
      <x:c r="E2125" s="1"/>
      <x:c r="F2125" s="1"/>
      <x:c r="G2125" s="1"/>
      <x:c r="H2125" s="1"/>
      <x:c r="I2125" s="1"/>
      <x:c r="J2125" s="1"/>
      <x:c r="K2125" s="1"/>
      <x:c r="L2125" s="1"/>
      <x:c r="M2125" s="1"/>
      <x:c r="N2125" s="1"/>
      <x:c r="O2125" s="1"/>
      <x:c r="P2125" s="1"/>
      <x:c r="Q2125" s="1"/>
      <x:c r="R2125" s="1"/>
      <x:c r="S2125" s="1"/>
      <x:c r="T2125" s="1"/>
      <x:c r="U2125" s="1"/>
      <x:c r="V2125" s="1"/>
      <x:c r="W2125" s="1"/>
      <x:c r="X2125" s="1"/>
      <x:c r="Y2125" s="1"/>
      <x:c r="Z2125" s="1"/>
    </x:row>
    <x:row r="2126">
      <x:c r="A2126" s="1"/>
      <x:c r="B2126" s="1"/>
      <x:c r="C2126" s="1"/>
      <x:c r="D2126" s="1"/>
      <x:c r="E2126" s="1"/>
      <x:c r="F2126" s="1"/>
      <x:c r="G2126" s="1"/>
      <x:c r="H2126" s="1"/>
      <x:c r="I2126" s="1"/>
      <x:c r="J2126" s="1"/>
      <x:c r="K2126" s="1"/>
      <x:c r="L2126" s="1"/>
      <x:c r="M2126" s="1"/>
      <x:c r="N2126" s="1"/>
      <x:c r="O2126" s="1"/>
      <x:c r="P2126" s="1"/>
      <x:c r="Q2126" s="1"/>
      <x:c r="R2126" s="1"/>
      <x:c r="S2126" s="1"/>
      <x:c r="T2126" s="1"/>
      <x:c r="U2126" s="1"/>
      <x:c r="V2126" s="1"/>
      <x:c r="W2126" s="1"/>
      <x:c r="X2126" s="1"/>
      <x:c r="Y2126" s="1"/>
      <x:c r="Z2126" s="1"/>
    </x:row>
    <x:row r="2127">
      <x:c r="A2127" s="1"/>
      <x:c r="B2127" s="1"/>
      <x:c r="C2127" s="1"/>
      <x:c r="D2127" s="1"/>
      <x:c r="E2127" s="1"/>
      <x:c r="F2127" s="1"/>
      <x:c r="G2127" s="1"/>
      <x:c r="H2127" s="1"/>
      <x:c r="I2127" s="1"/>
      <x:c r="J2127" s="1"/>
      <x:c r="K2127" s="1"/>
      <x:c r="L2127" s="1"/>
      <x:c r="M2127" s="1"/>
      <x:c r="N2127" s="1"/>
      <x:c r="O2127" s="1"/>
      <x:c r="P2127" s="1"/>
      <x:c r="Q2127" s="1"/>
      <x:c r="R2127" s="1"/>
      <x:c r="S2127" s="1"/>
      <x:c r="T2127" s="1"/>
      <x:c r="U2127" s="1"/>
      <x:c r="V2127" s="1"/>
      <x:c r="W2127" s="1"/>
      <x:c r="X2127" s="1"/>
      <x:c r="Y2127" s="1"/>
      <x:c r="Z2127" s="1"/>
    </x:row>
    <x:row r="2128">
      <x:c r="A2128" s="1"/>
      <x:c r="B2128" s="1"/>
      <x:c r="C2128" s="1"/>
      <x:c r="D2128" s="1"/>
      <x:c r="E2128" s="1"/>
      <x:c r="F2128" s="1"/>
      <x:c r="G2128" s="1"/>
      <x:c r="H2128" s="1"/>
      <x:c r="I2128" s="1"/>
      <x:c r="J2128" s="1"/>
      <x:c r="K2128" s="1"/>
      <x:c r="L2128" s="1"/>
      <x:c r="M2128" s="1"/>
      <x:c r="N2128" s="1"/>
      <x:c r="O2128" s="1"/>
      <x:c r="P2128" s="1"/>
      <x:c r="Q2128" s="1"/>
      <x:c r="R2128" s="1"/>
      <x:c r="S2128" s="1"/>
      <x:c r="T2128" s="1"/>
      <x:c r="U2128" s="1"/>
      <x:c r="V2128" s="1"/>
      <x:c r="W2128" s="1"/>
      <x:c r="X2128" s="1"/>
      <x:c r="Y2128" s="1"/>
      <x:c r="Z2128" s="1"/>
    </x:row>
    <x:row r="2129">
      <x:c r="A2129" s="1"/>
      <x:c r="B2129" s="1"/>
      <x:c r="C2129" s="1"/>
      <x:c r="D2129" s="1"/>
      <x:c r="E2129" s="1"/>
      <x:c r="F2129" s="1"/>
      <x:c r="G2129" s="1"/>
      <x:c r="H2129" s="1"/>
      <x:c r="I2129" s="1"/>
      <x:c r="J2129" s="1"/>
      <x:c r="K2129" s="1"/>
      <x:c r="L2129" s="1"/>
      <x:c r="M2129" s="1"/>
      <x:c r="N2129" s="1"/>
      <x:c r="O2129" s="1"/>
      <x:c r="P2129" s="1"/>
      <x:c r="Q2129" s="1"/>
      <x:c r="R2129" s="1"/>
      <x:c r="S2129" s="1"/>
      <x:c r="T2129" s="1"/>
      <x:c r="U2129" s="1"/>
      <x:c r="V2129" s="1"/>
      <x:c r="W2129" s="1"/>
      <x:c r="X2129" s="1"/>
      <x:c r="Y2129" s="1"/>
      <x:c r="Z2129" s="1"/>
    </x:row>
    <x:row r="2130">
      <x:c r="A2130" s="1"/>
      <x:c r="B2130" s="1"/>
      <x:c r="C2130" s="1"/>
      <x:c r="D2130" s="1"/>
      <x:c r="E2130" s="1"/>
      <x:c r="F2130" s="1"/>
      <x:c r="G2130" s="1"/>
      <x:c r="H2130" s="1"/>
      <x:c r="I2130" s="1"/>
      <x:c r="J2130" s="1"/>
      <x:c r="K2130" s="1"/>
      <x:c r="L2130" s="1"/>
      <x:c r="M2130" s="1"/>
      <x:c r="N2130" s="1"/>
      <x:c r="O2130" s="1"/>
      <x:c r="P2130" s="1"/>
      <x:c r="Q2130" s="1"/>
      <x:c r="R2130" s="1"/>
      <x:c r="S2130" s="1"/>
      <x:c r="T2130" s="1"/>
      <x:c r="U2130" s="1"/>
      <x:c r="V2130" s="1"/>
      <x:c r="W2130" s="1"/>
      <x:c r="X2130" s="1"/>
      <x:c r="Y2130" s="1"/>
      <x:c r="Z2130" s="1"/>
    </x:row>
    <x:row r="2131">
      <x:c r="A2131" s="1"/>
      <x:c r="B2131" s="1"/>
      <x:c r="C2131" s="1"/>
      <x:c r="D2131" s="1"/>
      <x:c r="E2131" s="1"/>
      <x:c r="F2131" s="1"/>
      <x:c r="G2131" s="1"/>
      <x:c r="H2131" s="1"/>
      <x:c r="I2131" s="1"/>
      <x:c r="J2131" s="1"/>
      <x:c r="K2131" s="1"/>
      <x:c r="L2131" s="1"/>
      <x:c r="M2131" s="1"/>
      <x:c r="N2131" s="1"/>
      <x:c r="O2131" s="1"/>
      <x:c r="P2131" s="1"/>
      <x:c r="Q2131" s="1"/>
      <x:c r="R2131" s="1"/>
      <x:c r="S2131" s="1"/>
      <x:c r="T2131" s="1"/>
      <x:c r="U2131" s="1"/>
      <x:c r="V2131" s="1"/>
      <x:c r="W2131" s="1"/>
      <x:c r="X2131" s="1"/>
      <x:c r="Y2131" s="1"/>
      <x:c r="Z2131" s="1"/>
    </x:row>
    <x:row r="2132">
      <x:c r="A2132" s="1"/>
      <x:c r="B2132" s="1"/>
      <x:c r="C2132" s="1"/>
      <x:c r="D2132" s="1"/>
      <x:c r="E2132" s="1"/>
      <x:c r="F2132" s="1"/>
      <x:c r="G2132" s="1"/>
      <x:c r="H2132" s="1"/>
      <x:c r="I2132" s="1"/>
      <x:c r="J2132" s="1"/>
      <x:c r="K2132" s="1"/>
      <x:c r="L2132" s="1"/>
      <x:c r="M2132" s="1"/>
      <x:c r="N2132" s="1"/>
      <x:c r="O2132" s="1"/>
      <x:c r="P2132" s="1"/>
      <x:c r="Q2132" s="1"/>
      <x:c r="R2132" s="1"/>
      <x:c r="S2132" s="1"/>
      <x:c r="T2132" s="1"/>
      <x:c r="U2132" s="1"/>
      <x:c r="V2132" s="1"/>
      <x:c r="W2132" s="1"/>
      <x:c r="X2132" s="1"/>
      <x:c r="Y2132" s="1"/>
      <x:c r="Z2132" s="1"/>
    </x:row>
    <x:row r="2133">
      <x:c r="A2133" s="1"/>
      <x:c r="B2133" s="1"/>
      <x:c r="C2133" s="1"/>
      <x:c r="D2133" s="1"/>
      <x:c r="E2133" s="1"/>
      <x:c r="F2133" s="1"/>
      <x:c r="G2133" s="1"/>
      <x:c r="H2133" s="1"/>
      <x:c r="I2133" s="1"/>
      <x:c r="J2133" s="1"/>
      <x:c r="K2133" s="1"/>
      <x:c r="L2133" s="1"/>
      <x:c r="M2133" s="1"/>
      <x:c r="N2133" s="1"/>
      <x:c r="O2133" s="1"/>
      <x:c r="P2133" s="1"/>
      <x:c r="Q2133" s="1"/>
      <x:c r="R2133" s="1"/>
      <x:c r="S2133" s="1"/>
      <x:c r="T2133" s="1"/>
      <x:c r="U2133" s="1"/>
      <x:c r="V2133" s="1"/>
      <x:c r="W2133" s="1"/>
      <x:c r="X2133" s="1"/>
      <x:c r="Y2133" s="1"/>
      <x:c r="Z2133" s="1"/>
    </x:row>
    <x:row r="2134">
      <x:c r="A2134" s="1"/>
      <x:c r="B2134" s="1"/>
      <x:c r="C2134" s="1"/>
      <x:c r="D2134" s="1"/>
      <x:c r="E2134" s="1"/>
      <x:c r="F2134" s="1"/>
      <x:c r="G2134" s="1"/>
      <x:c r="H2134" s="1"/>
      <x:c r="I2134" s="1"/>
      <x:c r="J2134" s="1"/>
      <x:c r="K2134" s="1"/>
      <x:c r="L2134" s="1"/>
      <x:c r="M2134" s="1"/>
      <x:c r="N2134" s="1"/>
      <x:c r="O2134" s="1"/>
      <x:c r="P2134" s="1"/>
      <x:c r="Q2134" s="1"/>
      <x:c r="R2134" s="1"/>
      <x:c r="S2134" s="1"/>
      <x:c r="T2134" s="1"/>
      <x:c r="U2134" s="1"/>
      <x:c r="V2134" s="1"/>
      <x:c r="W2134" s="1"/>
      <x:c r="X2134" s="1"/>
      <x:c r="Y2134" s="1"/>
      <x:c r="Z2134" s="1"/>
    </x:row>
    <x:row r="2135">
      <x:c r="A2135" s="1"/>
      <x:c r="B2135" s="1"/>
      <x:c r="C2135" s="1"/>
      <x:c r="D2135" s="1"/>
      <x:c r="E2135" s="1"/>
      <x:c r="F2135" s="1"/>
      <x:c r="G2135" s="1"/>
      <x:c r="H2135" s="1"/>
      <x:c r="I2135" s="1"/>
      <x:c r="J2135" s="1"/>
      <x:c r="K2135" s="1"/>
      <x:c r="L2135" s="1"/>
      <x:c r="M2135" s="1"/>
      <x:c r="N2135" s="1"/>
      <x:c r="O2135" s="1"/>
      <x:c r="P2135" s="1"/>
      <x:c r="Q2135" s="1"/>
      <x:c r="R2135" s="1"/>
      <x:c r="S2135" s="1"/>
      <x:c r="T2135" s="1"/>
      <x:c r="U2135" s="1"/>
      <x:c r="V2135" s="1"/>
      <x:c r="W2135" s="1"/>
      <x:c r="X2135" s="1"/>
      <x:c r="Y2135" s="1"/>
      <x:c r="Z2135" s="1"/>
    </x:row>
    <x:row r="2136">
      <x:c r="A2136" s="1"/>
      <x:c r="B2136" s="1"/>
      <x:c r="C2136" s="1"/>
      <x:c r="D2136" s="1"/>
      <x:c r="E2136" s="1"/>
      <x:c r="F2136" s="1"/>
      <x:c r="G2136" s="1"/>
      <x:c r="H2136" s="1"/>
      <x:c r="I2136" s="1"/>
      <x:c r="J2136" s="1"/>
      <x:c r="K2136" s="1"/>
      <x:c r="L2136" s="1"/>
      <x:c r="M2136" s="1"/>
      <x:c r="N2136" s="1"/>
      <x:c r="O2136" s="1"/>
      <x:c r="P2136" s="1"/>
      <x:c r="Q2136" s="1"/>
      <x:c r="R2136" s="1"/>
      <x:c r="S2136" s="1"/>
      <x:c r="T2136" s="1"/>
      <x:c r="U2136" s="1"/>
      <x:c r="V2136" s="1"/>
      <x:c r="W2136" s="1"/>
      <x:c r="X2136" s="1"/>
      <x:c r="Y2136" s="1"/>
      <x:c r="Z2136" s="1"/>
    </x:row>
    <x:row r="2137">
      <x:c r="A2137" s="1"/>
      <x:c r="B2137" s="1"/>
      <x:c r="C2137" s="1"/>
      <x:c r="D2137" s="1"/>
      <x:c r="E2137" s="1"/>
      <x:c r="F2137" s="1"/>
      <x:c r="G2137" s="1"/>
      <x:c r="H2137" s="1"/>
      <x:c r="I2137" s="1"/>
      <x:c r="J2137" s="1"/>
      <x:c r="K2137" s="1"/>
      <x:c r="L2137" s="1"/>
      <x:c r="M2137" s="1"/>
      <x:c r="N2137" s="1"/>
      <x:c r="O2137" s="1"/>
      <x:c r="P2137" s="1"/>
      <x:c r="Q2137" s="1"/>
      <x:c r="R2137" s="1"/>
      <x:c r="S2137" s="1"/>
      <x:c r="T2137" s="1"/>
      <x:c r="U2137" s="1"/>
      <x:c r="V2137" s="1"/>
      <x:c r="W2137" s="1"/>
      <x:c r="X2137" s="1"/>
      <x:c r="Y2137" s="1"/>
      <x:c r="Z2137" s="1"/>
    </x:row>
    <x:row r="2138">
      <x:c r="A2138" s="1"/>
      <x:c r="B2138" s="1"/>
      <x:c r="C2138" s="1"/>
      <x:c r="D2138" s="1"/>
      <x:c r="E2138" s="1"/>
      <x:c r="F2138" s="1"/>
      <x:c r="G2138" s="1"/>
      <x:c r="H2138" s="1"/>
      <x:c r="I2138" s="1"/>
      <x:c r="J2138" s="1"/>
      <x:c r="K2138" s="1"/>
      <x:c r="L2138" s="1"/>
      <x:c r="M2138" s="1"/>
      <x:c r="N2138" s="1"/>
      <x:c r="O2138" s="1"/>
      <x:c r="P2138" s="1"/>
      <x:c r="Q2138" s="1"/>
      <x:c r="R2138" s="1"/>
      <x:c r="S2138" s="1"/>
      <x:c r="T2138" s="1"/>
      <x:c r="U2138" s="1"/>
      <x:c r="V2138" s="1"/>
      <x:c r="W2138" s="1"/>
      <x:c r="X2138" s="1"/>
      <x:c r="Y2138" s="1"/>
      <x:c r="Z2138" s="1"/>
    </x:row>
    <x:row r="2139">
      <x:c r="A2139" s="1"/>
      <x:c r="B2139" s="1"/>
      <x:c r="C2139" s="1"/>
      <x:c r="D2139" s="1"/>
      <x:c r="E2139" s="1"/>
      <x:c r="F2139" s="1"/>
      <x:c r="G2139" s="1"/>
      <x:c r="H2139" s="1"/>
      <x:c r="I2139" s="1"/>
      <x:c r="J2139" s="1"/>
      <x:c r="K2139" s="1"/>
      <x:c r="L2139" s="1"/>
      <x:c r="M2139" s="1"/>
      <x:c r="N2139" s="1"/>
      <x:c r="O2139" s="1"/>
      <x:c r="P2139" s="1"/>
      <x:c r="Q2139" s="1"/>
      <x:c r="R2139" s="1"/>
      <x:c r="S2139" s="1"/>
      <x:c r="T2139" s="1"/>
      <x:c r="U2139" s="1"/>
      <x:c r="V2139" s="1"/>
      <x:c r="W2139" s="1"/>
      <x:c r="X2139" s="1"/>
      <x:c r="Y2139" s="1"/>
      <x:c r="Z2139" s="1"/>
    </x:row>
    <x:row r="2140">
      <x:c r="A2140" s="1"/>
      <x:c r="B2140" s="1"/>
      <x:c r="C2140" s="1"/>
      <x:c r="D2140" s="1"/>
      <x:c r="E2140" s="1"/>
      <x:c r="F2140" s="1"/>
      <x:c r="G2140" s="1"/>
      <x:c r="H2140" s="1"/>
      <x:c r="I2140" s="1"/>
      <x:c r="J2140" s="1"/>
      <x:c r="K2140" s="1"/>
      <x:c r="L2140" s="1"/>
      <x:c r="M2140" s="1"/>
      <x:c r="N2140" s="1"/>
      <x:c r="O2140" s="1"/>
      <x:c r="P2140" s="1"/>
      <x:c r="Q2140" s="1"/>
      <x:c r="R2140" s="1"/>
      <x:c r="S2140" s="1"/>
      <x:c r="T2140" s="1"/>
      <x:c r="U2140" s="1"/>
      <x:c r="V2140" s="1"/>
      <x:c r="W2140" s="1"/>
      <x:c r="X2140" s="1"/>
      <x:c r="Y2140" s="1"/>
      <x:c r="Z2140" s="1"/>
    </x:row>
    <x:row r="2141">
      <x:c r="A2141" s="1"/>
      <x:c r="B2141" s="1"/>
      <x:c r="C2141" s="1"/>
      <x:c r="D2141" s="1"/>
      <x:c r="E2141" s="1"/>
      <x:c r="F2141" s="1"/>
      <x:c r="G2141" s="1"/>
      <x:c r="H2141" s="1"/>
      <x:c r="I2141" s="1"/>
      <x:c r="J2141" s="1"/>
      <x:c r="K2141" s="1"/>
      <x:c r="L2141" s="1"/>
      <x:c r="M2141" s="1"/>
      <x:c r="N2141" s="1"/>
      <x:c r="O2141" s="1"/>
      <x:c r="P2141" s="1"/>
      <x:c r="Q2141" s="1"/>
      <x:c r="R2141" s="1"/>
      <x:c r="S2141" s="1"/>
      <x:c r="T2141" s="1"/>
      <x:c r="U2141" s="1"/>
      <x:c r="V2141" s="1"/>
      <x:c r="W2141" s="1"/>
      <x:c r="X2141" s="1"/>
      <x:c r="Y2141" s="1"/>
      <x:c r="Z2141" s="1"/>
    </x:row>
    <x:row r="2142">
      <x:c r="A2142" s="1"/>
      <x:c r="B2142" s="1"/>
      <x:c r="C2142" s="1"/>
      <x:c r="D2142" s="1"/>
      <x:c r="E2142" s="1"/>
      <x:c r="F2142" s="1"/>
      <x:c r="G2142" s="1"/>
      <x:c r="H2142" s="1"/>
      <x:c r="I2142" s="1"/>
      <x:c r="J2142" s="1"/>
      <x:c r="K2142" s="1"/>
      <x:c r="L2142" s="1"/>
      <x:c r="M2142" s="1"/>
      <x:c r="N2142" s="1"/>
      <x:c r="O2142" s="1"/>
      <x:c r="P2142" s="1"/>
      <x:c r="Q2142" s="1"/>
      <x:c r="R2142" s="1"/>
      <x:c r="S2142" s="1"/>
      <x:c r="T2142" s="1"/>
      <x:c r="U2142" s="1"/>
      <x:c r="V2142" s="1"/>
      <x:c r="W2142" s="1"/>
      <x:c r="X2142" s="1"/>
      <x:c r="Y2142" s="1"/>
      <x:c r="Z2142" s="1"/>
    </x:row>
    <x:row r="2143">
      <x:c r="A2143" s="1"/>
      <x:c r="B2143" s="1"/>
      <x:c r="C2143" s="1"/>
      <x:c r="D2143" s="1"/>
      <x:c r="E2143" s="1"/>
      <x:c r="F2143" s="1"/>
      <x:c r="G2143" s="1"/>
      <x:c r="H2143" s="1"/>
      <x:c r="I2143" s="1"/>
      <x:c r="J2143" s="1"/>
      <x:c r="K2143" s="1"/>
      <x:c r="L2143" s="1"/>
      <x:c r="M2143" s="1"/>
      <x:c r="N2143" s="1"/>
      <x:c r="O2143" s="1"/>
      <x:c r="P2143" s="1"/>
      <x:c r="Q2143" s="1"/>
      <x:c r="R2143" s="1"/>
      <x:c r="S2143" s="1"/>
      <x:c r="T2143" s="1"/>
      <x:c r="U2143" s="1"/>
      <x:c r="V2143" s="1"/>
      <x:c r="W2143" s="1"/>
      <x:c r="X2143" s="1"/>
      <x:c r="Y2143" s="1"/>
      <x:c r="Z2143" s="1"/>
    </x:row>
    <x:row r="2144">
      <x:c r="A2144" s="1"/>
      <x:c r="B2144" s="1"/>
      <x:c r="C2144" s="1"/>
      <x:c r="D2144" s="1"/>
      <x:c r="E2144" s="1"/>
      <x:c r="F2144" s="1"/>
      <x:c r="G2144" s="1"/>
      <x:c r="H2144" s="1"/>
      <x:c r="I2144" s="1"/>
      <x:c r="J2144" s="1"/>
      <x:c r="K2144" s="1"/>
      <x:c r="L2144" s="1"/>
      <x:c r="M2144" s="1"/>
      <x:c r="N2144" s="1"/>
      <x:c r="O2144" s="1"/>
      <x:c r="P2144" s="1"/>
      <x:c r="Q2144" s="1"/>
      <x:c r="R2144" s="1"/>
      <x:c r="S2144" s="1"/>
      <x:c r="T2144" s="1"/>
      <x:c r="U2144" s="1"/>
      <x:c r="V2144" s="1"/>
      <x:c r="W2144" s="1"/>
      <x:c r="X2144" s="1"/>
      <x:c r="Y2144" s="1"/>
      <x:c r="Z2144" s="1"/>
    </x:row>
    <x:row r="2145">
      <x:c r="A2145" s="1"/>
      <x:c r="B2145" s="1"/>
      <x:c r="C2145" s="1"/>
      <x:c r="D2145" s="1"/>
      <x:c r="E2145" s="1"/>
      <x:c r="F2145" s="1"/>
      <x:c r="G2145" s="1"/>
      <x:c r="H2145" s="1"/>
      <x:c r="I2145" s="1"/>
      <x:c r="J2145" s="1"/>
      <x:c r="K2145" s="1"/>
      <x:c r="L2145" s="1"/>
      <x:c r="M2145" s="1"/>
      <x:c r="N2145" s="1"/>
      <x:c r="O2145" s="1"/>
      <x:c r="P2145" s="1"/>
      <x:c r="Q2145" s="1"/>
      <x:c r="R2145" s="1"/>
      <x:c r="S2145" s="1"/>
      <x:c r="T2145" s="1"/>
      <x:c r="U2145" s="1"/>
      <x:c r="V2145" s="1"/>
      <x:c r="W2145" s="1"/>
      <x:c r="X2145" s="1"/>
      <x:c r="Y2145" s="1"/>
      <x:c r="Z2145" s="1"/>
    </x:row>
    <x:row r="2146">
      <x:c r="A2146" s="1"/>
      <x:c r="B2146" s="1"/>
      <x:c r="C2146" s="1"/>
      <x:c r="D2146" s="1"/>
      <x:c r="E2146" s="1"/>
      <x:c r="F2146" s="1"/>
      <x:c r="G2146" s="1"/>
      <x:c r="H2146" s="1"/>
      <x:c r="I2146" s="1"/>
      <x:c r="J2146" s="1"/>
      <x:c r="K2146" s="1"/>
      <x:c r="L2146" s="1"/>
      <x:c r="M2146" s="1"/>
      <x:c r="N2146" s="1"/>
      <x:c r="O2146" s="1"/>
      <x:c r="P2146" s="1"/>
      <x:c r="Q2146" s="1"/>
      <x:c r="R2146" s="1"/>
      <x:c r="S2146" s="1"/>
      <x:c r="T2146" s="1"/>
      <x:c r="U2146" s="1"/>
      <x:c r="V2146" s="1"/>
      <x:c r="W2146" s="1"/>
      <x:c r="X2146" s="1"/>
      <x:c r="Y2146" s="1"/>
      <x:c r="Z2146" s="1"/>
    </x:row>
    <x:row r="2147">
      <x:c r="A2147" s="1"/>
      <x:c r="B2147" s="1"/>
      <x:c r="C2147" s="1"/>
      <x:c r="D2147" s="1"/>
      <x:c r="E2147" s="1"/>
      <x:c r="F2147" s="1"/>
      <x:c r="G2147" s="1"/>
      <x:c r="H2147" s="1"/>
      <x:c r="I2147" s="1"/>
      <x:c r="J2147" s="1"/>
      <x:c r="K2147" s="1"/>
      <x:c r="L2147" s="1"/>
      <x:c r="M2147" s="1"/>
      <x:c r="N2147" s="1"/>
      <x:c r="O2147" s="1"/>
      <x:c r="P2147" s="1"/>
      <x:c r="Q2147" s="1"/>
      <x:c r="R2147" s="1"/>
      <x:c r="S2147" s="1"/>
      <x:c r="T2147" s="1"/>
      <x:c r="U2147" s="1"/>
      <x:c r="V2147" s="1"/>
      <x:c r="W2147" s="1"/>
      <x:c r="X2147" s="1"/>
      <x:c r="Y2147" s="1"/>
      <x:c r="Z2147" s="1"/>
    </x:row>
    <x:row r="2148">
      <x:c r="A2148" s="1"/>
      <x:c r="B2148" s="1"/>
      <x:c r="C2148" s="1"/>
      <x:c r="D2148" s="1"/>
      <x:c r="E2148" s="1"/>
      <x:c r="F2148" s="1"/>
      <x:c r="G2148" s="1"/>
      <x:c r="H2148" s="1"/>
      <x:c r="I2148" s="1"/>
      <x:c r="J2148" s="1"/>
      <x:c r="K2148" s="1"/>
      <x:c r="L2148" s="1"/>
      <x:c r="M2148" s="1"/>
      <x:c r="N2148" s="1"/>
      <x:c r="O2148" s="1"/>
      <x:c r="P2148" s="1"/>
      <x:c r="Q2148" s="1"/>
      <x:c r="R2148" s="1"/>
      <x:c r="S2148" s="1"/>
      <x:c r="T2148" s="1"/>
      <x:c r="U2148" s="1"/>
      <x:c r="V2148" s="1"/>
      <x:c r="W2148" s="1"/>
      <x:c r="X2148" s="1"/>
      <x:c r="Y2148" s="1"/>
      <x:c r="Z2148" s="1"/>
    </x:row>
    <x:row r="2149">
      <x:c r="A2149" s="1"/>
      <x:c r="B2149" s="1"/>
      <x:c r="C2149" s="1"/>
      <x:c r="D2149" s="1"/>
      <x:c r="E2149" s="1"/>
      <x:c r="F2149" s="1"/>
      <x:c r="G2149" s="1"/>
      <x:c r="H2149" s="1"/>
      <x:c r="I2149" s="1"/>
      <x:c r="J2149" s="1"/>
      <x:c r="K2149" s="1"/>
      <x:c r="L2149" s="1"/>
      <x:c r="M2149" s="1"/>
      <x:c r="N2149" s="1"/>
      <x:c r="O2149" s="1"/>
      <x:c r="P2149" s="1"/>
      <x:c r="Q2149" s="1"/>
      <x:c r="R2149" s="1"/>
      <x:c r="S2149" s="1"/>
      <x:c r="T2149" s="1"/>
      <x:c r="U2149" s="1"/>
      <x:c r="V2149" s="1"/>
      <x:c r="W2149" s="1"/>
      <x:c r="X2149" s="1"/>
      <x:c r="Y2149" s="1"/>
      <x:c r="Z2149" s="1"/>
    </x:row>
    <x:row r="2150">
      <x:c r="A2150" s="1"/>
      <x:c r="B2150" s="1"/>
      <x:c r="C2150" s="1"/>
      <x:c r="D2150" s="1"/>
      <x:c r="E2150" s="1"/>
      <x:c r="F2150" s="1"/>
      <x:c r="G2150" s="1"/>
      <x:c r="H2150" s="1"/>
      <x:c r="I2150" s="1"/>
      <x:c r="J2150" s="1"/>
      <x:c r="K2150" s="1"/>
      <x:c r="L2150" s="1"/>
      <x:c r="M2150" s="1"/>
      <x:c r="N2150" s="1"/>
      <x:c r="O2150" s="1"/>
      <x:c r="P2150" s="1"/>
      <x:c r="Q2150" s="1"/>
      <x:c r="R2150" s="1"/>
      <x:c r="S2150" s="1"/>
      <x:c r="T2150" s="1"/>
      <x:c r="U2150" s="1"/>
      <x:c r="V2150" s="1"/>
      <x:c r="W2150" s="1"/>
      <x:c r="X2150" s="1"/>
      <x:c r="Y2150" s="1"/>
      <x:c r="Z2150" s="1"/>
    </x:row>
    <x:row r="2151">
      <x:c r="A2151" s="1"/>
      <x:c r="B2151" s="1"/>
      <x:c r="C2151" s="1"/>
      <x:c r="D2151" s="1"/>
      <x:c r="E2151" s="1"/>
      <x:c r="F2151" s="1"/>
      <x:c r="G2151" s="1"/>
      <x:c r="H2151" s="1"/>
      <x:c r="I2151" s="1"/>
      <x:c r="J2151" s="1"/>
      <x:c r="K2151" s="1"/>
      <x:c r="L2151" s="1"/>
      <x:c r="M2151" s="1"/>
      <x:c r="N2151" s="1"/>
      <x:c r="O2151" s="1"/>
      <x:c r="P2151" s="1"/>
      <x:c r="Q2151" s="1"/>
      <x:c r="R2151" s="1"/>
      <x:c r="S2151" s="1"/>
      <x:c r="T2151" s="1"/>
      <x:c r="U2151" s="1"/>
      <x:c r="V2151" s="1"/>
      <x:c r="W2151" s="1"/>
      <x:c r="X2151" s="1"/>
      <x:c r="Y2151" s="1"/>
      <x:c r="Z2151" s="1"/>
    </x:row>
    <x:row r="2152">
      <x:c r="A2152" s="1"/>
      <x:c r="B2152" s="1"/>
      <x:c r="C2152" s="1"/>
      <x:c r="D2152" s="1"/>
      <x:c r="E2152" s="1"/>
      <x:c r="F2152" s="1"/>
      <x:c r="G2152" s="1"/>
      <x:c r="H2152" s="1"/>
      <x:c r="I2152" s="1"/>
      <x:c r="J2152" s="1"/>
      <x:c r="K2152" s="1"/>
      <x:c r="L2152" s="1"/>
      <x:c r="M2152" s="1"/>
      <x:c r="N2152" s="1"/>
      <x:c r="O2152" s="1"/>
      <x:c r="P2152" s="1"/>
      <x:c r="Q2152" s="1"/>
      <x:c r="R2152" s="1"/>
      <x:c r="S2152" s="1"/>
      <x:c r="T2152" s="1"/>
      <x:c r="U2152" s="1"/>
      <x:c r="V2152" s="1"/>
      <x:c r="W2152" s="1"/>
      <x:c r="X2152" s="1"/>
      <x:c r="Y2152" s="1"/>
      <x:c r="Z2152" s="1"/>
    </x:row>
    <x:row r="2153">
      <x:c r="A2153" s="1"/>
      <x:c r="B2153" s="1"/>
      <x:c r="C2153" s="1"/>
      <x:c r="D2153" s="1"/>
      <x:c r="E2153" s="1"/>
      <x:c r="F2153" s="1"/>
      <x:c r="G2153" s="1"/>
      <x:c r="H2153" s="1"/>
      <x:c r="I2153" s="1"/>
      <x:c r="J2153" s="1"/>
      <x:c r="K2153" s="1"/>
      <x:c r="L2153" s="1"/>
      <x:c r="M2153" s="1"/>
      <x:c r="N2153" s="1"/>
      <x:c r="O2153" s="1"/>
      <x:c r="P2153" s="1"/>
      <x:c r="Q2153" s="1"/>
      <x:c r="R2153" s="1"/>
      <x:c r="S2153" s="1"/>
      <x:c r="T2153" s="1"/>
      <x:c r="U2153" s="1"/>
      <x:c r="V2153" s="1"/>
      <x:c r="W2153" s="1"/>
      <x:c r="X2153" s="1"/>
      <x:c r="Y2153" s="1"/>
      <x:c r="Z2153" s="1"/>
    </x:row>
    <x:row r="2154">
      <x:c r="A2154" s="1"/>
      <x:c r="B2154" s="1"/>
      <x:c r="C2154" s="1"/>
      <x:c r="D2154" s="1"/>
      <x:c r="E2154" s="1"/>
      <x:c r="F2154" s="1"/>
      <x:c r="G2154" s="1"/>
      <x:c r="H2154" s="1"/>
      <x:c r="I2154" s="1"/>
      <x:c r="J2154" s="1"/>
      <x:c r="K2154" s="1"/>
      <x:c r="L2154" s="1"/>
      <x:c r="M2154" s="1"/>
      <x:c r="N2154" s="1"/>
      <x:c r="O2154" s="1"/>
      <x:c r="P2154" s="1"/>
      <x:c r="Q2154" s="1"/>
      <x:c r="R2154" s="1"/>
      <x:c r="S2154" s="1"/>
      <x:c r="T2154" s="1"/>
      <x:c r="U2154" s="1"/>
      <x:c r="V2154" s="1"/>
      <x:c r="W2154" s="1"/>
      <x:c r="X2154" s="1"/>
      <x:c r="Y2154" s="1"/>
      <x:c r="Z2154" s="1"/>
    </x:row>
    <x:row r="2155">
      <x:c r="A2155" s="1"/>
      <x:c r="B2155" s="1"/>
      <x:c r="C2155" s="1"/>
      <x:c r="D2155" s="1"/>
      <x:c r="E2155" s="1"/>
      <x:c r="F2155" s="1"/>
      <x:c r="G2155" s="1"/>
      <x:c r="H2155" s="1"/>
      <x:c r="I2155" s="1"/>
      <x:c r="J2155" s="1"/>
      <x:c r="K2155" s="1"/>
      <x:c r="L2155" s="1"/>
      <x:c r="M2155" s="1"/>
      <x:c r="N2155" s="1"/>
      <x:c r="O2155" s="1"/>
      <x:c r="P2155" s="1"/>
      <x:c r="Q2155" s="1"/>
      <x:c r="R2155" s="1"/>
      <x:c r="S2155" s="1"/>
      <x:c r="T2155" s="1"/>
      <x:c r="U2155" s="1"/>
      <x:c r="V2155" s="1"/>
      <x:c r="W2155" s="1"/>
      <x:c r="X2155" s="1"/>
      <x:c r="Y2155" s="1"/>
      <x:c r="Z2155" s="1"/>
    </x:row>
    <x:row r="2156">
      <x:c r="A2156" s="1"/>
      <x:c r="B2156" s="1"/>
      <x:c r="C2156" s="1"/>
      <x:c r="D2156" s="1"/>
      <x:c r="E2156" s="1"/>
      <x:c r="F2156" s="1"/>
      <x:c r="G2156" s="1"/>
      <x:c r="H2156" s="1"/>
      <x:c r="I2156" s="1"/>
      <x:c r="J2156" s="1"/>
      <x:c r="K2156" s="1"/>
      <x:c r="L2156" s="1"/>
      <x:c r="M2156" s="1"/>
      <x:c r="N2156" s="1"/>
      <x:c r="O2156" s="1"/>
      <x:c r="P2156" s="1"/>
      <x:c r="Q2156" s="1"/>
      <x:c r="R2156" s="1"/>
      <x:c r="S2156" s="1"/>
      <x:c r="T2156" s="1"/>
      <x:c r="U2156" s="1"/>
      <x:c r="V2156" s="1"/>
      <x:c r="W2156" s="1"/>
      <x:c r="X2156" s="1"/>
      <x:c r="Y2156" s="1"/>
      <x:c r="Z2156" s="1"/>
    </x:row>
    <x:row r="2157">
      <x:c r="A2157" s="1"/>
      <x:c r="B2157" s="1"/>
      <x:c r="C2157" s="1"/>
      <x:c r="D2157" s="1"/>
      <x:c r="E2157" s="1"/>
      <x:c r="F2157" s="1"/>
      <x:c r="G2157" s="1"/>
      <x:c r="H2157" s="1"/>
      <x:c r="I2157" s="1"/>
      <x:c r="J2157" s="1"/>
      <x:c r="K2157" s="1"/>
      <x:c r="L2157" s="1"/>
      <x:c r="M2157" s="1"/>
      <x:c r="N2157" s="1"/>
      <x:c r="O2157" s="1"/>
      <x:c r="P2157" s="1"/>
      <x:c r="Q2157" s="1"/>
      <x:c r="R2157" s="1"/>
      <x:c r="S2157" s="1"/>
      <x:c r="T2157" s="1"/>
      <x:c r="U2157" s="1"/>
      <x:c r="V2157" s="1"/>
      <x:c r="W2157" s="1"/>
      <x:c r="X2157" s="1"/>
      <x:c r="Y2157" s="1"/>
      <x:c r="Z2157" s="1"/>
    </x:row>
    <x:row r="2158">
      <x:c r="A2158" s="1"/>
      <x:c r="B2158" s="1"/>
      <x:c r="C2158" s="1"/>
      <x:c r="D2158" s="1"/>
      <x:c r="E2158" s="1"/>
      <x:c r="F2158" s="1"/>
      <x:c r="G2158" s="1"/>
      <x:c r="H2158" s="1"/>
      <x:c r="I2158" s="1"/>
      <x:c r="J2158" s="1"/>
      <x:c r="K2158" s="1"/>
      <x:c r="L2158" s="1"/>
      <x:c r="M2158" s="1"/>
      <x:c r="N2158" s="1"/>
      <x:c r="O2158" s="1"/>
      <x:c r="P2158" s="1"/>
      <x:c r="Q2158" s="1"/>
      <x:c r="R2158" s="1"/>
      <x:c r="S2158" s="1"/>
      <x:c r="T2158" s="1"/>
      <x:c r="U2158" s="1"/>
      <x:c r="V2158" s="1"/>
      <x:c r="W2158" s="1"/>
      <x:c r="X2158" s="1"/>
      <x:c r="Y2158" s="1"/>
      <x:c r="Z2158" s="1"/>
    </x:row>
    <x:row r="2159">
      <x:c r="A2159" s="1"/>
      <x:c r="B2159" s="1"/>
      <x:c r="C2159" s="1"/>
      <x:c r="D2159" s="1"/>
      <x:c r="E2159" s="1"/>
      <x:c r="F2159" s="1"/>
      <x:c r="G2159" s="1"/>
      <x:c r="H2159" s="1"/>
      <x:c r="I2159" s="1"/>
      <x:c r="J2159" s="1"/>
      <x:c r="K2159" s="1"/>
      <x:c r="L2159" s="1"/>
      <x:c r="M2159" s="1"/>
      <x:c r="N2159" s="1"/>
      <x:c r="O2159" s="1"/>
      <x:c r="P2159" s="1"/>
      <x:c r="Q2159" s="1"/>
      <x:c r="R2159" s="1"/>
      <x:c r="S2159" s="1"/>
      <x:c r="T2159" s="1"/>
      <x:c r="U2159" s="1"/>
      <x:c r="V2159" s="1"/>
      <x:c r="W2159" s="1"/>
      <x:c r="X2159" s="1"/>
      <x:c r="Y2159" s="1"/>
      <x:c r="Z2159" s="1"/>
    </x:row>
    <x:row r="2160">
      <x:c r="A2160" s="1"/>
      <x:c r="B2160" s="1"/>
      <x:c r="C2160" s="1"/>
      <x:c r="D2160" s="1"/>
      <x:c r="E2160" s="1"/>
      <x:c r="F2160" s="1"/>
      <x:c r="G2160" s="1"/>
      <x:c r="H2160" s="1"/>
      <x:c r="I2160" s="1"/>
      <x:c r="J2160" s="1"/>
      <x:c r="K2160" s="1"/>
      <x:c r="L2160" s="1"/>
      <x:c r="M2160" s="1"/>
      <x:c r="N2160" s="1"/>
      <x:c r="O2160" s="1"/>
      <x:c r="P2160" s="1"/>
      <x:c r="Q2160" s="1"/>
      <x:c r="R2160" s="1"/>
      <x:c r="S2160" s="1"/>
      <x:c r="T2160" s="1"/>
      <x:c r="U2160" s="1"/>
      <x:c r="V2160" s="1"/>
      <x:c r="W2160" s="1"/>
      <x:c r="X2160" s="1"/>
      <x:c r="Y2160" s="1"/>
      <x:c r="Z2160" s="1"/>
    </x:row>
    <x:row r="2161">
      <x:c r="A2161" s="1"/>
      <x:c r="B2161" s="1"/>
      <x:c r="C2161" s="1"/>
      <x:c r="D2161" s="1"/>
      <x:c r="E2161" s="1"/>
      <x:c r="F2161" s="1"/>
      <x:c r="G2161" s="1"/>
      <x:c r="H2161" s="1"/>
      <x:c r="I2161" s="1"/>
      <x:c r="J2161" s="1"/>
      <x:c r="K2161" s="1"/>
      <x:c r="L2161" s="1"/>
      <x:c r="M2161" s="1"/>
      <x:c r="N2161" s="1"/>
      <x:c r="O2161" s="1"/>
      <x:c r="P2161" s="1"/>
      <x:c r="Q2161" s="1"/>
      <x:c r="R2161" s="1"/>
      <x:c r="S2161" s="1"/>
      <x:c r="T2161" s="1"/>
      <x:c r="U2161" s="1"/>
      <x:c r="V2161" s="1"/>
      <x:c r="W2161" s="1"/>
      <x:c r="X2161" s="1"/>
      <x:c r="Y2161" s="1"/>
      <x:c r="Z2161" s="1"/>
    </x:row>
    <x:row r="2162">
      <x:c r="A2162" s="1"/>
      <x:c r="B2162" s="1"/>
      <x:c r="C2162" s="1"/>
      <x:c r="D2162" s="1"/>
      <x:c r="E2162" s="1"/>
      <x:c r="F2162" s="1"/>
      <x:c r="G2162" s="1"/>
      <x:c r="H2162" s="1"/>
      <x:c r="I2162" s="1"/>
      <x:c r="J2162" s="1"/>
      <x:c r="K2162" s="1"/>
      <x:c r="L2162" s="1"/>
      <x:c r="M2162" s="1"/>
      <x:c r="N2162" s="1"/>
      <x:c r="O2162" s="1"/>
      <x:c r="P2162" s="1"/>
      <x:c r="Q2162" s="1"/>
      <x:c r="R2162" s="1"/>
      <x:c r="S2162" s="1"/>
      <x:c r="T2162" s="1"/>
      <x:c r="U2162" s="1"/>
      <x:c r="V2162" s="1"/>
      <x:c r="W2162" s="1"/>
      <x:c r="X2162" s="1"/>
      <x:c r="Y2162" s="1"/>
      <x:c r="Z2162" s="1"/>
    </x:row>
    <x:row r="2163">
      <x:c r="A2163" s="1"/>
      <x:c r="B2163" s="1"/>
      <x:c r="C2163" s="1"/>
      <x:c r="D2163" s="1"/>
      <x:c r="E2163" s="1"/>
      <x:c r="F2163" s="1"/>
      <x:c r="G2163" s="1"/>
      <x:c r="H2163" s="1"/>
      <x:c r="I2163" s="1"/>
      <x:c r="J2163" s="1"/>
      <x:c r="K2163" s="1"/>
      <x:c r="L2163" s="1"/>
      <x:c r="M2163" s="1"/>
      <x:c r="N2163" s="1"/>
      <x:c r="O2163" s="1"/>
      <x:c r="P2163" s="1"/>
      <x:c r="Q2163" s="1"/>
      <x:c r="R2163" s="1"/>
      <x:c r="S2163" s="1"/>
      <x:c r="T2163" s="1"/>
      <x:c r="U2163" s="1"/>
      <x:c r="V2163" s="1"/>
      <x:c r="W2163" s="1"/>
      <x:c r="X2163" s="1"/>
      <x:c r="Y2163" s="1"/>
      <x:c r="Z2163" s="1"/>
    </x:row>
    <x:row r="2164">
      <x:c r="A2164" s="1"/>
      <x:c r="B2164" s="1"/>
      <x:c r="C2164" s="1"/>
      <x:c r="D2164" s="1"/>
      <x:c r="E2164" s="1"/>
      <x:c r="F2164" s="1"/>
      <x:c r="G2164" s="1"/>
      <x:c r="H2164" s="1"/>
      <x:c r="I2164" s="1"/>
      <x:c r="J2164" s="1"/>
      <x:c r="K2164" s="1"/>
      <x:c r="L2164" s="1"/>
      <x:c r="M2164" s="1"/>
      <x:c r="N2164" s="1"/>
      <x:c r="O2164" s="1"/>
      <x:c r="P2164" s="1"/>
      <x:c r="Q2164" s="1"/>
      <x:c r="R2164" s="1"/>
      <x:c r="S2164" s="1"/>
      <x:c r="T2164" s="1"/>
      <x:c r="U2164" s="1"/>
      <x:c r="V2164" s="1"/>
      <x:c r="W2164" s="1"/>
      <x:c r="X2164" s="1"/>
      <x:c r="Y2164" s="1"/>
      <x:c r="Z2164" s="1"/>
    </x:row>
    <x:row r="2165">
      <x:c r="A2165" s="1"/>
      <x:c r="B2165" s="1"/>
      <x:c r="C2165" s="1"/>
      <x:c r="D2165" s="1"/>
      <x:c r="E2165" s="1"/>
      <x:c r="F2165" s="1"/>
      <x:c r="G2165" s="1"/>
      <x:c r="H2165" s="1"/>
      <x:c r="I2165" s="1"/>
      <x:c r="J2165" s="1"/>
      <x:c r="K2165" s="1"/>
      <x:c r="L2165" s="1"/>
      <x:c r="M2165" s="1"/>
      <x:c r="N2165" s="1"/>
      <x:c r="O2165" s="1"/>
      <x:c r="P2165" s="1"/>
      <x:c r="Q2165" s="1"/>
      <x:c r="R2165" s="1"/>
      <x:c r="S2165" s="1"/>
      <x:c r="T2165" s="1"/>
      <x:c r="U2165" s="1"/>
      <x:c r="V2165" s="1"/>
      <x:c r="W2165" s="1"/>
      <x:c r="X2165" s="1"/>
      <x:c r="Y2165" s="1"/>
      <x:c r="Z2165" s="1"/>
    </x:row>
    <x:row r="2166">
      <x:c r="A2166" s="1"/>
      <x:c r="B2166" s="1"/>
      <x:c r="C2166" s="1"/>
      <x:c r="D2166" s="1"/>
      <x:c r="E2166" s="1"/>
      <x:c r="F2166" s="1"/>
      <x:c r="G2166" s="1"/>
      <x:c r="H2166" s="1"/>
      <x:c r="I2166" s="1"/>
      <x:c r="J2166" s="1"/>
      <x:c r="K2166" s="1"/>
      <x:c r="L2166" s="1"/>
      <x:c r="M2166" s="1"/>
      <x:c r="N2166" s="1"/>
      <x:c r="O2166" s="1"/>
      <x:c r="P2166" s="1"/>
      <x:c r="Q2166" s="1"/>
      <x:c r="R2166" s="1"/>
      <x:c r="S2166" s="1"/>
      <x:c r="T2166" s="1"/>
      <x:c r="U2166" s="1"/>
      <x:c r="V2166" s="1"/>
      <x:c r="W2166" s="1"/>
      <x:c r="X2166" s="1"/>
      <x:c r="Y2166" s="1"/>
      <x:c r="Z2166" s="1"/>
    </x:row>
    <x:row r="2167">
      <x:c r="A2167" s="1"/>
      <x:c r="B2167" s="1"/>
      <x:c r="C2167" s="1"/>
      <x:c r="D2167" s="1"/>
      <x:c r="E2167" s="1"/>
      <x:c r="F2167" s="1"/>
      <x:c r="G2167" s="1"/>
      <x:c r="H2167" s="1"/>
      <x:c r="I2167" s="1"/>
      <x:c r="J2167" s="1"/>
      <x:c r="K2167" s="1"/>
      <x:c r="L2167" s="1"/>
      <x:c r="M2167" s="1"/>
      <x:c r="N2167" s="1"/>
      <x:c r="O2167" s="1"/>
      <x:c r="P2167" s="1"/>
      <x:c r="Q2167" s="1"/>
      <x:c r="R2167" s="1"/>
      <x:c r="S2167" s="1"/>
      <x:c r="T2167" s="1"/>
      <x:c r="U2167" s="1"/>
      <x:c r="V2167" s="1"/>
      <x:c r="W2167" s="1"/>
      <x:c r="X2167" s="1"/>
      <x:c r="Y2167" s="1"/>
      <x:c r="Z2167" s="1"/>
    </x:row>
    <x:row r="2168">
      <x:c r="A2168" s="1"/>
      <x:c r="B2168" s="1"/>
      <x:c r="C2168" s="1"/>
      <x:c r="D2168" s="1"/>
      <x:c r="E2168" s="1"/>
      <x:c r="F2168" s="1"/>
      <x:c r="G2168" s="1"/>
      <x:c r="H2168" s="1"/>
      <x:c r="I2168" s="1"/>
      <x:c r="J2168" s="1"/>
      <x:c r="K2168" s="1"/>
      <x:c r="L2168" s="1"/>
      <x:c r="M2168" s="1"/>
      <x:c r="N2168" s="1"/>
      <x:c r="O2168" s="1"/>
      <x:c r="P2168" s="1"/>
      <x:c r="Q2168" s="1"/>
      <x:c r="R2168" s="1"/>
      <x:c r="S2168" s="1"/>
      <x:c r="T2168" s="1"/>
      <x:c r="U2168" s="1"/>
      <x:c r="V2168" s="1"/>
      <x:c r="W2168" s="1"/>
      <x:c r="X2168" s="1"/>
      <x:c r="Y2168" s="1"/>
      <x:c r="Z2168" s="1"/>
    </x:row>
    <x:row r="2169">
      <x:c r="A2169" s="1"/>
      <x:c r="B2169" s="1"/>
      <x:c r="C2169" s="1"/>
      <x:c r="D2169" s="1"/>
      <x:c r="E2169" s="1"/>
      <x:c r="F2169" s="1"/>
      <x:c r="G2169" s="1"/>
      <x:c r="H2169" s="1"/>
      <x:c r="I2169" s="1"/>
      <x:c r="J2169" s="1"/>
      <x:c r="K2169" s="1"/>
      <x:c r="L2169" s="1"/>
      <x:c r="M2169" s="1"/>
      <x:c r="N2169" s="1"/>
      <x:c r="O2169" s="1"/>
      <x:c r="P2169" s="1"/>
      <x:c r="Q2169" s="1"/>
      <x:c r="R2169" s="1"/>
      <x:c r="S2169" s="1"/>
      <x:c r="T2169" s="1"/>
      <x:c r="U2169" s="1"/>
      <x:c r="V2169" s="1"/>
      <x:c r="W2169" s="1"/>
      <x:c r="X2169" s="1"/>
      <x:c r="Y2169" s="1"/>
      <x:c r="Z2169" s="1"/>
    </x:row>
    <x:row r="2170">
      <x:c r="A2170" s="1"/>
      <x:c r="B2170" s="1"/>
      <x:c r="C2170" s="1"/>
      <x:c r="D2170" s="1"/>
      <x:c r="E2170" s="1"/>
      <x:c r="F2170" s="1"/>
      <x:c r="G2170" s="1"/>
      <x:c r="H2170" s="1"/>
      <x:c r="I2170" s="1"/>
      <x:c r="J2170" s="1"/>
      <x:c r="K2170" s="1"/>
      <x:c r="L2170" s="1"/>
      <x:c r="M2170" s="1"/>
      <x:c r="N2170" s="1"/>
      <x:c r="O2170" s="1"/>
      <x:c r="P2170" s="1"/>
      <x:c r="Q2170" s="1"/>
      <x:c r="R2170" s="1"/>
      <x:c r="S2170" s="1"/>
      <x:c r="T2170" s="1"/>
      <x:c r="U2170" s="1"/>
      <x:c r="V2170" s="1"/>
      <x:c r="W2170" s="1"/>
      <x:c r="X2170" s="1"/>
      <x:c r="Y2170" s="1"/>
      <x:c r="Z2170" s="1"/>
    </x:row>
    <x:row r="2171">
      <x:c r="A2171" s="1"/>
      <x:c r="B2171" s="1"/>
      <x:c r="C2171" s="1"/>
      <x:c r="D2171" s="1"/>
      <x:c r="E2171" s="1"/>
      <x:c r="F2171" s="1"/>
      <x:c r="G2171" s="1"/>
      <x:c r="H2171" s="1"/>
      <x:c r="I2171" s="1"/>
      <x:c r="J2171" s="1"/>
      <x:c r="K2171" s="1"/>
      <x:c r="L2171" s="1"/>
      <x:c r="M2171" s="1"/>
      <x:c r="N2171" s="1"/>
      <x:c r="O2171" s="1"/>
      <x:c r="P2171" s="1"/>
      <x:c r="Q2171" s="1"/>
      <x:c r="R2171" s="1"/>
      <x:c r="S2171" s="1"/>
      <x:c r="T2171" s="1"/>
      <x:c r="U2171" s="1"/>
      <x:c r="V2171" s="1"/>
      <x:c r="W2171" s="1"/>
      <x:c r="X2171" s="1"/>
      <x:c r="Y2171" s="1"/>
      <x:c r="Z2171" s="1"/>
    </x:row>
    <x:row r="2172">
      <x:c r="A2172" s="1"/>
      <x:c r="B2172" s="1"/>
      <x:c r="C2172" s="1"/>
      <x:c r="D2172" s="1"/>
      <x:c r="E2172" s="1"/>
      <x:c r="F2172" s="1"/>
      <x:c r="G2172" s="1"/>
      <x:c r="H2172" s="1"/>
      <x:c r="I2172" s="1"/>
      <x:c r="J2172" s="1"/>
      <x:c r="K2172" s="1"/>
      <x:c r="L2172" s="1"/>
      <x:c r="M2172" s="1"/>
      <x:c r="N2172" s="1"/>
      <x:c r="O2172" s="1"/>
      <x:c r="P2172" s="1"/>
      <x:c r="Q2172" s="1"/>
      <x:c r="R2172" s="1"/>
      <x:c r="S2172" s="1"/>
      <x:c r="T2172" s="1"/>
      <x:c r="U2172" s="1"/>
      <x:c r="V2172" s="1"/>
      <x:c r="W2172" s="1"/>
      <x:c r="X2172" s="1"/>
      <x:c r="Y2172" s="1"/>
      <x:c r="Z2172" s="1"/>
    </x:row>
    <x:row r="2173">
      <x:c r="A2173" s="1"/>
      <x:c r="B2173" s="1"/>
      <x:c r="C2173" s="1"/>
      <x:c r="D2173" s="1"/>
      <x:c r="E2173" s="1"/>
      <x:c r="F2173" s="1"/>
      <x:c r="G2173" s="1"/>
      <x:c r="H2173" s="1"/>
      <x:c r="I2173" s="1"/>
      <x:c r="J2173" s="1"/>
      <x:c r="K2173" s="1"/>
      <x:c r="L2173" s="1"/>
      <x:c r="M2173" s="1"/>
      <x:c r="N2173" s="1"/>
      <x:c r="O2173" s="1"/>
      <x:c r="P2173" s="1"/>
      <x:c r="Q2173" s="1"/>
      <x:c r="R2173" s="1"/>
      <x:c r="S2173" s="1"/>
      <x:c r="T2173" s="1"/>
      <x:c r="U2173" s="1"/>
      <x:c r="V2173" s="1"/>
      <x:c r="W2173" s="1"/>
      <x:c r="X2173" s="1"/>
      <x:c r="Y2173" s="1"/>
      <x:c r="Z2173" s="1"/>
    </x:row>
    <x:row r="2174">
      <x:c r="A2174" s="1"/>
      <x:c r="B2174" s="1"/>
      <x:c r="C2174" s="1"/>
      <x:c r="D2174" s="1"/>
      <x:c r="E2174" s="1"/>
      <x:c r="F2174" s="1"/>
      <x:c r="G2174" s="1"/>
      <x:c r="H2174" s="1"/>
      <x:c r="I2174" s="1"/>
      <x:c r="J2174" s="1"/>
      <x:c r="K2174" s="1"/>
      <x:c r="L2174" s="1"/>
      <x:c r="M2174" s="1"/>
      <x:c r="N2174" s="1"/>
      <x:c r="O2174" s="1"/>
      <x:c r="P2174" s="1"/>
      <x:c r="Q2174" s="1"/>
      <x:c r="R2174" s="1"/>
      <x:c r="S2174" s="1"/>
      <x:c r="T2174" s="1"/>
      <x:c r="U2174" s="1"/>
      <x:c r="V2174" s="1"/>
      <x:c r="W2174" s="1"/>
      <x:c r="X2174" s="1"/>
      <x:c r="Y2174" s="1"/>
      <x:c r="Z2174" s="1"/>
    </x:row>
    <x:row r="2175">
      <x:c r="A2175" s="1"/>
      <x:c r="B2175" s="1"/>
      <x:c r="C2175" s="1"/>
      <x:c r="D2175" s="1"/>
      <x:c r="E2175" s="1"/>
      <x:c r="F2175" s="1"/>
      <x:c r="G2175" s="1"/>
      <x:c r="H2175" s="1"/>
      <x:c r="I2175" s="1"/>
      <x:c r="J2175" s="1"/>
      <x:c r="K2175" s="1"/>
      <x:c r="L2175" s="1"/>
      <x:c r="M2175" s="1"/>
      <x:c r="N2175" s="1"/>
      <x:c r="O2175" s="1"/>
      <x:c r="P2175" s="1"/>
      <x:c r="Q2175" s="1"/>
      <x:c r="R2175" s="1"/>
      <x:c r="S2175" s="1"/>
      <x:c r="T2175" s="1"/>
      <x:c r="U2175" s="1"/>
      <x:c r="V2175" s="1"/>
      <x:c r="W2175" s="1"/>
      <x:c r="X2175" s="1"/>
      <x:c r="Y2175" s="1"/>
      <x:c r="Z2175" s="1"/>
    </x:row>
    <x:row r="2176">
      <x:c r="A2176" s="1"/>
      <x:c r="B2176" s="1"/>
      <x:c r="C2176" s="1"/>
      <x:c r="D2176" s="1"/>
      <x:c r="E2176" s="1"/>
      <x:c r="F2176" s="1"/>
      <x:c r="G2176" s="1"/>
      <x:c r="H2176" s="1"/>
      <x:c r="I2176" s="1"/>
      <x:c r="J2176" s="1"/>
      <x:c r="K2176" s="1"/>
      <x:c r="L2176" s="1"/>
      <x:c r="M2176" s="1"/>
      <x:c r="N2176" s="1"/>
      <x:c r="O2176" s="1"/>
      <x:c r="P2176" s="1"/>
      <x:c r="Q2176" s="1"/>
      <x:c r="R2176" s="1"/>
      <x:c r="S2176" s="1"/>
      <x:c r="T2176" s="1"/>
      <x:c r="U2176" s="1"/>
      <x:c r="V2176" s="1"/>
      <x:c r="W2176" s="1"/>
      <x:c r="X2176" s="1"/>
      <x:c r="Y2176" s="1"/>
      <x:c r="Z2176" s="1"/>
    </x:row>
    <x:row r="2177">
      <x:c r="A2177" s="1"/>
      <x:c r="B2177" s="1"/>
      <x:c r="C2177" s="1"/>
      <x:c r="D2177" s="1"/>
      <x:c r="E2177" s="1"/>
      <x:c r="F2177" s="1"/>
      <x:c r="G2177" s="1"/>
      <x:c r="H2177" s="1"/>
      <x:c r="I2177" s="1"/>
      <x:c r="J2177" s="1"/>
      <x:c r="K2177" s="1"/>
      <x:c r="L2177" s="1"/>
      <x:c r="M2177" s="1"/>
      <x:c r="N2177" s="1"/>
      <x:c r="O2177" s="1"/>
      <x:c r="P2177" s="1"/>
      <x:c r="Q2177" s="1"/>
      <x:c r="R2177" s="1"/>
      <x:c r="S2177" s="1"/>
      <x:c r="T2177" s="1"/>
      <x:c r="U2177" s="1"/>
      <x:c r="V2177" s="1"/>
      <x:c r="W2177" s="1"/>
      <x:c r="X2177" s="1"/>
      <x:c r="Y2177" s="1"/>
      <x:c r="Z2177" s="1"/>
    </x:row>
    <x:row r="2178">
      <x:c r="A2178" s="1"/>
      <x:c r="B2178" s="1"/>
      <x:c r="C2178" s="1"/>
      <x:c r="D2178" s="1"/>
      <x:c r="E2178" s="1"/>
      <x:c r="F2178" s="1"/>
      <x:c r="G2178" s="1"/>
      <x:c r="H2178" s="1"/>
      <x:c r="I2178" s="1"/>
      <x:c r="J2178" s="1"/>
      <x:c r="K2178" s="1"/>
      <x:c r="L2178" s="1"/>
      <x:c r="M2178" s="1"/>
      <x:c r="N2178" s="1"/>
      <x:c r="O2178" s="1"/>
      <x:c r="P2178" s="1"/>
      <x:c r="Q2178" s="1"/>
      <x:c r="R2178" s="1"/>
      <x:c r="S2178" s="1"/>
      <x:c r="T2178" s="1"/>
      <x:c r="U2178" s="1"/>
      <x:c r="V2178" s="1"/>
      <x:c r="W2178" s="1"/>
      <x:c r="X2178" s="1"/>
      <x:c r="Y2178" s="1"/>
      <x:c r="Z2178" s="1"/>
    </x:row>
    <x:row r="2179">
      <x:c r="A2179" s="1"/>
      <x:c r="B2179" s="1"/>
      <x:c r="C2179" s="1"/>
      <x:c r="D2179" s="1"/>
      <x:c r="E2179" s="1"/>
      <x:c r="F2179" s="1"/>
      <x:c r="G2179" s="1"/>
      <x:c r="H2179" s="1"/>
      <x:c r="I2179" s="1"/>
      <x:c r="J2179" s="1"/>
      <x:c r="K2179" s="1"/>
      <x:c r="L2179" s="1"/>
      <x:c r="M2179" s="1"/>
      <x:c r="N2179" s="1"/>
      <x:c r="O2179" s="1"/>
      <x:c r="P2179" s="1"/>
      <x:c r="Q2179" s="1"/>
      <x:c r="R2179" s="1"/>
      <x:c r="S2179" s="1"/>
      <x:c r="T2179" s="1"/>
      <x:c r="U2179" s="1"/>
      <x:c r="V2179" s="1"/>
      <x:c r="W2179" s="1"/>
      <x:c r="X2179" s="1"/>
      <x:c r="Y2179" s="1"/>
      <x:c r="Z2179" s="1"/>
    </x:row>
    <x:row r="2180">
      <x:c r="A2180" s="1"/>
      <x:c r="B2180" s="1"/>
      <x:c r="C2180" s="1"/>
      <x:c r="D2180" s="1"/>
      <x:c r="E2180" s="1"/>
      <x:c r="F2180" s="1"/>
      <x:c r="G2180" s="1"/>
      <x:c r="H2180" s="1"/>
      <x:c r="I2180" s="1"/>
      <x:c r="J2180" s="1"/>
      <x:c r="K2180" s="1"/>
      <x:c r="L2180" s="1"/>
      <x:c r="M2180" s="1"/>
      <x:c r="N2180" s="1"/>
      <x:c r="O2180" s="1"/>
      <x:c r="P2180" s="1"/>
      <x:c r="Q2180" s="1"/>
      <x:c r="R2180" s="1"/>
      <x:c r="S2180" s="1"/>
      <x:c r="T2180" s="1"/>
      <x:c r="U2180" s="1"/>
      <x:c r="V2180" s="1"/>
      <x:c r="W2180" s="1"/>
      <x:c r="X2180" s="1"/>
      <x:c r="Y2180" s="1"/>
      <x:c r="Z2180" s="1"/>
    </x:row>
    <x:row r="2181">
      <x:c r="A2181" s="1"/>
      <x:c r="B2181" s="1"/>
      <x:c r="C2181" s="1"/>
      <x:c r="D2181" s="1"/>
      <x:c r="E2181" s="1"/>
      <x:c r="F2181" s="1"/>
      <x:c r="G2181" s="1"/>
      <x:c r="H2181" s="1"/>
      <x:c r="I2181" s="1"/>
      <x:c r="J2181" s="1"/>
      <x:c r="K2181" s="1"/>
      <x:c r="L2181" s="1"/>
      <x:c r="M2181" s="1"/>
      <x:c r="N2181" s="1"/>
      <x:c r="O2181" s="1"/>
      <x:c r="P2181" s="1"/>
      <x:c r="Q2181" s="1"/>
      <x:c r="R2181" s="1"/>
      <x:c r="S2181" s="1"/>
      <x:c r="T2181" s="1"/>
      <x:c r="U2181" s="1"/>
      <x:c r="V2181" s="1"/>
      <x:c r="W2181" s="1"/>
      <x:c r="X2181" s="1"/>
      <x:c r="Y2181" s="1"/>
      <x:c r="Z2181" s="1"/>
    </x:row>
    <x:row r="2182">
      <x:c r="A2182" s="1"/>
      <x:c r="B2182" s="1"/>
      <x:c r="C2182" s="1"/>
      <x:c r="D2182" s="1"/>
      <x:c r="E2182" s="1"/>
      <x:c r="F2182" s="1"/>
      <x:c r="G2182" s="1"/>
      <x:c r="H2182" s="1"/>
      <x:c r="I2182" s="1"/>
      <x:c r="J2182" s="1"/>
      <x:c r="K2182" s="1"/>
      <x:c r="L2182" s="1"/>
      <x:c r="M2182" s="1"/>
      <x:c r="N2182" s="1"/>
      <x:c r="O2182" s="1"/>
      <x:c r="P2182" s="1"/>
      <x:c r="Q2182" s="1"/>
      <x:c r="R2182" s="1"/>
      <x:c r="S2182" s="1"/>
      <x:c r="T2182" s="1"/>
      <x:c r="U2182" s="1"/>
      <x:c r="V2182" s="1"/>
      <x:c r="W2182" s="1"/>
      <x:c r="X2182" s="1"/>
      <x:c r="Y2182" s="1"/>
      <x:c r="Z2182" s="1"/>
    </x:row>
    <x:row r="2183">
      <x:c r="A2183" s="1"/>
      <x:c r="B2183" s="1"/>
      <x:c r="C2183" s="1"/>
      <x:c r="D2183" s="1"/>
      <x:c r="E2183" s="1"/>
      <x:c r="F2183" s="1"/>
      <x:c r="G2183" s="1"/>
      <x:c r="H2183" s="1"/>
      <x:c r="I2183" s="1"/>
      <x:c r="J2183" s="1"/>
      <x:c r="K2183" s="1"/>
      <x:c r="L2183" s="1"/>
      <x:c r="M2183" s="1"/>
      <x:c r="N2183" s="1"/>
      <x:c r="O2183" s="1"/>
      <x:c r="P2183" s="1"/>
      <x:c r="Q2183" s="1"/>
      <x:c r="R2183" s="1"/>
      <x:c r="S2183" s="1"/>
      <x:c r="T2183" s="1"/>
      <x:c r="U2183" s="1"/>
      <x:c r="V2183" s="1"/>
      <x:c r="W2183" s="1"/>
      <x:c r="X2183" s="1"/>
      <x:c r="Y2183" s="1"/>
      <x:c r="Z2183" s="1"/>
    </x:row>
    <x:row r="2184">
      <x:c r="A2184" s="1"/>
      <x:c r="B2184" s="1"/>
      <x:c r="C2184" s="1"/>
      <x:c r="D2184" s="1"/>
      <x:c r="E2184" s="1"/>
      <x:c r="F2184" s="1"/>
      <x:c r="G2184" s="1"/>
      <x:c r="H2184" s="1"/>
      <x:c r="I2184" s="1"/>
      <x:c r="J2184" s="1"/>
      <x:c r="K2184" s="1"/>
      <x:c r="L2184" s="1"/>
      <x:c r="M2184" s="1"/>
      <x:c r="N2184" s="1"/>
      <x:c r="O2184" s="1"/>
      <x:c r="P2184" s="1"/>
      <x:c r="Q2184" s="1"/>
      <x:c r="R2184" s="1"/>
      <x:c r="S2184" s="1"/>
      <x:c r="T2184" s="1"/>
      <x:c r="U2184" s="1"/>
      <x:c r="V2184" s="1"/>
      <x:c r="W2184" s="1"/>
      <x:c r="X2184" s="1"/>
      <x:c r="Y2184" s="1"/>
      <x:c r="Z2184" s="1"/>
    </x:row>
    <x:row r="2185">
      <x:c r="A2185" s="1"/>
      <x:c r="B2185" s="1"/>
      <x:c r="C2185" s="1"/>
      <x:c r="D2185" s="1"/>
      <x:c r="E2185" s="1"/>
      <x:c r="F2185" s="1"/>
      <x:c r="G2185" s="1"/>
      <x:c r="H2185" s="1"/>
      <x:c r="I2185" s="1"/>
      <x:c r="J2185" s="1"/>
      <x:c r="K2185" s="1"/>
      <x:c r="L2185" s="1"/>
      <x:c r="M2185" s="1"/>
      <x:c r="N2185" s="1"/>
      <x:c r="O2185" s="1"/>
      <x:c r="P2185" s="1"/>
      <x:c r="Q2185" s="1"/>
      <x:c r="R2185" s="1"/>
      <x:c r="S2185" s="1"/>
      <x:c r="T2185" s="1"/>
      <x:c r="U2185" s="1"/>
      <x:c r="V2185" s="1"/>
      <x:c r="W2185" s="1"/>
      <x:c r="X2185" s="1"/>
      <x:c r="Y2185" s="1"/>
      <x:c r="Z2185" s="1"/>
    </x:row>
    <x:row r="2186">
      <x:c r="A2186" s="1"/>
      <x:c r="B2186" s="1"/>
      <x:c r="C2186" s="1"/>
      <x:c r="D2186" s="1"/>
      <x:c r="E2186" s="1"/>
      <x:c r="F2186" s="1"/>
      <x:c r="G2186" s="1"/>
      <x:c r="H2186" s="1"/>
      <x:c r="I2186" s="1"/>
      <x:c r="J2186" s="1"/>
      <x:c r="K2186" s="1"/>
      <x:c r="L2186" s="1"/>
      <x:c r="M2186" s="1"/>
      <x:c r="N2186" s="1"/>
      <x:c r="O2186" s="1"/>
      <x:c r="P2186" s="1"/>
      <x:c r="Q2186" s="1"/>
      <x:c r="R2186" s="1"/>
      <x:c r="S2186" s="1"/>
      <x:c r="T2186" s="1"/>
      <x:c r="U2186" s="1"/>
      <x:c r="V2186" s="1"/>
      <x:c r="W2186" s="1"/>
      <x:c r="X2186" s="1"/>
      <x:c r="Y2186" s="1"/>
      <x:c r="Z2186" s="1"/>
    </x:row>
    <x:row r="2187">
      <x:c r="A2187" s="1"/>
      <x:c r="B2187" s="1"/>
      <x:c r="C2187" s="1"/>
      <x:c r="D2187" s="1"/>
      <x:c r="E2187" s="1"/>
      <x:c r="F2187" s="1"/>
      <x:c r="G2187" s="1"/>
      <x:c r="H2187" s="1"/>
      <x:c r="I2187" s="1"/>
      <x:c r="J2187" s="1"/>
      <x:c r="K2187" s="1"/>
      <x:c r="L2187" s="1"/>
      <x:c r="M2187" s="1"/>
      <x:c r="N2187" s="1"/>
      <x:c r="O2187" s="1"/>
      <x:c r="P2187" s="1"/>
      <x:c r="Q2187" s="1"/>
      <x:c r="R2187" s="1"/>
      <x:c r="S2187" s="1"/>
      <x:c r="T2187" s="1"/>
      <x:c r="U2187" s="1"/>
      <x:c r="V2187" s="1"/>
      <x:c r="W2187" s="1"/>
      <x:c r="X2187" s="1"/>
      <x:c r="Y2187" s="1"/>
      <x:c r="Z2187" s="1"/>
    </x:row>
    <x:row r="2188">
      <x:c r="A2188" s="1"/>
      <x:c r="B2188" s="1"/>
      <x:c r="C2188" s="1"/>
      <x:c r="D2188" s="1"/>
      <x:c r="E2188" s="1"/>
      <x:c r="F2188" s="1"/>
      <x:c r="G2188" s="1"/>
      <x:c r="H2188" s="1"/>
      <x:c r="I2188" s="1"/>
      <x:c r="J2188" s="1"/>
      <x:c r="K2188" s="1"/>
      <x:c r="L2188" s="1"/>
      <x:c r="M2188" s="1"/>
      <x:c r="N2188" s="1"/>
      <x:c r="O2188" s="1"/>
      <x:c r="P2188" s="1"/>
      <x:c r="Q2188" s="1"/>
      <x:c r="R2188" s="1"/>
      <x:c r="S2188" s="1"/>
      <x:c r="T2188" s="1"/>
      <x:c r="U2188" s="1"/>
      <x:c r="V2188" s="1"/>
      <x:c r="W2188" s="1"/>
      <x:c r="X2188" s="1"/>
      <x:c r="Y2188" s="1"/>
      <x:c r="Z2188" s="1"/>
    </x:row>
    <x:row r="2189">
      <x:c r="A2189" s="1"/>
      <x:c r="B2189" s="1"/>
      <x:c r="C2189" s="1"/>
      <x:c r="D2189" s="1"/>
      <x:c r="E2189" s="1"/>
      <x:c r="F2189" s="1"/>
      <x:c r="G2189" s="1"/>
      <x:c r="H2189" s="1"/>
      <x:c r="I2189" s="1"/>
      <x:c r="J2189" s="1"/>
      <x:c r="K2189" s="1"/>
      <x:c r="L2189" s="1"/>
      <x:c r="M2189" s="1"/>
      <x:c r="N2189" s="1"/>
      <x:c r="O2189" s="1"/>
      <x:c r="P2189" s="1"/>
      <x:c r="Q2189" s="1"/>
      <x:c r="R2189" s="1"/>
      <x:c r="S2189" s="1"/>
      <x:c r="T2189" s="1"/>
      <x:c r="U2189" s="1"/>
      <x:c r="V2189" s="1"/>
      <x:c r="W2189" s="1"/>
      <x:c r="X2189" s="1"/>
      <x:c r="Y2189" s="1"/>
      <x:c r="Z2189" s="1"/>
    </x:row>
    <x:row r="2190">
      <x:c r="A2190" s="1"/>
      <x:c r="B2190" s="1"/>
      <x:c r="C2190" s="1"/>
      <x:c r="D2190" s="1"/>
      <x:c r="E2190" s="1"/>
      <x:c r="F2190" s="1"/>
      <x:c r="G2190" s="1"/>
      <x:c r="H2190" s="1"/>
      <x:c r="I2190" s="1"/>
      <x:c r="J2190" s="1"/>
      <x:c r="K2190" s="1"/>
      <x:c r="L2190" s="1"/>
      <x:c r="M2190" s="1"/>
      <x:c r="N2190" s="1"/>
      <x:c r="O2190" s="1"/>
      <x:c r="P2190" s="1"/>
      <x:c r="Q2190" s="1"/>
      <x:c r="R2190" s="1"/>
      <x:c r="S2190" s="1"/>
      <x:c r="T2190" s="1"/>
      <x:c r="U2190" s="1"/>
      <x:c r="V2190" s="1"/>
      <x:c r="W2190" s="1"/>
      <x:c r="X2190" s="1"/>
      <x:c r="Y2190" s="1"/>
      <x:c r="Z2190" s="1"/>
    </x:row>
    <x:row r="2191">
      <x:c r="A2191" s="1"/>
      <x:c r="B2191" s="1"/>
      <x:c r="C2191" s="1"/>
      <x:c r="D2191" s="1"/>
      <x:c r="E2191" s="1"/>
      <x:c r="F2191" s="1"/>
      <x:c r="G2191" s="1"/>
      <x:c r="H2191" s="1"/>
      <x:c r="I2191" s="1"/>
      <x:c r="J2191" s="1"/>
      <x:c r="K2191" s="1"/>
      <x:c r="L2191" s="1"/>
      <x:c r="M2191" s="1"/>
      <x:c r="N2191" s="1"/>
      <x:c r="O2191" s="1"/>
      <x:c r="P2191" s="1"/>
      <x:c r="Q2191" s="1"/>
      <x:c r="R2191" s="1"/>
      <x:c r="S2191" s="1"/>
      <x:c r="T2191" s="1"/>
      <x:c r="U2191" s="1"/>
      <x:c r="V2191" s="1"/>
      <x:c r="W2191" s="1"/>
      <x:c r="X2191" s="1"/>
      <x:c r="Y2191" s="1"/>
      <x:c r="Z2191" s="1"/>
    </x:row>
    <x:row r="2192">
      <x:c r="A2192" s="1"/>
      <x:c r="B2192" s="1"/>
      <x:c r="C2192" s="1"/>
      <x:c r="D2192" s="1"/>
      <x:c r="E2192" s="1"/>
      <x:c r="F2192" s="1"/>
      <x:c r="G2192" s="1"/>
      <x:c r="H2192" s="1"/>
      <x:c r="I2192" s="1"/>
      <x:c r="J2192" s="1"/>
      <x:c r="K2192" s="1"/>
      <x:c r="L2192" s="1"/>
      <x:c r="M2192" s="1"/>
      <x:c r="N2192" s="1"/>
      <x:c r="O2192" s="1"/>
      <x:c r="P2192" s="1"/>
      <x:c r="Q2192" s="1"/>
      <x:c r="R2192" s="1"/>
      <x:c r="S2192" s="1"/>
      <x:c r="T2192" s="1"/>
      <x:c r="U2192" s="1"/>
      <x:c r="V2192" s="1"/>
      <x:c r="W2192" s="1"/>
      <x:c r="X2192" s="1"/>
      <x:c r="Y2192" s="1"/>
      <x:c r="Z2192" s="1"/>
    </x:row>
    <x:row r="2193">
      <x:c r="A2193" s="1"/>
      <x:c r="B2193" s="1"/>
      <x:c r="C2193" s="1"/>
      <x:c r="D2193" s="1"/>
      <x:c r="E2193" s="1"/>
      <x:c r="F2193" s="1"/>
      <x:c r="G2193" s="1"/>
      <x:c r="H2193" s="1"/>
      <x:c r="I2193" s="1"/>
      <x:c r="J2193" s="1"/>
      <x:c r="K2193" s="1"/>
      <x:c r="L2193" s="1"/>
      <x:c r="M2193" s="1"/>
      <x:c r="N2193" s="1"/>
      <x:c r="O2193" s="1"/>
      <x:c r="P2193" s="1"/>
      <x:c r="Q2193" s="1"/>
      <x:c r="R2193" s="1"/>
      <x:c r="S2193" s="1"/>
      <x:c r="T2193" s="1"/>
      <x:c r="U2193" s="1"/>
      <x:c r="V2193" s="1"/>
      <x:c r="W2193" s="1"/>
      <x:c r="X2193" s="1"/>
      <x:c r="Y2193" s="1"/>
      <x:c r="Z2193" s="1"/>
    </x:row>
    <x:row r="2194">
      <x:c r="A2194" s="1"/>
      <x:c r="B2194" s="1"/>
      <x:c r="C2194" s="1"/>
      <x:c r="D2194" s="1"/>
      <x:c r="E2194" s="1"/>
      <x:c r="F2194" s="1"/>
      <x:c r="G2194" s="1"/>
      <x:c r="H2194" s="1"/>
      <x:c r="I2194" s="1"/>
      <x:c r="J2194" s="1"/>
      <x:c r="K2194" s="1"/>
      <x:c r="L2194" s="1"/>
      <x:c r="M2194" s="1"/>
      <x:c r="N2194" s="1"/>
      <x:c r="O2194" s="1"/>
      <x:c r="P2194" s="1"/>
      <x:c r="Q2194" s="1"/>
      <x:c r="R2194" s="1"/>
      <x:c r="S2194" s="1"/>
      <x:c r="T2194" s="1"/>
      <x:c r="U2194" s="1"/>
      <x:c r="V2194" s="1"/>
      <x:c r="W2194" s="1"/>
      <x:c r="X2194" s="1"/>
      <x:c r="Y2194" s="1"/>
      <x:c r="Z2194" s="1"/>
    </x:row>
    <x:row r="2195">
      <x:c r="A2195" s="1"/>
      <x:c r="B2195" s="1"/>
      <x:c r="C2195" s="1"/>
      <x:c r="D2195" s="1"/>
      <x:c r="E2195" s="1"/>
      <x:c r="F2195" s="1"/>
      <x:c r="G2195" s="1"/>
      <x:c r="H2195" s="1"/>
      <x:c r="I2195" s="1"/>
      <x:c r="J2195" s="1"/>
      <x:c r="K2195" s="1"/>
      <x:c r="L2195" s="1"/>
      <x:c r="M2195" s="1"/>
      <x:c r="N2195" s="1"/>
      <x:c r="O2195" s="1"/>
      <x:c r="P2195" s="1"/>
      <x:c r="Q2195" s="1"/>
      <x:c r="R2195" s="1"/>
      <x:c r="S2195" s="1"/>
      <x:c r="T2195" s="1"/>
      <x:c r="U2195" s="1"/>
      <x:c r="V2195" s="1"/>
      <x:c r="W2195" s="1"/>
      <x:c r="X2195" s="1"/>
      <x:c r="Y2195" s="1"/>
      <x:c r="Z2195" s="1"/>
    </x:row>
    <x:row r="2196">
      <x:c r="A2196" s="1"/>
      <x:c r="B2196" s="1"/>
      <x:c r="C2196" s="1"/>
      <x:c r="D2196" s="1"/>
      <x:c r="E2196" s="1"/>
      <x:c r="F2196" s="1"/>
      <x:c r="G2196" s="1"/>
      <x:c r="H2196" s="1"/>
      <x:c r="I2196" s="1"/>
      <x:c r="J2196" s="1"/>
      <x:c r="K2196" s="1"/>
      <x:c r="L2196" s="1"/>
      <x:c r="M2196" s="1"/>
      <x:c r="N2196" s="1"/>
      <x:c r="O2196" s="1"/>
      <x:c r="P2196" s="1"/>
      <x:c r="Q2196" s="1"/>
      <x:c r="R2196" s="1"/>
      <x:c r="S2196" s="1"/>
      <x:c r="T2196" s="1"/>
      <x:c r="U2196" s="1"/>
      <x:c r="V2196" s="1"/>
      <x:c r="W2196" s="1"/>
      <x:c r="X2196" s="1"/>
      <x:c r="Y2196" s="1"/>
      <x:c r="Z2196" s="1"/>
    </x:row>
    <x:row r="2197">
      <x:c r="A2197" s="1"/>
      <x:c r="B2197" s="1"/>
      <x:c r="C2197" s="1"/>
      <x:c r="D2197" s="1"/>
      <x:c r="E2197" s="1"/>
      <x:c r="F2197" s="1"/>
      <x:c r="G2197" s="1"/>
      <x:c r="H2197" s="1"/>
      <x:c r="I2197" s="1"/>
      <x:c r="J2197" s="1"/>
      <x:c r="K2197" s="1"/>
      <x:c r="L2197" s="1"/>
      <x:c r="M2197" s="1"/>
      <x:c r="N2197" s="1"/>
      <x:c r="O2197" s="1"/>
      <x:c r="P2197" s="1"/>
      <x:c r="Q2197" s="1"/>
      <x:c r="R2197" s="1"/>
      <x:c r="S2197" s="1"/>
      <x:c r="T2197" s="1"/>
      <x:c r="U2197" s="1"/>
      <x:c r="V2197" s="1"/>
      <x:c r="W2197" s="1"/>
      <x:c r="X2197" s="1"/>
      <x:c r="Y2197" s="1"/>
      <x:c r="Z2197" s="1"/>
    </x:row>
    <x:row r="2198">
      <x:c r="A2198" s="1"/>
      <x:c r="B2198" s="1"/>
      <x:c r="C2198" s="1"/>
      <x:c r="D2198" s="1"/>
      <x:c r="E2198" s="1"/>
      <x:c r="F2198" s="1"/>
      <x:c r="G2198" s="1"/>
      <x:c r="H2198" s="1"/>
      <x:c r="I2198" s="1"/>
      <x:c r="J2198" s="1"/>
      <x:c r="K2198" s="1"/>
      <x:c r="L2198" s="1"/>
      <x:c r="M2198" s="1"/>
      <x:c r="N2198" s="1"/>
      <x:c r="O2198" s="1"/>
      <x:c r="P2198" s="1"/>
      <x:c r="Q2198" s="1"/>
      <x:c r="R2198" s="1"/>
      <x:c r="S2198" s="1"/>
      <x:c r="T2198" s="1"/>
      <x:c r="U2198" s="1"/>
      <x:c r="V2198" s="1"/>
      <x:c r="W2198" s="1"/>
      <x:c r="X2198" s="1"/>
      <x:c r="Y2198" s="1"/>
      <x:c r="Z2198" s="1"/>
    </x:row>
    <x:row r="2199">
      <x:c r="A2199" s="1"/>
      <x:c r="B2199" s="1"/>
      <x:c r="C2199" s="1"/>
      <x:c r="D2199" s="1"/>
      <x:c r="E2199" s="1"/>
      <x:c r="F2199" s="1"/>
      <x:c r="G2199" s="1"/>
      <x:c r="H2199" s="1"/>
      <x:c r="I2199" s="1"/>
      <x:c r="J2199" s="1"/>
      <x:c r="K2199" s="1"/>
      <x:c r="L2199" s="1"/>
      <x:c r="M2199" s="1"/>
      <x:c r="N2199" s="1"/>
      <x:c r="O2199" s="1"/>
      <x:c r="P2199" s="1"/>
      <x:c r="Q2199" s="1"/>
      <x:c r="R2199" s="1"/>
      <x:c r="S2199" s="1"/>
      <x:c r="T2199" s="1"/>
      <x:c r="U2199" s="1"/>
      <x:c r="V2199" s="1"/>
      <x:c r="W2199" s="1"/>
      <x:c r="X2199" s="1"/>
      <x:c r="Y2199" s="1"/>
      <x:c r="Z2199" s="1"/>
    </x:row>
    <x:row r="2200">
      <x:c r="A2200" s="1"/>
      <x:c r="B2200" s="1"/>
      <x:c r="C2200" s="1"/>
      <x:c r="D2200" s="1"/>
      <x:c r="E2200" s="1"/>
      <x:c r="F2200" s="1"/>
      <x:c r="G2200" s="1"/>
      <x:c r="H2200" s="1"/>
      <x:c r="I2200" s="1"/>
      <x:c r="J2200" s="1"/>
      <x:c r="K2200" s="1"/>
      <x:c r="L2200" s="1"/>
      <x:c r="M2200" s="1"/>
      <x:c r="N2200" s="1"/>
      <x:c r="O2200" s="1"/>
      <x:c r="P2200" s="1"/>
      <x:c r="Q2200" s="1"/>
      <x:c r="R2200" s="1"/>
      <x:c r="S2200" s="1"/>
      <x:c r="T2200" s="1"/>
      <x:c r="U2200" s="1"/>
      <x:c r="V2200" s="1"/>
      <x:c r="W2200" s="1"/>
      <x:c r="X2200" s="1"/>
      <x:c r="Y2200" s="1"/>
      <x:c r="Z2200" s="1"/>
    </x:row>
  </x:sheetData>
  <x:conditionalFormatting sqref="R2:R180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be2fa77cb3d44f0"/>
  </x:tableParts>
</x:worksheet>
</file>

<file path=xl/worksheets/sheet4.xml><?xml version="1.0" encoding="utf-8"?>
<x:worksheet xmlns:x="http://schemas.openxmlformats.org/spreadsheetml/2006/main">
  <x:sheetPr>
    <x:tabColor rgb="FFA9D18E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0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8" t="str">
        <x:v>Menu and cost assumptions</x:v>
      </x:c>
      <x:c r="B1" s="18"/>
      <x:c r="C1" s="18"/>
      <x:c r="D1" s="18"/>
      <x:c r="E1" s="18"/>
      <x:c r="F1" s="18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7" t="str">
        <x:v>Editable blue values drive transaction calculations. Synthetic portfolio data; not actual company records.</x:v>
      </x:c>
      <x:c r="B2" s="17"/>
      <x:c r="C2" s="17"/>
      <x:c r="D2" s="17"/>
      <x:c r="E2" s="17"/>
      <x:c r="F2" s="17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3" t="str">
        <x:v>Item Code</x:v>
      </x:c>
      <x:c r="B4" s="14" t="str">
        <x:v>Dish</x:v>
      </x:c>
      <x:c r="C4" s="14" t="str">
        <x:v>Category</x:v>
      </x:c>
      <x:c r="D4" s="14" t="str">
        <x:v>Unit Price (₦)</x:v>
      </x:c>
      <x:c r="E4" s="14" t="str">
        <x:v>Unit Cost (₦)</x:v>
      </x:c>
      <x:c r="F4" s="15" t="str">
        <x:v>Opening Stock (portions)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5" t="str">
        <x:v>FD001</x:v>
      </x:c>
      <x:c r="B5" s="5" t="str">
        <x:v>White Rice &amp; Stew</x:v>
      </x:c>
      <x:c r="C5" s="5" t="str">
        <x:v>Rice Meals</x:v>
      </x:c>
      <x:c r="D5" s="6" t="n">
        <x:v>1800</x:v>
      </x:c>
      <x:c r="E5" s="6" t="n">
        <x:v>820</x:v>
      </x:c>
      <x:c r="F5" s="7" t="n">
        <x:v>35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5" t="str">
        <x:v>FD002</x:v>
      </x:c>
      <x:c r="B6" s="5" t="str">
        <x:v>Jollof Rice &amp; Chicken</x:v>
      </x:c>
      <x:c r="C6" s="5" t="str">
        <x:v>Rice Meals</x:v>
      </x:c>
      <x:c r="D6" s="6" t="n">
        <x:v>2800</x:v>
      </x:c>
      <x:c r="E6" s="6" t="n">
        <x:v>1450</x:v>
      </x:c>
      <x:c r="F6" s="7" t="n">
        <x:v>32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5" t="str">
        <x:v>FD003</x:v>
      </x:c>
      <x:c r="B7" s="5" t="str">
        <x:v>Fried Rice &amp; Chicken</x:v>
      </x:c>
      <x:c r="C7" s="5" t="str">
        <x:v>Rice Meals</x:v>
      </x:c>
      <x:c r="D7" s="6" t="n">
        <x:v>3000</x:v>
      </x:c>
      <x:c r="E7" s="6" t="n">
        <x:v>1580</x:v>
      </x:c>
      <x:c r="F7" s="7" t="n">
        <x:v>28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5" t="str">
        <x:v>FD004</x:v>
      </x:c>
      <x:c r="B8" s="5" t="str">
        <x:v>Beans &amp; Plantain</x:v>
      </x:c>
      <x:c r="C8" s="5" t="str">
        <x:v>Traditional Meals</x:v>
      </x:c>
      <x:c r="D8" s="6" t="n">
        <x:v>2000</x:v>
      </x:c>
      <x:c r="E8" s="6" t="n">
        <x:v>960</x:v>
      </x:c>
      <x:c r="F8" s="7" t="n">
        <x:v>24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5" t="str">
        <x:v>FD005</x:v>
      </x:c>
      <x:c r="B9" s="5" t="str">
        <x:v>Yam Porridge</x:v>
      </x:c>
      <x:c r="C9" s="5" t="str">
        <x:v>Traditional Meals</x:v>
      </x:c>
      <x:c r="D9" s="6" t="n">
        <x:v>2200</x:v>
      </x:c>
      <x:c r="E9" s="6" t="n">
        <x:v>1050</x:v>
      </x:c>
      <x:c r="F9" s="7" t="n">
        <x:v>22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5" t="str">
        <x:v>FD006</x:v>
      </x:c>
      <x:c r="B10" s="5" t="str">
        <x:v>Eba &amp; Egusi Soup</x:v>
      </x:c>
      <x:c r="C10" s="5" t="str">
        <x:v>Swallow</x:v>
      </x:c>
      <x:c r="D10" s="6" t="n">
        <x:v>2600</x:v>
      </x:c>
      <x:c r="E10" s="6" t="n">
        <x:v>1320</x:v>
      </x:c>
      <x:c r="F10" s="7" t="n">
        <x:v>26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5" t="str">
        <x:v>FD007</x:v>
      </x:c>
      <x:c r="B11" s="5" t="str">
        <x:v>Amala &amp; Ewedu</x:v>
      </x:c>
      <x:c r="C11" s="5" t="str">
        <x:v>Swallow</x:v>
      </x:c>
      <x:c r="D11" s="6" t="n">
        <x:v>2500</x:v>
      </x:c>
      <x:c r="E11" s="6" t="n">
        <x:v>1250</x:v>
      </x:c>
      <x:c r="F11" s="7" t="n">
        <x:v>20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5" t="str">
        <x:v>FD008</x:v>
      </x:c>
      <x:c r="B12" s="5" t="str">
        <x:v>Pounded Yam &amp; Vegetable Soup</x:v>
      </x:c>
      <x:c r="C12" s="5" t="str">
        <x:v>Swallow</x:v>
      </x:c>
      <x:c r="D12" s="6" t="n">
        <x:v>3200</x:v>
      </x:c>
      <x:c r="E12" s="6" t="n">
        <x:v>1710</x:v>
      </x:c>
      <x:c r="F12" s="7" t="n">
        <x:v>18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5" t="str">
        <x:v>FD009</x:v>
      </x:c>
      <x:c r="B13" s="5" t="str">
        <x:v>Moi Moi</x:v>
      </x:c>
      <x:c r="C13" s="5" t="str">
        <x:v>Sides</x:v>
      </x:c>
      <x:c r="D13" s="6" t="n">
        <x:v>900</x:v>
      </x:c>
      <x:c r="E13" s="6" t="n">
        <x:v>380</x:v>
      </x:c>
      <x:c r="F13" s="7" t="n">
        <x:v>30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5" t="str">
        <x:v>FD010</x:v>
      </x:c>
      <x:c r="B14" s="5" t="str">
        <x:v>Soft Drink</x:v>
      </x:c>
      <x:c r="C14" s="5" t="str">
        <x:v>Beverages</x:v>
      </x:c>
      <x:c r="D14" s="6" t="n">
        <x:v>600</x:v>
      </x:c>
      <x:c r="E14" s="6" t="n">
        <x:v>280</x:v>
      </x:c>
      <x:c r="F14" s="7" t="n">
        <x:v>45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5" t="str">
        <x:v>FD011</x:v>
      </x:c>
      <x:c r="B15" s="5" t="str">
        <x:v>Bottled Water</x:v>
      </x:c>
      <x:c r="C15" s="5" t="str">
        <x:v>Beverages</x:v>
      </x:c>
      <x:c r="D15" s="6" t="n">
        <x:v>300</x:v>
      </x:c>
      <x:c r="E15" s="6" t="n">
        <x:v>120</x:v>
      </x:c>
      <x:c r="F15" s="7" t="n">
        <x:v>60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9" t="str">
        <x:v>FD012</x:v>
      </x:c>
      <x:c r="B16" s="19" t="str">
        <x:v>Fried Plantain</x:v>
      </x:c>
      <x:c r="C16" s="19" t="str">
        <x:v>Sides</x:v>
      </x:c>
      <x:c r="D16" s="20" t="n">
        <x:v>700</x:v>
      </x:c>
      <x:c r="E16" s="20" t="n">
        <x:v>300</x:v>
      </x:c>
      <x:c r="F16" s="21" t="n">
        <x:v>35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  <x:row r="2001">
      <x:c r="A2001" s="1"/>
      <x:c r="B2001" s="1"/>
      <x:c r="C2001" s="1"/>
      <x:c r="D2001" s="1"/>
      <x:c r="E2001" s="1"/>
      <x:c r="F2001" s="1"/>
      <x:c r="G2001" s="1"/>
      <x:c r="H2001" s="1"/>
      <x:c r="I2001" s="1"/>
      <x:c r="J2001" s="1"/>
      <x:c r="K2001" s="1"/>
      <x:c r="L2001" s="1"/>
      <x:c r="M2001" s="1"/>
      <x:c r="N2001" s="1"/>
      <x:c r="O2001" s="1"/>
      <x:c r="P2001" s="1"/>
      <x:c r="Q2001" s="1"/>
      <x:c r="R2001" s="1"/>
      <x:c r="S2001" s="1"/>
      <x:c r="T2001" s="1"/>
      <x:c r="U2001" s="1"/>
      <x:c r="V2001" s="1"/>
      <x:c r="W2001" s="1"/>
      <x:c r="X2001" s="1"/>
      <x:c r="Y2001" s="1"/>
      <x:c r="Z2001" s="1"/>
    </x:row>
    <x:row r="2002">
      <x:c r="A2002" s="1"/>
      <x:c r="B2002" s="1"/>
      <x:c r="C2002" s="1"/>
      <x:c r="D2002" s="1"/>
      <x:c r="E2002" s="1"/>
      <x:c r="F2002" s="1"/>
      <x:c r="G2002" s="1"/>
      <x:c r="H2002" s="1"/>
      <x:c r="I2002" s="1"/>
      <x:c r="J2002" s="1"/>
      <x:c r="K2002" s="1"/>
      <x:c r="L2002" s="1"/>
      <x:c r="M2002" s="1"/>
      <x:c r="N2002" s="1"/>
      <x:c r="O2002" s="1"/>
      <x:c r="P2002" s="1"/>
      <x:c r="Q2002" s="1"/>
      <x:c r="R2002" s="1"/>
      <x:c r="S2002" s="1"/>
      <x:c r="T2002" s="1"/>
      <x:c r="U2002" s="1"/>
      <x:c r="V2002" s="1"/>
      <x:c r="W2002" s="1"/>
      <x:c r="X2002" s="1"/>
      <x:c r="Y2002" s="1"/>
      <x:c r="Z2002" s="1"/>
    </x:row>
    <x:row r="2003">
      <x:c r="A2003" s="1"/>
      <x:c r="B2003" s="1"/>
      <x:c r="C2003" s="1"/>
      <x:c r="D2003" s="1"/>
      <x:c r="E2003" s="1"/>
      <x:c r="F2003" s="1"/>
      <x:c r="G2003" s="1"/>
      <x:c r="H2003" s="1"/>
      <x:c r="I2003" s="1"/>
      <x:c r="J2003" s="1"/>
      <x:c r="K2003" s="1"/>
      <x:c r="L2003" s="1"/>
      <x:c r="M2003" s="1"/>
      <x:c r="N2003" s="1"/>
      <x:c r="O2003" s="1"/>
      <x:c r="P2003" s="1"/>
      <x:c r="Q2003" s="1"/>
      <x:c r="R2003" s="1"/>
      <x:c r="S2003" s="1"/>
      <x:c r="T2003" s="1"/>
      <x:c r="U2003" s="1"/>
      <x:c r="V2003" s="1"/>
      <x:c r="W2003" s="1"/>
      <x:c r="X2003" s="1"/>
      <x:c r="Y2003" s="1"/>
      <x:c r="Z2003" s="1"/>
    </x:row>
    <x:row r="2004">
      <x:c r="A2004" s="1"/>
      <x:c r="B2004" s="1"/>
      <x:c r="C2004" s="1"/>
      <x:c r="D2004" s="1"/>
      <x:c r="E2004" s="1"/>
      <x:c r="F2004" s="1"/>
      <x:c r="G2004" s="1"/>
      <x:c r="H2004" s="1"/>
      <x:c r="I2004" s="1"/>
      <x:c r="J2004" s="1"/>
      <x:c r="K2004" s="1"/>
      <x:c r="L2004" s="1"/>
      <x:c r="M2004" s="1"/>
      <x:c r="N2004" s="1"/>
      <x:c r="O2004" s="1"/>
      <x:c r="P2004" s="1"/>
      <x:c r="Q2004" s="1"/>
      <x:c r="R2004" s="1"/>
      <x:c r="S2004" s="1"/>
      <x:c r="T2004" s="1"/>
      <x:c r="U2004" s="1"/>
      <x:c r="V2004" s="1"/>
      <x:c r="W2004" s="1"/>
      <x:c r="X2004" s="1"/>
      <x:c r="Y2004" s="1"/>
      <x:c r="Z2004" s="1"/>
    </x:row>
    <x:row r="2005">
      <x:c r="A2005" s="1"/>
      <x:c r="B2005" s="1"/>
      <x:c r="C2005" s="1"/>
      <x:c r="D2005" s="1"/>
      <x:c r="E2005" s="1"/>
      <x:c r="F2005" s="1"/>
      <x:c r="G2005" s="1"/>
      <x:c r="H2005" s="1"/>
      <x:c r="I2005" s="1"/>
      <x:c r="J2005" s="1"/>
      <x:c r="K2005" s="1"/>
      <x:c r="L2005" s="1"/>
      <x:c r="M2005" s="1"/>
      <x:c r="N2005" s="1"/>
      <x:c r="O2005" s="1"/>
      <x:c r="P2005" s="1"/>
      <x:c r="Q2005" s="1"/>
      <x:c r="R2005" s="1"/>
      <x:c r="S2005" s="1"/>
      <x:c r="T2005" s="1"/>
      <x:c r="U2005" s="1"/>
      <x:c r="V2005" s="1"/>
      <x:c r="W2005" s="1"/>
      <x:c r="X2005" s="1"/>
      <x:c r="Y2005" s="1"/>
      <x:c r="Z2005" s="1"/>
    </x:row>
    <x:row r="2006">
      <x:c r="A2006" s="1"/>
      <x:c r="B2006" s="1"/>
      <x:c r="C2006" s="1"/>
      <x:c r="D2006" s="1"/>
      <x:c r="E2006" s="1"/>
      <x:c r="F2006" s="1"/>
      <x:c r="G2006" s="1"/>
      <x:c r="H2006" s="1"/>
      <x:c r="I2006" s="1"/>
      <x:c r="J2006" s="1"/>
      <x:c r="K2006" s="1"/>
      <x:c r="L2006" s="1"/>
      <x:c r="M2006" s="1"/>
      <x:c r="N2006" s="1"/>
      <x:c r="O2006" s="1"/>
      <x:c r="P2006" s="1"/>
      <x:c r="Q2006" s="1"/>
      <x:c r="R2006" s="1"/>
      <x:c r="S2006" s="1"/>
      <x:c r="T2006" s="1"/>
      <x:c r="U2006" s="1"/>
      <x:c r="V2006" s="1"/>
      <x:c r="W2006" s="1"/>
      <x:c r="X2006" s="1"/>
      <x:c r="Y2006" s="1"/>
      <x:c r="Z2006" s="1"/>
    </x:row>
    <x:row r="2007">
      <x:c r="A2007" s="1"/>
      <x:c r="B2007" s="1"/>
      <x:c r="C2007" s="1"/>
      <x:c r="D2007" s="1"/>
      <x:c r="E2007" s="1"/>
      <x:c r="F2007" s="1"/>
      <x:c r="G2007" s="1"/>
      <x:c r="H2007" s="1"/>
      <x:c r="I2007" s="1"/>
      <x:c r="J2007" s="1"/>
      <x:c r="K2007" s="1"/>
      <x:c r="L2007" s="1"/>
      <x:c r="M2007" s="1"/>
      <x:c r="N2007" s="1"/>
      <x:c r="O2007" s="1"/>
      <x:c r="P2007" s="1"/>
      <x:c r="Q2007" s="1"/>
      <x:c r="R2007" s="1"/>
      <x:c r="S2007" s="1"/>
      <x:c r="T2007" s="1"/>
      <x:c r="U2007" s="1"/>
      <x:c r="V2007" s="1"/>
      <x:c r="W2007" s="1"/>
      <x:c r="X2007" s="1"/>
      <x:c r="Y2007" s="1"/>
      <x:c r="Z2007" s="1"/>
    </x:row>
    <x:row r="2008">
      <x:c r="A2008" s="1"/>
      <x:c r="B2008" s="1"/>
      <x:c r="C2008" s="1"/>
      <x:c r="D2008" s="1"/>
      <x:c r="E2008" s="1"/>
      <x:c r="F2008" s="1"/>
      <x:c r="G2008" s="1"/>
      <x:c r="H2008" s="1"/>
      <x:c r="I2008" s="1"/>
      <x:c r="J2008" s="1"/>
      <x:c r="K2008" s="1"/>
      <x:c r="L2008" s="1"/>
      <x:c r="M2008" s="1"/>
      <x:c r="N2008" s="1"/>
      <x:c r="O2008" s="1"/>
      <x:c r="P2008" s="1"/>
      <x:c r="Q2008" s="1"/>
      <x:c r="R2008" s="1"/>
      <x:c r="S2008" s="1"/>
      <x:c r="T2008" s="1"/>
      <x:c r="U2008" s="1"/>
      <x:c r="V2008" s="1"/>
      <x:c r="W2008" s="1"/>
      <x:c r="X2008" s="1"/>
      <x:c r="Y2008" s="1"/>
      <x:c r="Z2008" s="1"/>
    </x:row>
    <x:row r="2009">
      <x:c r="A2009" s="1"/>
      <x:c r="B2009" s="1"/>
      <x:c r="C2009" s="1"/>
      <x:c r="D2009" s="1"/>
      <x:c r="E2009" s="1"/>
      <x:c r="F2009" s="1"/>
      <x:c r="G2009" s="1"/>
      <x:c r="H2009" s="1"/>
      <x:c r="I2009" s="1"/>
      <x:c r="J2009" s="1"/>
      <x:c r="K2009" s="1"/>
      <x:c r="L2009" s="1"/>
      <x:c r="M2009" s="1"/>
      <x:c r="N2009" s="1"/>
      <x:c r="O2009" s="1"/>
      <x:c r="P2009" s="1"/>
      <x:c r="Q2009" s="1"/>
      <x:c r="R2009" s="1"/>
      <x:c r="S2009" s="1"/>
      <x:c r="T2009" s="1"/>
      <x:c r="U2009" s="1"/>
      <x:c r="V2009" s="1"/>
      <x:c r="W2009" s="1"/>
      <x:c r="X2009" s="1"/>
      <x:c r="Y2009" s="1"/>
      <x:c r="Z2009" s="1"/>
    </x:row>
    <x:row r="2010">
      <x:c r="A2010" s="1"/>
      <x:c r="B2010" s="1"/>
      <x:c r="C2010" s="1"/>
      <x:c r="D2010" s="1"/>
      <x:c r="E2010" s="1"/>
      <x:c r="F2010" s="1"/>
      <x:c r="G2010" s="1"/>
      <x:c r="H2010" s="1"/>
      <x:c r="I2010" s="1"/>
      <x:c r="J2010" s="1"/>
      <x:c r="K2010" s="1"/>
      <x:c r="L2010" s="1"/>
      <x:c r="M2010" s="1"/>
      <x:c r="N2010" s="1"/>
      <x:c r="O2010" s="1"/>
      <x:c r="P2010" s="1"/>
      <x:c r="Q2010" s="1"/>
      <x:c r="R2010" s="1"/>
      <x:c r="S2010" s="1"/>
      <x:c r="T2010" s="1"/>
      <x:c r="U2010" s="1"/>
      <x:c r="V2010" s="1"/>
      <x:c r="W2010" s="1"/>
      <x:c r="X2010" s="1"/>
      <x:c r="Y2010" s="1"/>
      <x:c r="Z2010" s="1"/>
    </x:row>
    <x:row r="2011">
      <x:c r="A2011" s="1"/>
      <x:c r="B2011" s="1"/>
      <x:c r="C2011" s="1"/>
      <x:c r="D2011" s="1"/>
      <x:c r="E2011" s="1"/>
      <x:c r="F2011" s="1"/>
      <x:c r="G2011" s="1"/>
      <x:c r="H2011" s="1"/>
      <x:c r="I2011" s="1"/>
      <x:c r="J2011" s="1"/>
      <x:c r="K2011" s="1"/>
      <x:c r="L2011" s="1"/>
      <x:c r="M2011" s="1"/>
      <x:c r="N2011" s="1"/>
      <x:c r="O2011" s="1"/>
      <x:c r="P2011" s="1"/>
      <x:c r="Q2011" s="1"/>
      <x:c r="R2011" s="1"/>
      <x:c r="S2011" s="1"/>
      <x:c r="T2011" s="1"/>
      <x:c r="U2011" s="1"/>
      <x:c r="V2011" s="1"/>
      <x:c r="W2011" s="1"/>
      <x:c r="X2011" s="1"/>
      <x:c r="Y2011" s="1"/>
      <x:c r="Z2011" s="1"/>
    </x:row>
    <x:row r="2012">
      <x:c r="A2012" s="1"/>
      <x:c r="B2012" s="1"/>
      <x:c r="C2012" s="1"/>
      <x:c r="D2012" s="1"/>
      <x:c r="E2012" s="1"/>
      <x:c r="F2012" s="1"/>
      <x:c r="G2012" s="1"/>
      <x:c r="H2012" s="1"/>
      <x:c r="I2012" s="1"/>
      <x:c r="J2012" s="1"/>
      <x:c r="K2012" s="1"/>
      <x:c r="L2012" s="1"/>
      <x:c r="M2012" s="1"/>
      <x:c r="N2012" s="1"/>
      <x:c r="O2012" s="1"/>
      <x:c r="P2012" s="1"/>
      <x:c r="Q2012" s="1"/>
      <x:c r="R2012" s="1"/>
      <x:c r="S2012" s="1"/>
      <x:c r="T2012" s="1"/>
      <x:c r="U2012" s="1"/>
      <x:c r="V2012" s="1"/>
      <x:c r="W2012" s="1"/>
      <x:c r="X2012" s="1"/>
      <x:c r="Y2012" s="1"/>
      <x:c r="Z2012" s="1"/>
    </x:row>
    <x:row r="2013">
      <x:c r="A2013" s="1"/>
      <x:c r="B2013" s="1"/>
      <x:c r="C2013" s="1"/>
      <x:c r="D2013" s="1"/>
      <x:c r="E2013" s="1"/>
      <x:c r="F2013" s="1"/>
      <x:c r="G2013" s="1"/>
      <x:c r="H2013" s="1"/>
      <x:c r="I2013" s="1"/>
      <x:c r="J2013" s="1"/>
      <x:c r="K2013" s="1"/>
      <x:c r="L2013" s="1"/>
      <x:c r="M2013" s="1"/>
      <x:c r="N2013" s="1"/>
      <x:c r="O2013" s="1"/>
      <x:c r="P2013" s="1"/>
      <x:c r="Q2013" s="1"/>
      <x:c r="R2013" s="1"/>
      <x:c r="S2013" s="1"/>
      <x:c r="T2013" s="1"/>
      <x:c r="U2013" s="1"/>
      <x:c r="V2013" s="1"/>
      <x:c r="W2013" s="1"/>
      <x:c r="X2013" s="1"/>
      <x:c r="Y2013" s="1"/>
      <x:c r="Z2013" s="1"/>
    </x:row>
    <x:row r="2014">
      <x:c r="A2014" s="1"/>
      <x:c r="B2014" s="1"/>
      <x:c r="C2014" s="1"/>
      <x:c r="D2014" s="1"/>
      <x:c r="E2014" s="1"/>
      <x:c r="F2014" s="1"/>
      <x:c r="G2014" s="1"/>
      <x:c r="H2014" s="1"/>
      <x:c r="I2014" s="1"/>
      <x:c r="J2014" s="1"/>
      <x:c r="K2014" s="1"/>
      <x:c r="L2014" s="1"/>
      <x:c r="M2014" s="1"/>
      <x:c r="N2014" s="1"/>
      <x:c r="O2014" s="1"/>
      <x:c r="P2014" s="1"/>
      <x:c r="Q2014" s="1"/>
      <x:c r="R2014" s="1"/>
      <x:c r="S2014" s="1"/>
      <x:c r="T2014" s="1"/>
      <x:c r="U2014" s="1"/>
      <x:c r="V2014" s="1"/>
      <x:c r="W2014" s="1"/>
      <x:c r="X2014" s="1"/>
      <x:c r="Y2014" s="1"/>
      <x:c r="Z2014" s="1"/>
    </x:row>
    <x:row r="2015">
      <x:c r="A2015" s="1"/>
      <x:c r="B2015" s="1"/>
      <x:c r="C2015" s="1"/>
      <x:c r="D2015" s="1"/>
      <x:c r="E2015" s="1"/>
      <x:c r="F2015" s="1"/>
      <x:c r="G2015" s="1"/>
      <x:c r="H2015" s="1"/>
      <x:c r="I2015" s="1"/>
      <x:c r="J2015" s="1"/>
      <x:c r="K2015" s="1"/>
      <x:c r="L2015" s="1"/>
      <x:c r="M2015" s="1"/>
      <x:c r="N2015" s="1"/>
      <x:c r="O2015" s="1"/>
      <x:c r="P2015" s="1"/>
      <x:c r="Q2015" s="1"/>
      <x:c r="R2015" s="1"/>
      <x:c r="S2015" s="1"/>
      <x:c r="T2015" s="1"/>
      <x:c r="U2015" s="1"/>
      <x:c r="V2015" s="1"/>
      <x:c r="W2015" s="1"/>
      <x:c r="X2015" s="1"/>
      <x:c r="Y2015" s="1"/>
      <x:c r="Z2015" s="1"/>
    </x:row>
    <x:row r="2016">
      <x:c r="A2016" s="1"/>
      <x:c r="B2016" s="1"/>
      <x:c r="C2016" s="1"/>
      <x:c r="D2016" s="1"/>
      <x:c r="E2016" s="1"/>
      <x:c r="F2016" s="1"/>
      <x:c r="G2016" s="1"/>
      <x:c r="H2016" s="1"/>
      <x:c r="I2016" s="1"/>
      <x:c r="J2016" s="1"/>
      <x:c r="K2016" s="1"/>
      <x:c r="L2016" s="1"/>
      <x:c r="M2016" s="1"/>
      <x:c r="N2016" s="1"/>
      <x:c r="O2016" s="1"/>
      <x:c r="P2016" s="1"/>
      <x:c r="Q2016" s="1"/>
      <x:c r="R2016" s="1"/>
      <x:c r="S2016" s="1"/>
      <x:c r="T2016" s="1"/>
      <x:c r="U2016" s="1"/>
      <x:c r="V2016" s="1"/>
      <x:c r="W2016" s="1"/>
      <x:c r="X2016" s="1"/>
      <x:c r="Y2016" s="1"/>
      <x:c r="Z2016" s="1"/>
    </x:row>
    <x:row r="2017">
      <x:c r="A2017" s="1"/>
      <x:c r="B2017" s="1"/>
      <x:c r="C2017" s="1"/>
      <x:c r="D2017" s="1"/>
      <x:c r="E2017" s="1"/>
      <x:c r="F2017" s="1"/>
      <x:c r="G2017" s="1"/>
      <x:c r="H2017" s="1"/>
      <x:c r="I2017" s="1"/>
      <x:c r="J2017" s="1"/>
      <x:c r="K2017" s="1"/>
      <x:c r="L2017" s="1"/>
      <x:c r="M2017" s="1"/>
      <x:c r="N2017" s="1"/>
      <x:c r="O2017" s="1"/>
      <x:c r="P2017" s="1"/>
      <x:c r="Q2017" s="1"/>
      <x:c r="R2017" s="1"/>
      <x:c r="S2017" s="1"/>
      <x:c r="T2017" s="1"/>
      <x:c r="U2017" s="1"/>
      <x:c r="V2017" s="1"/>
      <x:c r="W2017" s="1"/>
      <x:c r="X2017" s="1"/>
      <x:c r="Y2017" s="1"/>
      <x:c r="Z2017" s="1"/>
    </x:row>
    <x:row r="2018">
      <x:c r="A2018" s="1"/>
      <x:c r="B2018" s="1"/>
      <x:c r="C2018" s="1"/>
      <x:c r="D2018" s="1"/>
      <x:c r="E2018" s="1"/>
      <x:c r="F2018" s="1"/>
      <x:c r="G2018" s="1"/>
      <x:c r="H2018" s="1"/>
      <x:c r="I2018" s="1"/>
      <x:c r="J2018" s="1"/>
      <x:c r="K2018" s="1"/>
      <x:c r="L2018" s="1"/>
      <x:c r="M2018" s="1"/>
      <x:c r="N2018" s="1"/>
      <x:c r="O2018" s="1"/>
      <x:c r="P2018" s="1"/>
      <x:c r="Q2018" s="1"/>
      <x:c r="R2018" s="1"/>
      <x:c r="S2018" s="1"/>
      <x:c r="T2018" s="1"/>
      <x:c r="U2018" s="1"/>
      <x:c r="V2018" s="1"/>
      <x:c r="W2018" s="1"/>
      <x:c r="X2018" s="1"/>
      <x:c r="Y2018" s="1"/>
      <x:c r="Z2018" s="1"/>
    </x:row>
    <x:row r="2019">
      <x:c r="A2019" s="1"/>
      <x:c r="B2019" s="1"/>
      <x:c r="C2019" s="1"/>
      <x:c r="D2019" s="1"/>
      <x:c r="E2019" s="1"/>
      <x:c r="F2019" s="1"/>
      <x:c r="G2019" s="1"/>
      <x:c r="H2019" s="1"/>
      <x:c r="I2019" s="1"/>
      <x:c r="J2019" s="1"/>
      <x:c r="K2019" s="1"/>
      <x:c r="L2019" s="1"/>
      <x:c r="M2019" s="1"/>
      <x:c r="N2019" s="1"/>
      <x:c r="O2019" s="1"/>
      <x:c r="P2019" s="1"/>
      <x:c r="Q2019" s="1"/>
      <x:c r="R2019" s="1"/>
      <x:c r="S2019" s="1"/>
      <x:c r="T2019" s="1"/>
      <x:c r="U2019" s="1"/>
      <x:c r="V2019" s="1"/>
      <x:c r="W2019" s="1"/>
      <x:c r="X2019" s="1"/>
      <x:c r="Y2019" s="1"/>
      <x:c r="Z2019" s="1"/>
    </x:row>
    <x:row r="2020">
      <x:c r="A2020" s="1"/>
      <x:c r="B2020" s="1"/>
      <x:c r="C2020" s="1"/>
      <x:c r="D2020" s="1"/>
      <x:c r="E2020" s="1"/>
      <x:c r="F2020" s="1"/>
      <x:c r="G2020" s="1"/>
      <x:c r="H2020" s="1"/>
      <x:c r="I2020" s="1"/>
      <x:c r="J2020" s="1"/>
      <x:c r="K2020" s="1"/>
      <x:c r="L2020" s="1"/>
      <x:c r="M2020" s="1"/>
      <x:c r="N2020" s="1"/>
      <x:c r="O2020" s="1"/>
      <x:c r="P2020" s="1"/>
      <x:c r="Q2020" s="1"/>
      <x:c r="R2020" s="1"/>
      <x:c r="S2020" s="1"/>
      <x:c r="T2020" s="1"/>
      <x:c r="U2020" s="1"/>
      <x:c r="V2020" s="1"/>
      <x:c r="W2020" s="1"/>
      <x:c r="X2020" s="1"/>
      <x:c r="Y2020" s="1"/>
      <x:c r="Z2020" s="1"/>
    </x:row>
    <x:row r="2021">
      <x:c r="A2021" s="1"/>
      <x:c r="B2021" s="1"/>
      <x:c r="C2021" s="1"/>
      <x:c r="D2021" s="1"/>
      <x:c r="E2021" s="1"/>
      <x:c r="F2021" s="1"/>
      <x:c r="G2021" s="1"/>
      <x:c r="H2021" s="1"/>
      <x:c r="I2021" s="1"/>
      <x:c r="J2021" s="1"/>
      <x:c r="K2021" s="1"/>
      <x:c r="L2021" s="1"/>
      <x:c r="M2021" s="1"/>
      <x:c r="N2021" s="1"/>
      <x:c r="O2021" s="1"/>
      <x:c r="P2021" s="1"/>
      <x:c r="Q2021" s="1"/>
      <x:c r="R2021" s="1"/>
      <x:c r="S2021" s="1"/>
      <x:c r="T2021" s="1"/>
      <x:c r="U2021" s="1"/>
      <x:c r="V2021" s="1"/>
      <x:c r="W2021" s="1"/>
      <x:c r="X2021" s="1"/>
      <x:c r="Y2021" s="1"/>
      <x:c r="Z2021" s="1"/>
    </x:row>
    <x:row r="2022">
      <x:c r="A2022" s="1"/>
      <x:c r="B2022" s="1"/>
      <x:c r="C2022" s="1"/>
      <x:c r="D2022" s="1"/>
      <x:c r="E2022" s="1"/>
      <x:c r="F2022" s="1"/>
      <x:c r="G2022" s="1"/>
      <x:c r="H2022" s="1"/>
      <x:c r="I2022" s="1"/>
      <x:c r="J2022" s="1"/>
      <x:c r="K2022" s="1"/>
      <x:c r="L2022" s="1"/>
      <x:c r="M2022" s="1"/>
      <x:c r="N2022" s="1"/>
      <x:c r="O2022" s="1"/>
      <x:c r="P2022" s="1"/>
      <x:c r="Q2022" s="1"/>
      <x:c r="R2022" s="1"/>
      <x:c r="S2022" s="1"/>
      <x:c r="T2022" s="1"/>
      <x:c r="U2022" s="1"/>
      <x:c r="V2022" s="1"/>
      <x:c r="W2022" s="1"/>
      <x:c r="X2022" s="1"/>
      <x:c r="Y2022" s="1"/>
      <x:c r="Z2022" s="1"/>
    </x:row>
    <x:row r="2023">
      <x:c r="A2023" s="1"/>
      <x:c r="B2023" s="1"/>
      <x:c r="C2023" s="1"/>
      <x:c r="D2023" s="1"/>
      <x:c r="E2023" s="1"/>
      <x:c r="F2023" s="1"/>
      <x:c r="G2023" s="1"/>
      <x:c r="H2023" s="1"/>
      <x:c r="I2023" s="1"/>
      <x:c r="J2023" s="1"/>
      <x:c r="K2023" s="1"/>
      <x:c r="L2023" s="1"/>
      <x:c r="M2023" s="1"/>
      <x:c r="N2023" s="1"/>
      <x:c r="O2023" s="1"/>
      <x:c r="P2023" s="1"/>
      <x:c r="Q2023" s="1"/>
      <x:c r="R2023" s="1"/>
      <x:c r="S2023" s="1"/>
      <x:c r="T2023" s="1"/>
      <x:c r="U2023" s="1"/>
      <x:c r="V2023" s="1"/>
      <x:c r="W2023" s="1"/>
      <x:c r="X2023" s="1"/>
      <x:c r="Y2023" s="1"/>
      <x:c r="Z2023" s="1"/>
    </x:row>
    <x:row r="2024">
      <x:c r="A2024" s="1"/>
      <x:c r="B2024" s="1"/>
      <x:c r="C2024" s="1"/>
      <x:c r="D2024" s="1"/>
      <x:c r="E2024" s="1"/>
      <x:c r="F2024" s="1"/>
      <x:c r="G2024" s="1"/>
      <x:c r="H2024" s="1"/>
      <x:c r="I2024" s="1"/>
      <x:c r="J2024" s="1"/>
      <x:c r="K2024" s="1"/>
      <x:c r="L2024" s="1"/>
      <x:c r="M2024" s="1"/>
      <x:c r="N2024" s="1"/>
      <x:c r="O2024" s="1"/>
      <x:c r="P2024" s="1"/>
      <x:c r="Q2024" s="1"/>
      <x:c r="R2024" s="1"/>
      <x:c r="S2024" s="1"/>
      <x:c r="T2024" s="1"/>
      <x:c r="U2024" s="1"/>
      <x:c r="V2024" s="1"/>
      <x:c r="W2024" s="1"/>
      <x:c r="X2024" s="1"/>
      <x:c r="Y2024" s="1"/>
      <x:c r="Z2024" s="1"/>
    </x:row>
    <x:row r="2025">
      <x:c r="A2025" s="1"/>
      <x:c r="B2025" s="1"/>
      <x:c r="C2025" s="1"/>
      <x:c r="D2025" s="1"/>
      <x:c r="E2025" s="1"/>
      <x:c r="F2025" s="1"/>
      <x:c r="G2025" s="1"/>
      <x:c r="H2025" s="1"/>
      <x:c r="I2025" s="1"/>
      <x:c r="J2025" s="1"/>
      <x:c r="K2025" s="1"/>
      <x:c r="L2025" s="1"/>
      <x:c r="M2025" s="1"/>
      <x:c r="N2025" s="1"/>
      <x:c r="O2025" s="1"/>
      <x:c r="P2025" s="1"/>
      <x:c r="Q2025" s="1"/>
      <x:c r="R2025" s="1"/>
      <x:c r="S2025" s="1"/>
      <x:c r="T2025" s="1"/>
      <x:c r="U2025" s="1"/>
      <x:c r="V2025" s="1"/>
      <x:c r="W2025" s="1"/>
      <x:c r="X2025" s="1"/>
      <x:c r="Y2025" s="1"/>
      <x:c r="Z2025" s="1"/>
    </x:row>
    <x:row r="2026">
      <x:c r="A2026" s="1"/>
      <x:c r="B2026" s="1"/>
      <x:c r="C2026" s="1"/>
      <x:c r="D2026" s="1"/>
      <x:c r="E2026" s="1"/>
      <x:c r="F2026" s="1"/>
      <x:c r="G2026" s="1"/>
      <x:c r="H2026" s="1"/>
      <x:c r="I2026" s="1"/>
      <x:c r="J2026" s="1"/>
      <x:c r="K2026" s="1"/>
      <x:c r="L2026" s="1"/>
      <x:c r="M2026" s="1"/>
      <x:c r="N2026" s="1"/>
      <x:c r="O2026" s="1"/>
      <x:c r="P2026" s="1"/>
      <x:c r="Q2026" s="1"/>
      <x:c r="R2026" s="1"/>
      <x:c r="S2026" s="1"/>
      <x:c r="T2026" s="1"/>
      <x:c r="U2026" s="1"/>
      <x:c r="V2026" s="1"/>
      <x:c r="W2026" s="1"/>
      <x:c r="X2026" s="1"/>
      <x:c r="Y2026" s="1"/>
      <x:c r="Z2026" s="1"/>
    </x:row>
    <x:row r="2027">
      <x:c r="A2027" s="1"/>
      <x:c r="B2027" s="1"/>
      <x:c r="C2027" s="1"/>
      <x:c r="D2027" s="1"/>
      <x:c r="E2027" s="1"/>
      <x:c r="F2027" s="1"/>
      <x:c r="G2027" s="1"/>
      <x:c r="H2027" s="1"/>
      <x:c r="I2027" s="1"/>
      <x:c r="J2027" s="1"/>
      <x:c r="K2027" s="1"/>
      <x:c r="L2027" s="1"/>
      <x:c r="M2027" s="1"/>
      <x:c r="N2027" s="1"/>
      <x:c r="O2027" s="1"/>
      <x:c r="P2027" s="1"/>
      <x:c r="Q2027" s="1"/>
      <x:c r="R2027" s="1"/>
      <x:c r="S2027" s="1"/>
      <x:c r="T2027" s="1"/>
      <x:c r="U2027" s="1"/>
      <x:c r="V2027" s="1"/>
      <x:c r="W2027" s="1"/>
      <x:c r="X2027" s="1"/>
      <x:c r="Y2027" s="1"/>
      <x:c r="Z2027" s="1"/>
    </x:row>
    <x:row r="2028">
      <x:c r="A2028" s="1"/>
      <x:c r="B2028" s="1"/>
      <x:c r="C2028" s="1"/>
      <x:c r="D2028" s="1"/>
      <x:c r="E2028" s="1"/>
      <x:c r="F2028" s="1"/>
      <x:c r="G2028" s="1"/>
      <x:c r="H2028" s="1"/>
      <x:c r="I2028" s="1"/>
      <x:c r="J2028" s="1"/>
      <x:c r="K2028" s="1"/>
      <x:c r="L2028" s="1"/>
      <x:c r="M2028" s="1"/>
      <x:c r="N2028" s="1"/>
      <x:c r="O2028" s="1"/>
      <x:c r="P2028" s="1"/>
      <x:c r="Q2028" s="1"/>
      <x:c r="R2028" s="1"/>
      <x:c r="S2028" s="1"/>
      <x:c r="T2028" s="1"/>
      <x:c r="U2028" s="1"/>
      <x:c r="V2028" s="1"/>
      <x:c r="W2028" s="1"/>
      <x:c r="X2028" s="1"/>
      <x:c r="Y2028" s="1"/>
      <x:c r="Z2028" s="1"/>
    </x:row>
    <x:row r="2029">
      <x:c r="A2029" s="1"/>
      <x:c r="B2029" s="1"/>
      <x:c r="C2029" s="1"/>
      <x:c r="D2029" s="1"/>
      <x:c r="E2029" s="1"/>
      <x:c r="F2029" s="1"/>
      <x:c r="G2029" s="1"/>
      <x:c r="H2029" s="1"/>
      <x:c r="I2029" s="1"/>
      <x:c r="J2029" s="1"/>
      <x:c r="K2029" s="1"/>
      <x:c r="L2029" s="1"/>
      <x:c r="M2029" s="1"/>
      <x:c r="N2029" s="1"/>
      <x:c r="O2029" s="1"/>
      <x:c r="P2029" s="1"/>
      <x:c r="Q2029" s="1"/>
      <x:c r="R2029" s="1"/>
      <x:c r="S2029" s="1"/>
      <x:c r="T2029" s="1"/>
      <x:c r="U2029" s="1"/>
      <x:c r="V2029" s="1"/>
      <x:c r="W2029" s="1"/>
      <x:c r="X2029" s="1"/>
      <x:c r="Y2029" s="1"/>
      <x:c r="Z2029" s="1"/>
    </x:row>
    <x:row r="2030">
      <x:c r="A2030" s="1"/>
      <x:c r="B2030" s="1"/>
      <x:c r="C2030" s="1"/>
      <x:c r="D2030" s="1"/>
      <x:c r="E2030" s="1"/>
      <x:c r="F2030" s="1"/>
      <x:c r="G2030" s="1"/>
      <x:c r="H2030" s="1"/>
      <x:c r="I2030" s="1"/>
      <x:c r="J2030" s="1"/>
      <x:c r="K2030" s="1"/>
      <x:c r="L2030" s="1"/>
      <x:c r="M2030" s="1"/>
      <x:c r="N2030" s="1"/>
      <x:c r="O2030" s="1"/>
      <x:c r="P2030" s="1"/>
      <x:c r="Q2030" s="1"/>
      <x:c r="R2030" s="1"/>
      <x:c r="S2030" s="1"/>
      <x:c r="T2030" s="1"/>
      <x:c r="U2030" s="1"/>
      <x:c r="V2030" s="1"/>
      <x:c r="W2030" s="1"/>
      <x:c r="X2030" s="1"/>
      <x:c r="Y2030" s="1"/>
      <x:c r="Z2030" s="1"/>
    </x:row>
    <x:row r="2031">
      <x:c r="A2031" s="1"/>
      <x:c r="B2031" s="1"/>
      <x:c r="C2031" s="1"/>
      <x:c r="D2031" s="1"/>
      <x:c r="E2031" s="1"/>
      <x:c r="F2031" s="1"/>
      <x:c r="G2031" s="1"/>
      <x:c r="H2031" s="1"/>
      <x:c r="I2031" s="1"/>
      <x:c r="J2031" s="1"/>
      <x:c r="K2031" s="1"/>
      <x:c r="L2031" s="1"/>
      <x:c r="M2031" s="1"/>
      <x:c r="N2031" s="1"/>
      <x:c r="O2031" s="1"/>
      <x:c r="P2031" s="1"/>
      <x:c r="Q2031" s="1"/>
      <x:c r="R2031" s="1"/>
      <x:c r="S2031" s="1"/>
      <x:c r="T2031" s="1"/>
      <x:c r="U2031" s="1"/>
      <x:c r="V2031" s="1"/>
      <x:c r="W2031" s="1"/>
      <x:c r="X2031" s="1"/>
      <x:c r="Y2031" s="1"/>
      <x:c r="Z2031" s="1"/>
    </x:row>
    <x:row r="2032">
      <x:c r="A2032" s="1"/>
      <x:c r="B2032" s="1"/>
      <x:c r="C2032" s="1"/>
      <x:c r="D2032" s="1"/>
      <x:c r="E2032" s="1"/>
      <x:c r="F2032" s="1"/>
      <x:c r="G2032" s="1"/>
      <x:c r="H2032" s="1"/>
      <x:c r="I2032" s="1"/>
      <x:c r="J2032" s="1"/>
      <x:c r="K2032" s="1"/>
      <x:c r="L2032" s="1"/>
      <x:c r="M2032" s="1"/>
      <x:c r="N2032" s="1"/>
      <x:c r="O2032" s="1"/>
      <x:c r="P2032" s="1"/>
      <x:c r="Q2032" s="1"/>
      <x:c r="R2032" s="1"/>
      <x:c r="S2032" s="1"/>
      <x:c r="T2032" s="1"/>
      <x:c r="U2032" s="1"/>
      <x:c r="V2032" s="1"/>
      <x:c r="W2032" s="1"/>
      <x:c r="X2032" s="1"/>
      <x:c r="Y2032" s="1"/>
      <x:c r="Z2032" s="1"/>
    </x:row>
    <x:row r="2033">
      <x:c r="A2033" s="1"/>
      <x:c r="B2033" s="1"/>
      <x:c r="C2033" s="1"/>
      <x:c r="D2033" s="1"/>
      <x:c r="E2033" s="1"/>
      <x:c r="F2033" s="1"/>
      <x:c r="G2033" s="1"/>
      <x:c r="H2033" s="1"/>
      <x:c r="I2033" s="1"/>
      <x:c r="J2033" s="1"/>
      <x:c r="K2033" s="1"/>
      <x:c r="L2033" s="1"/>
      <x:c r="M2033" s="1"/>
      <x:c r="N2033" s="1"/>
      <x:c r="O2033" s="1"/>
      <x:c r="P2033" s="1"/>
      <x:c r="Q2033" s="1"/>
      <x:c r="R2033" s="1"/>
      <x:c r="S2033" s="1"/>
      <x:c r="T2033" s="1"/>
      <x:c r="U2033" s="1"/>
      <x:c r="V2033" s="1"/>
      <x:c r="W2033" s="1"/>
      <x:c r="X2033" s="1"/>
      <x:c r="Y2033" s="1"/>
      <x:c r="Z2033" s="1"/>
    </x:row>
    <x:row r="2034">
      <x:c r="A2034" s="1"/>
      <x:c r="B2034" s="1"/>
      <x:c r="C2034" s="1"/>
      <x:c r="D2034" s="1"/>
      <x:c r="E2034" s="1"/>
      <x:c r="F2034" s="1"/>
      <x:c r="G2034" s="1"/>
      <x:c r="H2034" s="1"/>
      <x:c r="I2034" s="1"/>
      <x:c r="J2034" s="1"/>
      <x:c r="K2034" s="1"/>
      <x:c r="L2034" s="1"/>
      <x:c r="M2034" s="1"/>
      <x:c r="N2034" s="1"/>
      <x:c r="O2034" s="1"/>
      <x:c r="P2034" s="1"/>
      <x:c r="Q2034" s="1"/>
      <x:c r="R2034" s="1"/>
      <x:c r="S2034" s="1"/>
      <x:c r="T2034" s="1"/>
      <x:c r="U2034" s="1"/>
      <x:c r="V2034" s="1"/>
      <x:c r="W2034" s="1"/>
      <x:c r="X2034" s="1"/>
      <x:c r="Y2034" s="1"/>
      <x:c r="Z2034" s="1"/>
    </x:row>
    <x:row r="2035">
      <x:c r="A2035" s="1"/>
      <x:c r="B2035" s="1"/>
      <x:c r="C2035" s="1"/>
      <x:c r="D2035" s="1"/>
      <x:c r="E2035" s="1"/>
      <x:c r="F2035" s="1"/>
      <x:c r="G2035" s="1"/>
      <x:c r="H2035" s="1"/>
      <x:c r="I2035" s="1"/>
      <x:c r="J2035" s="1"/>
      <x:c r="K2035" s="1"/>
      <x:c r="L2035" s="1"/>
      <x:c r="M2035" s="1"/>
      <x:c r="N2035" s="1"/>
      <x:c r="O2035" s="1"/>
      <x:c r="P2035" s="1"/>
      <x:c r="Q2035" s="1"/>
      <x:c r="R2035" s="1"/>
      <x:c r="S2035" s="1"/>
      <x:c r="T2035" s="1"/>
      <x:c r="U2035" s="1"/>
      <x:c r="V2035" s="1"/>
      <x:c r="W2035" s="1"/>
      <x:c r="X2035" s="1"/>
      <x:c r="Y2035" s="1"/>
      <x:c r="Z2035" s="1"/>
    </x:row>
    <x:row r="2036">
      <x:c r="A2036" s="1"/>
      <x:c r="B2036" s="1"/>
      <x:c r="C2036" s="1"/>
      <x:c r="D2036" s="1"/>
      <x:c r="E2036" s="1"/>
      <x:c r="F2036" s="1"/>
      <x:c r="G2036" s="1"/>
      <x:c r="H2036" s="1"/>
      <x:c r="I2036" s="1"/>
      <x:c r="J2036" s="1"/>
      <x:c r="K2036" s="1"/>
      <x:c r="L2036" s="1"/>
      <x:c r="M2036" s="1"/>
      <x:c r="N2036" s="1"/>
      <x:c r="O2036" s="1"/>
      <x:c r="P2036" s="1"/>
      <x:c r="Q2036" s="1"/>
      <x:c r="R2036" s="1"/>
      <x:c r="S2036" s="1"/>
      <x:c r="T2036" s="1"/>
      <x:c r="U2036" s="1"/>
      <x:c r="V2036" s="1"/>
      <x:c r="W2036" s="1"/>
      <x:c r="X2036" s="1"/>
      <x:c r="Y2036" s="1"/>
      <x:c r="Z2036" s="1"/>
    </x:row>
    <x:row r="2037">
      <x:c r="A2037" s="1"/>
      <x:c r="B2037" s="1"/>
      <x:c r="C2037" s="1"/>
      <x:c r="D2037" s="1"/>
      <x:c r="E2037" s="1"/>
      <x:c r="F2037" s="1"/>
      <x:c r="G2037" s="1"/>
      <x:c r="H2037" s="1"/>
      <x:c r="I2037" s="1"/>
      <x:c r="J2037" s="1"/>
      <x:c r="K2037" s="1"/>
      <x:c r="L2037" s="1"/>
      <x:c r="M2037" s="1"/>
      <x:c r="N2037" s="1"/>
      <x:c r="O2037" s="1"/>
      <x:c r="P2037" s="1"/>
      <x:c r="Q2037" s="1"/>
      <x:c r="R2037" s="1"/>
      <x:c r="S2037" s="1"/>
      <x:c r="T2037" s="1"/>
      <x:c r="U2037" s="1"/>
      <x:c r="V2037" s="1"/>
      <x:c r="W2037" s="1"/>
      <x:c r="X2037" s="1"/>
      <x:c r="Y2037" s="1"/>
      <x:c r="Z2037" s="1"/>
    </x:row>
    <x:row r="2038">
      <x:c r="A2038" s="1"/>
      <x:c r="B2038" s="1"/>
      <x:c r="C2038" s="1"/>
      <x:c r="D2038" s="1"/>
      <x:c r="E2038" s="1"/>
      <x:c r="F2038" s="1"/>
      <x:c r="G2038" s="1"/>
      <x:c r="H2038" s="1"/>
      <x:c r="I2038" s="1"/>
      <x:c r="J2038" s="1"/>
      <x:c r="K2038" s="1"/>
      <x:c r="L2038" s="1"/>
      <x:c r="M2038" s="1"/>
      <x:c r="N2038" s="1"/>
      <x:c r="O2038" s="1"/>
      <x:c r="P2038" s="1"/>
      <x:c r="Q2038" s="1"/>
      <x:c r="R2038" s="1"/>
      <x:c r="S2038" s="1"/>
      <x:c r="T2038" s="1"/>
      <x:c r="U2038" s="1"/>
      <x:c r="V2038" s="1"/>
      <x:c r="W2038" s="1"/>
      <x:c r="X2038" s="1"/>
      <x:c r="Y2038" s="1"/>
      <x:c r="Z2038" s="1"/>
    </x:row>
    <x:row r="2039">
      <x:c r="A2039" s="1"/>
      <x:c r="B2039" s="1"/>
      <x:c r="C2039" s="1"/>
      <x:c r="D2039" s="1"/>
      <x:c r="E2039" s="1"/>
      <x:c r="F2039" s="1"/>
      <x:c r="G2039" s="1"/>
      <x:c r="H2039" s="1"/>
      <x:c r="I2039" s="1"/>
      <x:c r="J2039" s="1"/>
      <x:c r="K2039" s="1"/>
      <x:c r="L2039" s="1"/>
      <x:c r="M2039" s="1"/>
      <x:c r="N2039" s="1"/>
      <x:c r="O2039" s="1"/>
      <x:c r="P2039" s="1"/>
      <x:c r="Q2039" s="1"/>
      <x:c r="R2039" s="1"/>
      <x:c r="S2039" s="1"/>
      <x:c r="T2039" s="1"/>
      <x:c r="U2039" s="1"/>
      <x:c r="V2039" s="1"/>
      <x:c r="W2039" s="1"/>
      <x:c r="X2039" s="1"/>
      <x:c r="Y2039" s="1"/>
      <x:c r="Z2039" s="1"/>
    </x:row>
    <x:row r="2040">
      <x:c r="A2040" s="1"/>
      <x:c r="B2040" s="1"/>
      <x:c r="C2040" s="1"/>
      <x:c r="D2040" s="1"/>
      <x:c r="E2040" s="1"/>
      <x:c r="F2040" s="1"/>
      <x:c r="G2040" s="1"/>
      <x:c r="H2040" s="1"/>
      <x:c r="I2040" s="1"/>
      <x:c r="J2040" s="1"/>
      <x:c r="K2040" s="1"/>
      <x:c r="L2040" s="1"/>
      <x:c r="M2040" s="1"/>
      <x:c r="N2040" s="1"/>
      <x:c r="O2040" s="1"/>
      <x:c r="P2040" s="1"/>
      <x:c r="Q2040" s="1"/>
      <x:c r="R2040" s="1"/>
      <x:c r="S2040" s="1"/>
      <x:c r="T2040" s="1"/>
      <x:c r="U2040" s="1"/>
      <x:c r="V2040" s="1"/>
      <x:c r="W2040" s="1"/>
      <x:c r="X2040" s="1"/>
      <x:c r="Y2040" s="1"/>
      <x:c r="Z2040" s="1"/>
    </x:row>
    <x:row r="2041">
      <x:c r="A2041" s="1"/>
      <x:c r="B2041" s="1"/>
      <x:c r="C2041" s="1"/>
      <x:c r="D2041" s="1"/>
      <x:c r="E2041" s="1"/>
      <x:c r="F2041" s="1"/>
      <x:c r="G2041" s="1"/>
      <x:c r="H2041" s="1"/>
      <x:c r="I2041" s="1"/>
      <x:c r="J2041" s="1"/>
      <x:c r="K2041" s="1"/>
      <x:c r="L2041" s="1"/>
      <x:c r="M2041" s="1"/>
      <x:c r="N2041" s="1"/>
      <x:c r="O2041" s="1"/>
      <x:c r="P2041" s="1"/>
      <x:c r="Q2041" s="1"/>
      <x:c r="R2041" s="1"/>
      <x:c r="S2041" s="1"/>
      <x:c r="T2041" s="1"/>
      <x:c r="U2041" s="1"/>
      <x:c r="V2041" s="1"/>
      <x:c r="W2041" s="1"/>
      <x:c r="X2041" s="1"/>
      <x:c r="Y2041" s="1"/>
      <x:c r="Z2041" s="1"/>
    </x:row>
    <x:row r="2042">
      <x:c r="A2042" s="1"/>
      <x:c r="B2042" s="1"/>
      <x:c r="C2042" s="1"/>
      <x:c r="D2042" s="1"/>
      <x:c r="E2042" s="1"/>
      <x:c r="F2042" s="1"/>
      <x:c r="G2042" s="1"/>
      <x:c r="H2042" s="1"/>
      <x:c r="I2042" s="1"/>
      <x:c r="J2042" s="1"/>
      <x:c r="K2042" s="1"/>
      <x:c r="L2042" s="1"/>
      <x:c r="M2042" s="1"/>
      <x:c r="N2042" s="1"/>
      <x:c r="O2042" s="1"/>
      <x:c r="P2042" s="1"/>
      <x:c r="Q2042" s="1"/>
      <x:c r="R2042" s="1"/>
      <x:c r="S2042" s="1"/>
      <x:c r="T2042" s="1"/>
      <x:c r="U2042" s="1"/>
      <x:c r="V2042" s="1"/>
      <x:c r="W2042" s="1"/>
      <x:c r="X2042" s="1"/>
      <x:c r="Y2042" s="1"/>
      <x:c r="Z2042" s="1"/>
    </x:row>
    <x:row r="2043">
      <x:c r="A2043" s="1"/>
      <x:c r="B2043" s="1"/>
      <x:c r="C2043" s="1"/>
      <x:c r="D2043" s="1"/>
      <x:c r="E2043" s="1"/>
      <x:c r="F2043" s="1"/>
      <x:c r="G2043" s="1"/>
      <x:c r="H2043" s="1"/>
      <x:c r="I2043" s="1"/>
      <x:c r="J2043" s="1"/>
      <x:c r="K2043" s="1"/>
      <x:c r="L2043" s="1"/>
      <x:c r="M2043" s="1"/>
      <x:c r="N2043" s="1"/>
      <x:c r="O2043" s="1"/>
      <x:c r="P2043" s="1"/>
      <x:c r="Q2043" s="1"/>
      <x:c r="R2043" s="1"/>
      <x:c r="S2043" s="1"/>
      <x:c r="T2043" s="1"/>
      <x:c r="U2043" s="1"/>
      <x:c r="V2043" s="1"/>
      <x:c r="W2043" s="1"/>
      <x:c r="X2043" s="1"/>
      <x:c r="Y2043" s="1"/>
      <x:c r="Z2043" s="1"/>
    </x:row>
    <x:row r="2044">
      <x:c r="A2044" s="1"/>
      <x:c r="B2044" s="1"/>
      <x:c r="C2044" s="1"/>
      <x:c r="D2044" s="1"/>
      <x:c r="E2044" s="1"/>
      <x:c r="F2044" s="1"/>
      <x:c r="G2044" s="1"/>
      <x:c r="H2044" s="1"/>
      <x:c r="I2044" s="1"/>
      <x:c r="J2044" s="1"/>
      <x:c r="K2044" s="1"/>
      <x:c r="L2044" s="1"/>
      <x:c r="M2044" s="1"/>
      <x:c r="N2044" s="1"/>
      <x:c r="O2044" s="1"/>
      <x:c r="P2044" s="1"/>
      <x:c r="Q2044" s="1"/>
      <x:c r="R2044" s="1"/>
      <x:c r="S2044" s="1"/>
      <x:c r="T2044" s="1"/>
      <x:c r="U2044" s="1"/>
      <x:c r="V2044" s="1"/>
      <x:c r="W2044" s="1"/>
      <x:c r="X2044" s="1"/>
      <x:c r="Y2044" s="1"/>
      <x:c r="Z2044" s="1"/>
    </x:row>
    <x:row r="2045">
      <x:c r="A2045" s="1"/>
      <x:c r="B2045" s="1"/>
      <x:c r="C2045" s="1"/>
      <x:c r="D2045" s="1"/>
      <x:c r="E2045" s="1"/>
      <x:c r="F2045" s="1"/>
      <x:c r="G2045" s="1"/>
      <x:c r="H2045" s="1"/>
      <x:c r="I2045" s="1"/>
      <x:c r="J2045" s="1"/>
      <x:c r="K2045" s="1"/>
      <x:c r="L2045" s="1"/>
      <x:c r="M2045" s="1"/>
      <x:c r="N2045" s="1"/>
      <x:c r="O2045" s="1"/>
      <x:c r="P2045" s="1"/>
      <x:c r="Q2045" s="1"/>
      <x:c r="R2045" s="1"/>
      <x:c r="S2045" s="1"/>
      <x:c r="T2045" s="1"/>
      <x:c r="U2045" s="1"/>
      <x:c r="V2045" s="1"/>
      <x:c r="W2045" s="1"/>
      <x:c r="X2045" s="1"/>
      <x:c r="Y2045" s="1"/>
      <x:c r="Z2045" s="1"/>
    </x:row>
    <x:row r="2046">
      <x:c r="A2046" s="1"/>
      <x:c r="B2046" s="1"/>
      <x:c r="C2046" s="1"/>
      <x:c r="D2046" s="1"/>
      <x:c r="E2046" s="1"/>
      <x:c r="F2046" s="1"/>
      <x:c r="G2046" s="1"/>
      <x:c r="H2046" s="1"/>
      <x:c r="I2046" s="1"/>
      <x:c r="J2046" s="1"/>
      <x:c r="K2046" s="1"/>
      <x:c r="L2046" s="1"/>
      <x:c r="M2046" s="1"/>
      <x:c r="N2046" s="1"/>
      <x:c r="O2046" s="1"/>
      <x:c r="P2046" s="1"/>
      <x:c r="Q2046" s="1"/>
      <x:c r="R2046" s="1"/>
      <x:c r="S2046" s="1"/>
      <x:c r="T2046" s="1"/>
      <x:c r="U2046" s="1"/>
      <x:c r="V2046" s="1"/>
      <x:c r="W2046" s="1"/>
      <x:c r="X2046" s="1"/>
      <x:c r="Y2046" s="1"/>
      <x:c r="Z2046" s="1"/>
    </x:row>
    <x:row r="2047">
      <x:c r="A2047" s="1"/>
      <x:c r="B2047" s="1"/>
      <x:c r="C2047" s="1"/>
      <x:c r="D2047" s="1"/>
      <x:c r="E2047" s="1"/>
      <x:c r="F2047" s="1"/>
      <x:c r="G2047" s="1"/>
      <x:c r="H2047" s="1"/>
      <x:c r="I2047" s="1"/>
      <x:c r="J2047" s="1"/>
      <x:c r="K2047" s="1"/>
      <x:c r="L2047" s="1"/>
      <x:c r="M2047" s="1"/>
      <x:c r="N2047" s="1"/>
      <x:c r="O2047" s="1"/>
      <x:c r="P2047" s="1"/>
      <x:c r="Q2047" s="1"/>
      <x:c r="R2047" s="1"/>
      <x:c r="S2047" s="1"/>
      <x:c r="T2047" s="1"/>
      <x:c r="U2047" s="1"/>
      <x:c r="V2047" s="1"/>
      <x:c r="W2047" s="1"/>
      <x:c r="X2047" s="1"/>
      <x:c r="Y2047" s="1"/>
      <x:c r="Z2047" s="1"/>
    </x:row>
    <x:row r="2048">
      <x:c r="A2048" s="1"/>
      <x:c r="B2048" s="1"/>
      <x:c r="C2048" s="1"/>
      <x:c r="D2048" s="1"/>
      <x:c r="E2048" s="1"/>
      <x:c r="F2048" s="1"/>
      <x:c r="G2048" s="1"/>
      <x:c r="H2048" s="1"/>
      <x:c r="I2048" s="1"/>
      <x:c r="J2048" s="1"/>
      <x:c r="K2048" s="1"/>
      <x:c r="L2048" s="1"/>
      <x:c r="M2048" s="1"/>
      <x:c r="N2048" s="1"/>
      <x:c r="O2048" s="1"/>
      <x:c r="P2048" s="1"/>
      <x:c r="Q2048" s="1"/>
      <x:c r="R2048" s="1"/>
      <x:c r="S2048" s="1"/>
      <x:c r="T2048" s="1"/>
      <x:c r="U2048" s="1"/>
      <x:c r="V2048" s="1"/>
      <x:c r="W2048" s="1"/>
      <x:c r="X2048" s="1"/>
      <x:c r="Y2048" s="1"/>
      <x:c r="Z2048" s="1"/>
    </x:row>
    <x:row r="2049">
      <x:c r="A2049" s="1"/>
      <x:c r="B2049" s="1"/>
      <x:c r="C2049" s="1"/>
      <x:c r="D2049" s="1"/>
      <x:c r="E2049" s="1"/>
      <x:c r="F2049" s="1"/>
      <x:c r="G2049" s="1"/>
      <x:c r="H2049" s="1"/>
      <x:c r="I2049" s="1"/>
      <x:c r="J2049" s="1"/>
      <x:c r="K2049" s="1"/>
      <x:c r="L2049" s="1"/>
      <x:c r="M2049" s="1"/>
      <x:c r="N2049" s="1"/>
      <x:c r="O2049" s="1"/>
      <x:c r="P2049" s="1"/>
      <x:c r="Q2049" s="1"/>
      <x:c r="R2049" s="1"/>
      <x:c r="S2049" s="1"/>
      <x:c r="T2049" s="1"/>
      <x:c r="U2049" s="1"/>
      <x:c r="V2049" s="1"/>
      <x:c r="W2049" s="1"/>
      <x:c r="X2049" s="1"/>
      <x:c r="Y2049" s="1"/>
      <x:c r="Z2049" s="1"/>
    </x:row>
    <x:row r="2050">
      <x:c r="A2050" s="1"/>
      <x:c r="B2050" s="1"/>
      <x:c r="C2050" s="1"/>
      <x:c r="D2050" s="1"/>
      <x:c r="E2050" s="1"/>
      <x:c r="F2050" s="1"/>
      <x:c r="G2050" s="1"/>
      <x:c r="H2050" s="1"/>
      <x:c r="I2050" s="1"/>
      <x:c r="J2050" s="1"/>
      <x:c r="K2050" s="1"/>
      <x:c r="L2050" s="1"/>
      <x:c r="M2050" s="1"/>
      <x:c r="N2050" s="1"/>
      <x:c r="O2050" s="1"/>
      <x:c r="P2050" s="1"/>
      <x:c r="Q2050" s="1"/>
      <x:c r="R2050" s="1"/>
      <x:c r="S2050" s="1"/>
      <x:c r="T2050" s="1"/>
      <x:c r="U2050" s="1"/>
      <x:c r="V2050" s="1"/>
      <x:c r="W2050" s="1"/>
      <x:c r="X2050" s="1"/>
      <x:c r="Y2050" s="1"/>
      <x:c r="Z2050" s="1"/>
    </x:row>
    <x:row r="2051">
      <x:c r="A2051" s="1"/>
      <x:c r="B2051" s="1"/>
      <x:c r="C2051" s="1"/>
      <x:c r="D2051" s="1"/>
      <x:c r="E2051" s="1"/>
      <x:c r="F2051" s="1"/>
      <x:c r="G2051" s="1"/>
      <x:c r="H2051" s="1"/>
      <x:c r="I2051" s="1"/>
      <x:c r="J2051" s="1"/>
      <x:c r="K2051" s="1"/>
      <x:c r="L2051" s="1"/>
      <x:c r="M2051" s="1"/>
      <x:c r="N2051" s="1"/>
      <x:c r="O2051" s="1"/>
      <x:c r="P2051" s="1"/>
      <x:c r="Q2051" s="1"/>
      <x:c r="R2051" s="1"/>
      <x:c r="S2051" s="1"/>
      <x:c r="T2051" s="1"/>
      <x:c r="U2051" s="1"/>
      <x:c r="V2051" s="1"/>
      <x:c r="W2051" s="1"/>
      <x:c r="X2051" s="1"/>
      <x:c r="Y2051" s="1"/>
      <x:c r="Z2051" s="1"/>
    </x:row>
    <x:row r="2052">
      <x:c r="A2052" s="1"/>
      <x:c r="B2052" s="1"/>
      <x:c r="C2052" s="1"/>
      <x:c r="D2052" s="1"/>
      <x:c r="E2052" s="1"/>
      <x:c r="F2052" s="1"/>
      <x:c r="G2052" s="1"/>
      <x:c r="H2052" s="1"/>
      <x:c r="I2052" s="1"/>
      <x:c r="J2052" s="1"/>
      <x:c r="K2052" s="1"/>
      <x:c r="L2052" s="1"/>
      <x:c r="M2052" s="1"/>
      <x:c r="N2052" s="1"/>
      <x:c r="O2052" s="1"/>
      <x:c r="P2052" s="1"/>
      <x:c r="Q2052" s="1"/>
      <x:c r="R2052" s="1"/>
      <x:c r="S2052" s="1"/>
      <x:c r="T2052" s="1"/>
      <x:c r="U2052" s="1"/>
      <x:c r="V2052" s="1"/>
      <x:c r="W2052" s="1"/>
      <x:c r="X2052" s="1"/>
      <x:c r="Y2052" s="1"/>
      <x:c r="Z2052" s="1"/>
    </x:row>
    <x:row r="2053">
      <x:c r="A2053" s="1"/>
      <x:c r="B2053" s="1"/>
      <x:c r="C2053" s="1"/>
      <x:c r="D2053" s="1"/>
      <x:c r="E2053" s="1"/>
      <x:c r="F2053" s="1"/>
      <x:c r="G2053" s="1"/>
      <x:c r="H2053" s="1"/>
      <x:c r="I2053" s="1"/>
      <x:c r="J2053" s="1"/>
      <x:c r="K2053" s="1"/>
      <x:c r="L2053" s="1"/>
      <x:c r="M2053" s="1"/>
      <x:c r="N2053" s="1"/>
      <x:c r="O2053" s="1"/>
      <x:c r="P2053" s="1"/>
      <x:c r="Q2053" s="1"/>
      <x:c r="R2053" s="1"/>
      <x:c r="S2053" s="1"/>
      <x:c r="T2053" s="1"/>
      <x:c r="U2053" s="1"/>
      <x:c r="V2053" s="1"/>
      <x:c r="W2053" s="1"/>
      <x:c r="X2053" s="1"/>
      <x:c r="Y2053" s="1"/>
      <x:c r="Z2053" s="1"/>
    </x:row>
    <x:row r="2054">
      <x:c r="A2054" s="1"/>
      <x:c r="B2054" s="1"/>
      <x:c r="C2054" s="1"/>
      <x:c r="D2054" s="1"/>
      <x:c r="E2054" s="1"/>
      <x:c r="F2054" s="1"/>
      <x:c r="G2054" s="1"/>
      <x:c r="H2054" s="1"/>
      <x:c r="I2054" s="1"/>
      <x:c r="J2054" s="1"/>
      <x:c r="K2054" s="1"/>
      <x:c r="L2054" s="1"/>
      <x:c r="M2054" s="1"/>
      <x:c r="N2054" s="1"/>
      <x:c r="O2054" s="1"/>
      <x:c r="P2054" s="1"/>
      <x:c r="Q2054" s="1"/>
      <x:c r="R2054" s="1"/>
      <x:c r="S2054" s="1"/>
      <x:c r="T2054" s="1"/>
      <x:c r="U2054" s="1"/>
      <x:c r="V2054" s="1"/>
      <x:c r="W2054" s="1"/>
      <x:c r="X2054" s="1"/>
      <x:c r="Y2054" s="1"/>
      <x:c r="Z2054" s="1"/>
    </x:row>
    <x:row r="2055">
      <x:c r="A2055" s="1"/>
      <x:c r="B2055" s="1"/>
      <x:c r="C2055" s="1"/>
      <x:c r="D2055" s="1"/>
      <x:c r="E2055" s="1"/>
      <x:c r="F2055" s="1"/>
      <x:c r="G2055" s="1"/>
      <x:c r="H2055" s="1"/>
      <x:c r="I2055" s="1"/>
      <x:c r="J2055" s="1"/>
      <x:c r="K2055" s="1"/>
      <x:c r="L2055" s="1"/>
      <x:c r="M2055" s="1"/>
      <x:c r="N2055" s="1"/>
      <x:c r="O2055" s="1"/>
      <x:c r="P2055" s="1"/>
      <x:c r="Q2055" s="1"/>
      <x:c r="R2055" s="1"/>
      <x:c r="S2055" s="1"/>
      <x:c r="T2055" s="1"/>
      <x:c r="U2055" s="1"/>
      <x:c r="V2055" s="1"/>
      <x:c r="W2055" s="1"/>
      <x:c r="X2055" s="1"/>
      <x:c r="Y2055" s="1"/>
      <x:c r="Z2055" s="1"/>
    </x:row>
    <x:row r="2056">
      <x:c r="A2056" s="1"/>
      <x:c r="B2056" s="1"/>
      <x:c r="C2056" s="1"/>
      <x:c r="D2056" s="1"/>
      <x:c r="E2056" s="1"/>
      <x:c r="F2056" s="1"/>
      <x:c r="G2056" s="1"/>
      <x:c r="H2056" s="1"/>
      <x:c r="I2056" s="1"/>
      <x:c r="J2056" s="1"/>
      <x:c r="K2056" s="1"/>
      <x:c r="L2056" s="1"/>
      <x:c r="M2056" s="1"/>
      <x:c r="N2056" s="1"/>
      <x:c r="O2056" s="1"/>
      <x:c r="P2056" s="1"/>
      <x:c r="Q2056" s="1"/>
      <x:c r="R2056" s="1"/>
      <x:c r="S2056" s="1"/>
      <x:c r="T2056" s="1"/>
      <x:c r="U2056" s="1"/>
      <x:c r="V2056" s="1"/>
      <x:c r="W2056" s="1"/>
      <x:c r="X2056" s="1"/>
      <x:c r="Y2056" s="1"/>
      <x:c r="Z2056" s="1"/>
    </x:row>
    <x:row r="2057">
      <x:c r="A2057" s="1"/>
      <x:c r="B2057" s="1"/>
      <x:c r="C2057" s="1"/>
      <x:c r="D2057" s="1"/>
      <x:c r="E2057" s="1"/>
      <x:c r="F2057" s="1"/>
      <x:c r="G2057" s="1"/>
      <x:c r="H2057" s="1"/>
      <x:c r="I2057" s="1"/>
      <x:c r="J2057" s="1"/>
      <x:c r="K2057" s="1"/>
      <x:c r="L2057" s="1"/>
      <x:c r="M2057" s="1"/>
      <x:c r="N2057" s="1"/>
      <x:c r="O2057" s="1"/>
      <x:c r="P2057" s="1"/>
      <x:c r="Q2057" s="1"/>
      <x:c r="R2057" s="1"/>
      <x:c r="S2057" s="1"/>
      <x:c r="T2057" s="1"/>
      <x:c r="U2057" s="1"/>
      <x:c r="V2057" s="1"/>
      <x:c r="W2057" s="1"/>
      <x:c r="X2057" s="1"/>
      <x:c r="Y2057" s="1"/>
      <x:c r="Z2057" s="1"/>
    </x:row>
    <x:row r="2058">
      <x:c r="A2058" s="1"/>
      <x:c r="B2058" s="1"/>
      <x:c r="C2058" s="1"/>
      <x:c r="D2058" s="1"/>
      <x:c r="E2058" s="1"/>
      <x:c r="F2058" s="1"/>
      <x:c r="G2058" s="1"/>
      <x:c r="H2058" s="1"/>
      <x:c r="I2058" s="1"/>
      <x:c r="J2058" s="1"/>
      <x:c r="K2058" s="1"/>
      <x:c r="L2058" s="1"/>
      <x:c r="M2058" s="1"/>
      <x:c r="N2058" s="1"/>
      <x:c r="O2058" s="1"/>
      <x:c r="P2058" s="1"/>
      <x:c r="Q2058" s="1"/>
      <x:c r="R2058" s="1"/>
      <x:c r="S2058" s="1"/>
      <x:c r="T2058" s="1"/>
      <x:c r="U2058" s="1"/>
      <x:c r="V2058" s="1"/>
      <x:c r="W2058" s="1"/>
      <x:c r="X2058" s="1"/>
      <x:c r="Y2058" s="1"/>
      <x:c r="Z2058" s="1"/>
    </x:row>
    <x:row r="2059">
      <x:c r="A2059" s="1"/>
      <x:c r="B2059" s="1"/>
      <x:c r="C2059" s="1"/>
      <x:c r="D2059" s="1"/>
      <x:c r="E2059" s="1"/>
      <x:c r="F2059" s="1"/>
      <x:c r="G2059" s="1"/>
      <x:c r="H2059" s="1"/>
      <x:c r="I2059" s="1"/>
      <x:c r="J2059" s="1"/>
      <x:c r="K2059" s="1"/>
      <x:c r="L2059" s="1"/>
      <x:c r="M2059" s="1"/>
      <x:c r="N2059" s="1"/>
      <x:c r="O2059" s="1"/>
      <x:c r="P2059" s="1"/>
      <x:c r="Q2059" s="1"/>
      <x:c r="R2059" s="1"/>
      <x:c r="S2059" s="1"/>
      <x:c r="T2059" s="1"/>
      <x:c r="U2059" s="1"/>
      <x:c r="V2059" s="1"/>
      <x:c r="W2059" s="1"/>
      <x:c r="X2059" s="1"/>
      <x:c r="Y2059" s="1"/>
      <x:c r="Z2059" s="1"/>
    </x:row>
    <x:row r="2060">
      <x:c r="A2060" s="1"/>
      <x:c r="B2060" s="1"/>
      <x:c r="C2060" s="1"/>
      <x:c r="D2060" s="1"/>
      <x:c r="E2060" s="1"/>
      <x:c r="F2060" s="1"/>
      <x:c r="G2060" s="1"/>
      <x:c r="H2060" s="1"/>
      <x:c r="I2060" s="1"/>
      <x:c r="J2060" s="1"/>
      <x:c r="K2060" s="1"/>
      <x:c r="L2060" s="1"/>
      <x:c r="M2060" s="1"/>
      <x:c r="N2060" s="1"/>
      <x:c r="O2060" s="1"/>
      <x:c r="P2060" s="1"/>
      <x:c r="Q2060" s="1"/>
      <x:c r="R2060" s="1"/>
      <x:c r="S2060" s="1"/>
      <x:c r="T2060" s="1"/>
      <x:c r="U2060" s="1"/>
      <x:c r="V2060" s="1"/>
      <x:c r="W2060" s="1"/>
      <x:c r="X2060" s="1"/>
      <x:c r="Y2060" s="1"/>
      <x:c r="Z2060" s="1"/>
    </x:row>
    <x:row r="2061">
      <x:c r="A2061" s="1"/>
      <x:c r="B2061" s="1"/>
      <x:c r="C2061" s="1"/>
      <x:c r="D2061" s="1"/>
      <x:c r="E2061" s="1"/>
      <x:c r="F2061" s="1"/>
      <x:c r="G2061" s="1"/>
      <x:c r="H2061" s="1"/>
      <x:c r="I2061" s="1"/>
      <x:c r="J2061" s="1"/>
      <x:c r="K2061" s="1"/>
      <x:c r="L2061" s="1"/>
      <x:c r="M2061" s="1"/>
      <x:c r="N2061" s="1"/>
      <x:c r="O2061" s="1"/>
      <x:c r="P2061" s="1"/>
      <x:c r="Q2061" s="1"/>
      <x:c r="R2061" s="1"/>
      <x:c r="S2061" s="1"/>
      <x:c r="T2061" s="1"/>
      <x:c r="U2061" s="1"/>
      <x:c r="V2061" s="1"/>
      <x:c r="W2061" s="1"/>
      <x:c r="X2061" s="1"/>
      <x:c r="Y2061" s="1"/>
      <x:c r="Z2061" s="1"/>
    </x:row>
    <x:row r="2062">
      <x:c r="A2062" s="1"/>
      <x:c r="B2062" s="1"/>
      <x:c r="C2062" s="1"/>
      <x:c r="D2062" s="1"/>
      <x:c r="E2062" s="1"/>
      <x:c r="F2062" s="1"/>
      <x:c r="G2062" s="1"/>
      <x:c r="H2062" s="1"/>
      <x:c r="I2062" s="1"/>
      <x:c r="J2062" s="1"/>
      <x:c r="K2062" s="1"/>
      <x:c r="L2062" s="1"/>
      <x:c r="M2062" s="1"/>
      <x:c r="N2062" s="1"/>
      <x:c r="O2062" s="1"/>
      <x:c r="P2062" s="1"/>
      <x:c r="Q2062" s="1"/>
      <x:c r="R2062" s="1"/>
      <x:c r="S2062" s="1"/>
      <x:c r="T2062" s="1"/>
      <x:c r="U2062" s="1"/>
      <x:c r="V2062" s="1"/>
      <x:c r="W2062" s="1"/>
      <x:c r="X2062" s="1"/>
      <x:c r="Y2062" s="1"/>
      <x:c r="Z2062" s="1"/>
    </x:row>
    <x:row r="2063">
      <x:c r="A2063" s="1"/>
      <x:c r="B2063" s="1"/>
      <x:c r="C2063" s="1"/>
      <x:c r="D2063" s="1"/>
      <x:c r="E2063" s="1"/>
      <x:c r="F2063" s="1"/>
      <x:c r="G2063" s="1"/>
      <x:c r="H2063" s="1"/>
      <x:c r="I2063" s="1"/>
      <x:c r="J2063" s="1"/>
      <x:c r="K2063" s="1"/>
      <x:c r="L2063" s="1"/>
      <x:c r="M2063" s="1"/>
      <x:c r="N2063" s="1"/>
      <x:c r="O2063" s="1"/>
      <x:c r="P2063" s="1"/>
      <x:c r="Q2063" s="1"/>
      <x:c r="R2063" s="1"/>
      <x:c r="S2063" s="1"/>
      <x:c r="T2063" s="1"/>
      <x:c r="U2063" s="1"/>
      <x:c r="V2063" s="1"/>
      <x:c r="W2063" s="1"/>
      <x:c r="X2063" s="1"/>
      <x:c r="Y2063" s="1"/>
      <x:c r="Z2063" s="1"/>
    </x:row>
    <x:row r="2064">
      <x:c r="A2064" s="1"/>
      <x:c r="B2064" s="1"/>
      <x:c r="C2064" s="1"/>
      <x:c r="D2064" s="1"/>
      <x:c r="E2064" s="1"/>
      <x:c r="F2064" s="1"/>
      <x:c r="G2064" s="1"/>
      <x:c r="H2064" s="1"/>
      <x:c r="I2064" s="1"/>
      <x:c r="J2064" s="1"/>
      <x:c r="K2064" s="1"/>
      <x:c r="L2064" s="1"/>
      <x:c r="M2064" s="1"/>
      <x:c r="N2064" s="1"/>
      <x:c r="O2064" s="1"/>
      <x:c r="P2064" s="1"/>
      <x:c r="Q2064" s="1"/>
      <x:c r="R2064" s="1"/>
      <x:c r="S2064" s="1"/>
      <x:c r="T2064" s="1"/>
      <x:c r="U2064" s="1"/>
      <x:c r="V2064" s="1"/>
      <x:c r="W2064" s="1"/>
      <x:c r="X2064" s="1"/>
      <x:c r="Y2064" s="1"/>
      <x:c r="Z2064" s="1"/>
    </x:row>
    <x:row r="2065">
      <x:c r="A2065" s="1"/>
      <x:c r="B2065" s="1"/>
      <x:c r="C2065" s="1"/>
      <x:c r="D2065" s="1"/>
      <x:c r="E2065" s="1"/>
      <x:c r="F2065" s="1"/>
      <x:c r="G2065" s="1"/>
      <x:c r="H2065" s="1"/>
      <x:c r="I2065" s="1"/>
      <x:c r="J2065" s="1"/>
      <x:c r="K2065" s="1"/>
      <x:c r="L2065" s="1"/>
      <x:c r="M2065" s="1"/>
      <x:c r="N2065" s="1"/>
      <x:c r="O2065" s="1"/>
      <x:c r="P2065" s="1"/>
      <x:c r="Q2065" s="1"/>
      <x:c r="R2065" s="1"/>
      <x:c r="S2065" s="1"/>
      <x:c r="T2065" s="1"/>
      <x:c r="U2065" s="1"/>
      <x:c r="V2065" s="1"/>
      <x:c r="W2065" s="1"/>
      <x:c r="X2065" s="1"/>
      <x:c r="Y2065" s="1"/>
      <x:c r="Z2065" s="1"/>
    </x:row>
    <x:row r="2066">
      <x:c r="A2066" s="1"/>
      <x:c r="B2066" s="1"/>
      <x:c r="C2066" s="1"/>
      <x:c r="D2066" s="1"/>
      <x:c r="E2066" s="1"/>
      <x:c r="F2066" s="1"/>
      <x:c r="G2066" s="1"/>
      <x:c r="H2066" s="1"/>
      <x:c r="I2066" s="1"/>
      <x:c r="J2066" s="1"/>
      <x:c r="K2066" s="1"/>
      <x:c r="L2066" s="1"/>
      <x:c r="M2066" s="1"/>
      <x:c r="N2066" s="1"/>
      <x:c r="O2066" s="1"/>
      <x:c r="P2066" s="1"/>
      <x:c r="Q2066" s="1"/>
      <x:c r="R2066" s="1"/>
      <x:c r="S2066" s="1"/>
      <x:c r="T2066" s="1"/>
      <x:c r="U2066" s="1"/>
      <x:c r="V2066" s="1"/>
      <x:c r="W2066" s="1"/>
      <x:c r="X2066" s="1"/>
      <x:c r="Y2066" s="1"/>
      <x:c r="Z2066" s="1"/>
    </x:row>
    <x:row r="2067">
      <x:c r="A2067" s="1"/>
      <x:c r="B2067" s="1"/>
      <x:c r="C2067" s="1"/>
      <x:c r="D2067" s="1"/>
      <x:c r="E2067" s="1"/>
      <x:c r="F2067" s="1"/>
      <x:c r="G2067" s="1"/>
      <x:c r="H2067" s="1"/>
      <x:c r="I2067" s="1"/>
      <x:c r="J2067" s="1"/>
      <x:c r="K2067" s="1"/>
      <x:c r="L2067" s="1"/>
      <x:c r="M2067" s="1"/>
      <x:c r="N2067" s="1"/>
      <x:c r="O2067" s="1"/>
      <x:c r="P2067" s="1"/>
      <x:c r="Q2067" s="1"/>
      <x:c r="R2067" s="1"/>
      <x:c r="S2067" s="1"/>
      <x:c r="T2067" s="1"/>
      <x:c r="U2067" s="1"/>
      <x:c r="V2067" s="1"/>
      <x:c r="W2067" s="1"/>
      <x:c r="X2067" s="1"/>
      <x:c r="Y2067" s="1"/>
      <x:c r="Z2067" s="1"/>
    </x:row>
    <x:row r="2068">
      <x:c r="A2068" s="1"/>
      <x:c r="B2068" s="1"/>
      <x:c r="C2068" s="1"/>
      <x:c r="D2068" s="1"/>
      <x:c r="E2068" s="1"/>
      <x:c r="F2068" s="1"/>
      <x:c r="G2068" s="1"/>
      <x:c r="H2068" s="1"/>
      <x:c r="I2068" s="1"/>
      <x:c r="J2068" s="1"/>
      <x:c r="K2068" s="1"/>
      <x:c r="L2068" s="1"/>
      <x:c r="M2068" s="1"/>
      <x:c r="N2068" s="1"/>
      <x:c r="O2068" s="1"/>
      <x:c r="P2068" s="1"/>
      <x:c r="Q2068" s="1"/>
      <x:c r="R2068" s="1"/>
      <x:c r="S2068" s="1"/>
      <x:c r="T2068" s="1"/>
      <x:c r="U2068" s="1"/>
      <x:c r="V2068" s="1"/>
      <x:c r="W2068" s="1"/>
      <x:c r="X2068" s="1"/>
      <x:c r="Y2068" s="1"/>
      <x:c r="Z2068" s="1"/>
    </x:row>
    <x:row r="2069">
      <x:c r="A2069" s="1"/>
      <x:c r="B2069" s="1"/>
      <x:c r="C2069" s="1"/>
      <x:c r="D2069" s="1"/>
      <x:c r="E2069" s="1"/>
      <x:c r="F2069" s="1"/>
      <x:c r="G2069" s="1"/>
      <x:c r="H2069" s="1"/>
      <x:c r="I2069" s="1"/>
      <x:c r="J2069" s="1"/>
      <x:c r="K2069" s="1"/>
      <x:c r="L2069" s="1"/>
      <x:c r="M2069" s="1"/>
      <x:c r="N2069" s="1"/>
      <x:c r="O2069" s="1"/>
      <x:c r="P2069" s="1"/>
      <x:c r="Q2069" s="1"/>
      <x:c r="R2069" s="1"/>
      <x:c r="S2069" s="1"/>
      <x:c r="T2069" s="1"/>
      <x:c r="U2069" s="1"/>
      <x:c r="V2069" s="1"/>
      <x:c r="W2069" s="1"/>
      <x:c r="X2069" s="1"/>
      <x:c r="Y2069" s="1"/>
      <x:c r="Z2069" s="1"/>
    </x:row>
    <x:row r="2070">
      <x:c r="A2070" s="1"/>
      <x:c r="B2070" s="1"/>
      <x:c r="C2070" s="1"/>
      <x:c r="D2070" s="1"/>
      <x:c r="E2070" s="1"/>
      <x:c r="F2070" s="1"/>
      <x:c r="G2070" s="1"/>
      <x:c r="H2070" s="1"/>
      <x:c r="I2070" s="1"/>
      <x:c r="J2070" s="1"/>
      <x:c r="K2070" s="1"/>
      <x:c r="L2070" s="1"/>
      <x:c r="M2070" s="1"/>
      <x:c r="N2070" s="1"/>
      <x:c r="O2070" s="1"/>
      <x:c r="P2070" s="1"/>
      <x:c r="Q2070" s="1"/>
      <x:c r="R2070" s="1"/>
      <x:c r="S2070" s="1"/>
      <x:c r="T2070" s="1"/>
      <x:c r="U2070" s="1"/>
      <x:c r="V2070" s="1"/>
      <x:c r="W2070" s="1"/>
      <x:c r="X2070" s="1"/>
      <x:c r="Y2070" s="1"/>
      <x:c r="Z2070" s="1"/>
    </x:row>
    <x:row r="2071">
      <x:c r="A2071" s="1"/>
      <x:c r="B2071" s="1"/>
      <x:c r="C2071" s="1"/>
      <x:c r="D2071" s="1"/>
      <x:c r="E2071" s="1"/>
      <x:c r="F2071" s="1"/>
      <x:c r="G2071" s="1"/>
      <x:c r="H2071" s="1"/>
      <x:c r="I2071" s="1"/>
      <x:c r="J2071" s="1"/>
      <x:c r="K2071" s="1"/>
      <x:c r="L2071" s="1"/>
      <x:c r="M2071" s="1"/>
      <x:c r="N2071" s="1"/>
      <x:c r="O2071" s="1"/>
      <x:c r="P2071" s="1"/>
      <x:c r="Q2071" s="1"/>
      <x:c r="R2071" s="1"/>
      <x:c r="S2071" s="1"/>
      <x:c r="T2071" s="1"/>
      <x:c r="U2071" s="1"/>
      <x:c r="V2071" s="1"/>
      <x:c r="W2071" s="1"/>
      <x:c r="X2071" s="1"/>
      <x:c r="Y2071" s="1"/>
      <x:c r="Z2071" s="1"/>
    </x:row>
    <x:row r="2072">
      <x:c r="A2072" s="1"/>
      <x:c r="B2072" s="1"/>
      <x:c r="C2072" s="1"/>
      <x:c r="D2072" s="1"/>
      <x:c r="E2072" s="1"/>
      <x:c r="F2072" s="1"/>
      <x:c r="G2072" s="1"/>
      <x:c r="H2072" s="1"/>
      <x:c r="I2072" s="1"/>
      <x:c r="J2072" s="1"/>
      <x:c r="K2072" s="1"/>
      <x:c r="L2072" s="1"/>
      <x:c r="M2072" s="1"/>
      <x:c r="N2072" s="1"/>
      <x:c r="O2072" s="1"/>
      <x:c r="P2072" s="1"/>
      <x:c r="Q2072" s="1"/>
      <x:c r="R2072" s="1"/>
      <x:c r="S2072" s="1"/>
      <x:c r="T2072" s="1"/>
      <x:c r="U2072" s="1"/>
      <x:c r="V2072" s="1"/>
      <x:c r="W2072" s="1"/>
      <x:c r="X2072" s="1"/>
      <x:c r="Y2072" s="1"/>
      <x:c r="Z2072" s="1"/>
    </x:row>
    <x:row r="2073">
      <x:c r="A2073" s="1"/>
      <x:c r="B2073" s="1"/>
      <x:c r="C2073" s="1"/>
      <x:c r="D2073" s="1"/>
      <x:c r="E2073" s="1"/>
      <x:c r="F2073" s="1"/>
      <x:c r="G2073" s="1"/>
      <x:c r="H2073" s="1"/>
      <x:c r="I2073" s="1"/>
      <x:c r="J2073" s="1"/>
      <x:c r="K2073" s="1"/>
      <x:c r="L2073" s="1"/>
      <x:c r="M2073" s="1"/>
      <x:c r="N2073" s="1"/>
      <x:c r="O2073" s="1"/>
      <x:c r="P2073" s="1"/>
      <x:c r="Q2073" s="1"/>
      <x:c r="R2073" s="1"/>
      <x:c r="S2073" s="1"/>
      <x:c r="T2073" s="1"/>
      <x:c r="U2073" s="1"/>
      <x:c r="V2073" s="1"/>
      <x:c r="W2073" s="1"/>
      <x:c r="X2073" s="1"/>
      <x:c r="Y2073" s="1"/>
      <x:c r="Z2073" s="1"/>
    </x:row>
    <x:row r="2074">
      <x:c r="A2074" s="1"/>
      <x:c r="B2074" s="1"/>
      <x:c r="C2074" s="1"/>
      <x:c r="D2074" s="1"/>
      <x:c r="E2074" s="1"/>
      <x:c r="F2074" s="1"/>
      <x:c r="G2074" s="1"/>
      <x:c r="H2074" s="1"/>
      <x:c r="I2074" s="1"/>
      <x:c r="J2074" s="1"/>
      <x:c r="K2074" s="1"/>
      <x:c r="L2074" s="1"/>
      <x:c r="M2074" s="1"/>
      <x:c r="N2074" s="1"/>
      <x:c r="O2074" s="1"/>
      <x:c r="P2074" s="1"/>
      <x:c r="Q2074" s="1"/>
      <x:c r="R2074" s="1"/>
      <x:c r="S2074" s="1"/>
      <x:c r="T2074" s="1"/>
      <x:c r="U2074" s="1"/>
      <x:c r="V2074" s="1"/>
      <x:c r="W2074" s="1"/>
      <x:c r="X2074" s="1"/>
      <x:c r="Y2074" s="1"/>
      <x:c r="Z2074" s="1"/>
    </x:row>
    <x:row r="2075">
      <x:c r="A2075" s="1"/>
      <x:c r="B2075" s="1"/>
      <x:c r="C2075" s="1"/>
      <x:c r="D2075" s="1"/>
      <x:c r="E2075" s="1"/>
      <x:c r="F2075" s="1"/>
      <x:c r="G2075" s="1"/>
      <x:c r="H2075" s="1"/>
      <x:c r="I2075" s="1"/>
      <x:c r="J2075" s="1"/>
      <x:c r="K2075" s="1"/>
      <x:c r="L2075" s="1"/>
      <x:c r="M2075" s="1"/>
      <x:c r="N2075" s="1"/>
      <x:c r="O2075" s="1"/>
      <x:c r="P2075" s="1"/>
      <x:c r="Q2075" s="1"/>
      <x:c r="R2075" s="1"/>
      <x:c r="S2075" s="1"/>
      <x:c r="T2075" s="1"/>
      <x:c r="U2075" s="1"/>
      <x:c r="V2075" s="1"/>
      <x:c r="W2075" s="1"/>
      <x:c r="X2075" s="1"/>
      <x:c r="Y2075" s="1"/>
      <x:c r="Z2075" s="1"/>
    </x:row>
    <x:row r="2076">
      <x:c r="A2076" s="1"/>
      <x:c r="B2076" s="1"/>
      <x:c r="C2076" s="1"/>
      <x:c r="D2076" s="1"/>
      <x:c r="E2076" s="1"/>
      <x:c r="F2076" s="1"/>
      <x:c r="G2076" s="1"/>
      <x:c r="H2076" s="1"/>
      <x:c r="I2076" s="1"/>
      <x:c r="J2076" s="1"/>
      <x:c r="K2076" s="1"/>
      <x:c r="L2076" s="1"/>
      <x:c r="M2076" s="1"/>
      <x:c r="N2076" s="1"/>
      <x:c r="O2076" s="1"/>
      <x:c r="P2076" s="1"/>
      <x:c r="Q2076" s="1"/>
      <x:c r="R2076" s="1"/>
      <x:c r="S2076" s="1"/>
      <x:c r="T2076" s="1"/>
      <x:c r="U2076" s="1"/>
      <x:c r="V2076" s="1"/>
      <x:c r="W2076" s="1"/>
      <x:c r="X2076" s="1"/>
      <x:c r="Y2076" s="1"/>
      <x:c r="Z2076" s="1"/>
    </x:row>
    <x:row r="2077">
      <x:c r="A2077" s="1"/>
      <x:c r="B2077" s="1"/>
      <x:c r="C2077" s="1"/>
      <x:c r="D2077" s="1"/>
      <x:c r="E2077" s="1"/>
      <x:c r="F2077" s="1"/>
      <x:c r="G2077" s="1"/>
      <x:c r="H2077" s="1"/>
      <x:c r="I2077" s="1"/>
      <x:c r="J2077" s="1"/>
      <x:c r="K2077" s="1"/>
      <x:c r="L2077" s="1"/>
      <x:c r="M2077" s="1"/>
      <x:c r="N2077" s="1"/>
      <x:c r="O2077" s="1"/>
      <x:c r="P2077" s="1"/>
      <x:c r="Q2077" s="1"/>
      <x:c r="R2077" s="1"/>
      <x:c r="S2077" s="1"/>
      <x:c r="T2077" s="1"/>
      <x:c r="U2077" s="1"/>
      <x:c r="V2077" s="1"/>
      <x:c r="W2077" s="1"/>
      <x:c r="X2077" s="1"/>
      <x:c r="Y2077" s="1"/>
      <x:c r="Z2077" s="1"/>
    </x:row>
    <x:row r="2078">
      <x:c r="A2078" s="1"/>
      <x:c r="B2078" s="1"/>
      <x:c r="C2078" s="1"/>
      <x:c r="D2078" s="1"/>
      <x:c r="E2078" s="1"/>
      <x:c r="F2078" s="1"/>
      <x:c r="G2078" s="1"/>
      <x:c r="H2078" s="1"/>
      <x:c r="I2078" s="1"/>
      <x:c r="J2078" s="1"/>
      <x:c r="K2078" s="1"/>
      <x:c r="L2078" s="1"/>
      <x:c r="M2078" s="1"/>
      <x:c r="N2078" s="1"/>
      <x:c r="O2078" s="1"/>
      <x:c r="P2078" s="1"/>
      <x:c r="Q2078" s="1"/>
      <x:c r="R2078" s="1"/>
      <x:c r="S2078" s="1"/>
      <x:c r="T2078" s="1"/>
      <x:c r="U2078" s="1"/>
      <x:c r="V2078" s="1"/>
      <x:c r="W2078" s="1"/>
      <x:c r="X2078" s="1"/>
      <x:c r="Y2078" s="1"/>
      <x:c r="Z2078" s="1"/>
    </x:row>
    <x:row r="2079">
      <x:c r="A2079" s="1"/>
      <x:c r="B2079" s="1"/>
      <x:c r="C2079" s="1"/>
      <x:c r="D2079" s="1"/>
      <x:c r="E2079" s="1"/>
      <x:c r="F2079" s="1"/>
      <x:c r="G2079" s="1"/>
      <x:c r="H2079" s="1"/>
      <x:c r="I2079" s="1"/>
      <x:c r="J2079" s="1"/>
      <x:c r="K2079" s="1"/>
      <x:c r="L2079" s="1"/>
      <x:c r="M2079" s="1"/>
      <x:c r="N2079" s="1"/>
      <x:c r="O2079" s="1"/>
      <x:c r="P2079" s="1"/>
      <x:c r="Q2079" s="1"/>
      <x:c r="R2079" s="1"/>
      <x:c r="S2079" s="1"/>
      <x:c r="T2079" s="1"/>
      <x:c r="U2079" s="1"/>
      <x:c r="V2079" s="1"/>
      <x:c r="W2079" s="1"/>
      <x:c r="X2079" s="1"/>
      <x:c r="Y2079" s="1"/>
      <x:c r="Z2079" s="1"/>
    </x:row>
    <x:row r="2080">
      <x:c r="A2080" s="1"/>
      <x:c r="B2080" s="1"/>
      <x:c r="C2080" s="1"/>
      <x:c r="D2080" s="1"/>
      <x:c r="E2080" s="1"/>
      <x:c r="F2080" s="1"/>
      <x:c r="G2080" s="1"/>
      <x:c r="H2080" s="1"/>
      <x:c r="I2080" s="1"/>
      <x:c r="J2080" s="1"/>
      <x:c r="K2080" s="1"/>
      <x:c r="L2080" s="1"/>
      <x:c r="M2080" s="1"/>
      <x:c r="N2080" s="1"/>
      <x:c r="O2080" s="1"/>
      <x:c r="P2080" s="1"/>
      <x:c r="Q2080" s="1"/>
      <x:c r="R2080" s="1"/>
      <x:c r="S2080" s="1"/>
      <x:c r="T2080" s="1"/>
      <x:c r="U2080" s="1"/>
      <x:c r="V2080" s="1"/>
      <x:c r="W2080" s="1"/>
      <x:c r="X2080" s="1"/>
      <x:c r="Y2080" s="1"/>
      <x:c r="Z2080" s="1"/>
    </x:row>
    <x:row r="2081">
      <x:c r="A2081" s="1"/>
      <x:c r="B2081" s="1"/>
      <x:c r="C2081" s="1"/>
      <x:c r="D2081" s="1"/>
      <x:c r="E2081" s="1"/>
      <x:c r="F2081" s="1"/>
      <x:c r="G2081" s="1"/>
      <x:c r="H2081" s="1"/>
      <x:c r="I2081" s="1"/>
      <x:c r="J2081" s="1"/>
      <x:c r="K2081" s="1"/>
      <x:c r="L2081" s="1"/>
      <x:c r="M2081" s="1"/>
      <x:c r="N2081" s="1"/>
      <x:c r="O2081" s="1"/>
      <x:c r="P2081" s="1"/>
      <x:c r="Q2081" s="1"/>
      <x:c r="R2081" s="1"/>
      <x:c r="S2081" s="1"/>
      <x:c r="T2081" s="1"/>
      <x:c r="U2081" s="1"/>
      <x:c r="V2081" s="1"/>
      <x:c r="W2081" s="1"/>
      <x:c r="X2081" s="1"/>
      <x:c r="Y2081" s="1"/>
      <x:c r="Z2081" s="1"/>
    </x:row>
    <x:row r="2082">
      <x:c r="A2082" s="1"/>
      <x:c r="B2082" s="1"/>
      <x:c r="C2082" s="1"/>
      <x:c r="D2082" s="1"/>
      <x:c r="E2082" s="1"/>
      <x:c r="F2082" s="1"/>
      <x:c r="G2082" s="1"/>
      <x:c r="H2082" s="1"/>
      <x:c r="I2082" s="1"/>
      <x:c r="J2082" s="1"/>
      <x:c r="K2082" s="1"/>
      <x:c r="L2082" s="1"/>
      <x:c r="M2082" s="1"/>
      <x:c r="N2082" s="1"/>
      <x:c r="O2082" s="1"/>
      <x:c r="P2082" s="1"/>
      <x:c r="Q2082" s="1"/>
      <x:c r="R2082" s="1"/>
      <x:c r="S2082" s="1"/>
      <x:c r="T2082" s="1"/>
      <x:c r="U2082" s="1"/>
      <x:c r="V2082" s="1"/>
      <x:c r="W2082" s="1"/>
      <x:c r="X2082" s="1"/>
      <x:c r="Y2082" s="1"/>
      <x:c r="Z2082" s="1"/>
    </x:row>
    <x:row r="2083">
      <x:c r="A2083" s="1"/>
      <x:c r="B2083" s="1"/>
      <x:c r="C2083" s="1"/>
      <x:c r="D2083" s="1"/>
      <x:c r="E2083" s="1"/>
      <x:c r="F2083" s="1"/>
      <x:c r="G2083" s="1"/>
      <x:c r="H2083" s="1"/>
      <x:c r="I2083" s="1"/>
      <x:c r="J2083" s="1"/>
      <x:c r="K2083" s="1"/>
      <x:c r="L2083" s="1"/>
      <x:c r="M2083" s="1"/>
      <x:c r="N2083" s="1"/>
      <x:c r="O2083" s="1"/>
      <x:c r="P2083" s="1"/>
      <x:c r="Q2083" s="1"/>
      <x:c r="R2083" s="1"/>
      <x:c r="S2083" s="1"/>
      <x:c r="T2083" s="1"/>
      <x:c r="U2083" s="1"/>
      <x:c r="V2083" s="1"/>
      <x:c r="W2083" s="1"/>
      <x:c r="X2083" s="1"/>
      <x:c r="Y2083" s="1"/>
      <x:c r="Z2083" s="1"/>
    </x:row>
    <x:row r="2084">
      <x:c r="A2084" s="1"/>
      <x:c r="B2084" s="1"/>
      <x:c r="C2084" s="1"/>
      <x:c r="D2084" s="1"/>
      <x:c r="E2084" s="1"/>
      <x:c r="F2084" s="1"/>
      <x:c r="G2084" s="1"/>
      <x:c r="H2084" s="1"/>
      <x:c r="I2084" s="1"/>
      <x:c r="J2084" s="1"/>
      <x:c r="K2084" s="1"/>
      <x:c r="L2084" s="1"/>
      <x:c r="M2084" s="1"/>
      <x:c r="N2084" s="1"/>
      <x:c r="O2084" s="1"/>
      <x:c r="P2084" s="1"/>
      <x:c r="Q2084" s="1"/>
      <x:c r="R2084" s="1"/>
      <x:c r="S2084" s="1"/>
      <x:c r="T2084" s="1"/>
      <x:c r="U2084" s="1"/>
      <x:c r="V2084" s="1"/>
      <x:c r="W2084" s="1"/>
      <x:c r="X2084" s="1"/>
      <x:c r="Y2084" s="1"/>
      <x:c r="Z2084" s="1"/>
    </x:row>
    <x:row r="2085">
      <x:c r="A2085" s="1"/>
      <x:c r="B2085" s="1"/>
      <x:c r="C2085" s="1"/>
      <x:c r="D2085" s="1"/>
      <x:c r="E2085" s="1"/>
      <x:c r="F2085" s="1"/>
      <x:c r="G2085" s="1"/>
      <x:c r="H2085" s="1"/>
      <x:c r="I2085" s="1"/>
      <x:c r="J2085" s="1"/>
      <x:c r="K2085" s="1"/>
      <x:c r="L2085" s="1"/>
      <x:c r="M2085" s="1"/>
      <x:c r="N2085" s="1"/>
      <x:c r="O2085" s="1"/>
      <x:c r="P2085" s="1"/>
      <x:c r="Q2085" s="1"/>
      <x:c r="R2085" s="1"/>
      <x:c r="S2085" s="1"/>
      <x:c r="T2085" s="1"/>
      <x:c r="U2085" s="1"/>
      <x:c r="V2085" s="1"/>
      <x:c r="W2085" s="1"/>
      <x:c r="X2085" s="1"/>
      <x:c r="Y2085" s="1"/>
      <x:c r="Z2085" s="1"/>
    </x:row>
    <x:row r="2086">
      <x:c r="A2086" s="1"/>
      <x:c r="B2086" s="1"/>
      <x:c r="C2086" s="1"/>
      <x:c r="D2086" s="1"/>
      <x:c r="E2086" s="1"/>
      <x:c r="F2086" s="1"/>
      <x:c r="G2086" s="1"/>
      <x:c r="H2086" s="1"/>
      <x:c r="I2086" s="1"/>
      <x:c r="J2086" s="1"/>
      <x:c r="K2086" s="1"/>
      <x:c r="L2086" s="1"/>
      <x:c r="M2086" s="1"/>
      <x:c r="N2086" s="1"/>
      <x:c r="O2086" s="1"/>
      <x:c r="P2086" s="1"/>
      <x:c r="Q2086" s="1"/>
      <x:c r="R2086" s="1"/>
      <x:c r="S2086" s="1"/>
      <x:c r="T2086" s="1"/>
      <x:c r="U2086" s="1"/>
      <x:c r="V2086" s="1"/>
      <x:c r="W2086" s="1"/>
      <x:c r="X2086" s="1"/>
      <x:c r="Y2086" s="1"/>
      <x:c r="Z2086" s="1"/>
    </x:row>
    <x:row r="2087">
      <x:c r="A2087" s="1"/>
      <x:c r="B2087" s="1"/>
      <x:c r="C2087" s="1"/>
      <x:c r="D2087" s="1"/>
      <x:c r="E2087" s="1"/>
      <x:c r="F2087" s="1"/>
      <x:c r="G2087" s="1"/>
      <x:c r="H2087" s="1"/>
      <x:c r="I2087" s="1"/>
      <x:c r="J2087" s="1"/>
      <x:c r="K2087" s="1"/>
      <x:c r="L2087" s="1"/>
      <x:c r="M2087" s="1"/>
      <x:c r="N2087" s="1"/>
      <x:c r="O2087" s="1"/>
      <x:c r="P2087" s="1"/>
      <x:c r="Q2087" s="1"/>
      <x:c r="R2087" s="1"/>
      <x:c r="S2087" s="1"/>
      <x:c r="T2087" s="1"/>
      <x:c r="U2087" s="1"/>
      <x:c r="V2087" s="1"/>
      <x:c r="W2087" s="1"/>
      <x:c r="X2087" s="1"/>
      <x:c r="Y2087" s="1"/>
      <x:c r="Z2087" s="1"/>
    </x:row>
    <x:row r="2088">
      <x:c r="A2088" s="1"/>
      <x:c r="B2088" s="1"/>
      <x:c r="C2088" s="1"/>
      <x:c r="D2088" s="1"/>
      <x:c r="E2088" s="1"/>
      <x:c r="F2088" s="1"/>
      <x:c r="G2088" s="1"/>
      <x:c r="H2088" s="1"/>
      <x:c r="I2088" s="1"/>
      <x:c r="J2088" s="1"/>
      <x:c r="K2088" s="1"/>
      <x:c r="L2088" s="1"/>
      <x:c r="M2088" s="1"/>
      <x:c r="N2088" s="1"/>
      <x:c r="O2088" s="1"/>
      <x:c r="P2088" s="1"/>
      <x:c r="Q2088" s="1"/>
      <x:c r="R2088" s="1"/>
      <x:c r="S2088" s="1"/>
      <x:c r="T2088" s="1"/>
      <x:c r="U2088" s="1"/>
      <x:c r="V2088" s="1"/>
      <x:c r="W2088" s="1"/>
      <x:c r="X2088" s="1"/>
      <x:c r="Y2088" s="1"/>
      <x:c r="Z2088" s="1"/>
    </x:row>
    <x:row r="2089">
      <x:c r="A2089" s="1"/>
      <x:c r="B2089" s="1"/>
      <x:c r="C2089" s="1"/>
      <x:c r="D2089" s="1"/>
      <x:c r="E2089" s="1"/>
      <x:c r="F2089" s="1"/>
      <x:c r="G2089" s="1"/>
      <x:c r="H2089" s="1"/>
      <x:c r="I2089" s="1"/>
      <x:c r="J2089" s="1"/>
      <x:c r="K2089" s="1"/>
      <x:c r="L2089" s="1"/>
      <x:c r="M2089" s="1"/>
      <x:c r="N2089" s="1"/>
      <x:c r="O2089" s="1"/>
      <x:c r="P2089" s="1"/>
      <x:c r="Q2089" s="1"/>
      <x:c r="R2089" s="1"/>
      <x:c r="S2089" s="1"/>
      <x:c r="T2089" s="1"/>
      <x:c r="U2089" s="1"/>
      <x:c r="V2089" s="1"/>
      <x:c r="W2089" s="1"/>
      <x:c r="X2089" s="1"/>
      <x:c r="Y2089" s="1"/>
      <x:c r="Z2089" s="1"/>
    </x:row>
    <x:row r="2090">
      <x:c r="A2090" s="1"/>
      <x:c r="B2090" s="1"/>
      <x:c r="C2090" s="1"/>
      <x:c r="D2090" s="1"/>
      <x:c r="E2090" s="1"/>
      <x:c r="F2090" s="1"/>
      <x:c r="G2090" s="1"/>
      <x:c r="H2090" s="1"/>
      <x:c r="I2090" s="1"/>
      <x:c r="J2090" s="1"/>
      <x:c r="K2090" s="1"/>
      <x:c r="L2090" s="1"/>
      <x:c r="M2090" s="1"/>
      <x:c r="N2090" s="1"/>
      <x:c r="O2090" s="1"/>
      <x:c r="P2090" s="1"/>
      <x:c r="Q2090" s="1"/>
      <x:c r="R2090" s="1"/>
      <x:c r="S2090" s="1"/>
      <x:c r="T2090" s="1"/>
      <x:c r="U2090" s="1"/>
      <x:c r="V2090" s="1"/>
      <x:c r="W2090" s="1"/>
      <x:c r="X2090" s="1"/>
      <x:c r="Y2090" s="1"/>
      <x:c r="Z2090" s="1"/>
    </x:row>
    <x:row r="2091">
      <x:c r="A2091" s="1"/>
      <x:c r="B2091" s="1"/>
      <x:c r="C2091" s="1"/>
      <x:c r="D2091" s="1"/>
      <x:c r="E2091" s="1"/>
      <x:c r="F2091" s="1"/>
      <x:c r="G2091" s="1"/>
      <x:c r="H2091" s="1"/>
      <x:c r="I2091" s="1"/>
      <x:c r="J2091" s="1"/>
      <x:c r="K2091" s="1"/>
      <x:c r="L2091" s="1"/>
      <x:c r="M2091" s="1"/>
      <x:c r="N2091" s="1"/>
      <x:c r="O2091" s="1"/>
      <x:c r="P2091" s="1"/>
      <x:c r="Q2091" s="1"/>
      <x:c r="R2091" s="1"/>
      <x:c r="S2091" s="1"/>
      <x:c r="T2091" s="1"/>
      <x:c r="U2091" s="1"/>
      <x:c r="V2091" s="1"/>
      <x:c r="W2091" s="1"/>
      <x:c r="X2091" s="1"/>
      <x:c r="Y2091" s="1"/>
      <x:c r="Z2091" s="1"/>
    </x:row>
    <x:row r="2092">
      <x:c r="A2092" s="1"/>
      <x:c r="B2092" s="1"/>
      <x:c r="C2092" s="1"/>
      <x:c r="D2092" s="1"/>
      <x:c r="E2092" s="1"/>
      <x:c r="F2092" s="1"/>
      <x:c r="G2092" s="1"/>
      <x:c r="H2092" s="1"/>
      <x:c r="I2092" s="1"/>
      <x:c r="J2092" s="1"/>
      <x:c r="K2092" s="1"/>
      <x:c r="L2092" s="1"/>
      <x:c r="M2092" s="1"/>
      <x:c r="N2092" s="1"/>
      <x:c r="O2092" s="1"/>
      <x:c r="P2092" s="1"/>
      <x:c r="Q2092" s="1"/>
      <x:c r="R2092" s="1"/>
      <x:c r="S2092" s="1"/>
      <x:c r="T2092" s="1"/>
      <x:c r="U2092" s="1"/>
      <x:c r="V2092" s="1"/>
      <x:c r="W2092" s="1"/>
      <x:c r="X2092" s="1"/>
      <x:c r="Y2092" s="1"/>
      <x:c r="Z2092" s="1"/>
    </x:row>
    <x:row r="2093">
      <x:c r="A2093" s="1"/>
      <x:c r="B2093" s="1"/>
      <x:c r="C2093" s="1"/>
      <x:c r="D2093" s="1"/>
      <x:c r="E2093" s="1"/>
      <x:c r="F2093" s="1"/>
      <x:c r="G2093" s="1"/>
      <x:c r="H2093" s="1"/>
      <x:c r="I2093" s="1"/>
      <x:c r="J2093" s="1"/>
      <x:c r="K2093" s="1"/>
      <x:c r="L2093" s="1"/>
      <x:c r="M2093" s="1"/>
      <x:c r="N2093" s="1"/>
      <x:c r="O2093" s="1"/>
      <x:c r="P2093" s="1"/>
      <x:c r="Q2093" s="1"/>
      <x:c r="R2093" s="1"/>
      <x:c r="S2093" s="1"/>
      <x:c r="T2093" s="1"/>
      <x:c r="U2093" s="1"/>
      <x:c r="V2093" s="1"/>
      <x:c r="W2093" s="1"/>
      <x:c r="X2093" s="1"/>
      <x:c r="Y2093" s="1"/>
      <x:c r="Z2093" s="1"/>
    </x:row>
    <x:row r="2094">
      <x:c r="A2094" s="1"/>
      <x:c r="B2094" s="1"/>
      <x:c r="C2094" s="1"/>
      <x:c r="D2094" s="1"/>
      <x:c r="E2094" s="1"/>
      <x:c r="F2094" s="1"/>
      <x:c r="G2094" s="1"/>
      <x:c r="H2094" s="1"/>
      <x:c r="I2094" s="1"/>
      <x:c r="J2094" s="1"/>
      <x:c r="K2094" s="1"/>
      <x:c r="L2094" s="1"/>
      <x:c r="M2094" s="1"/>
      <x:c r="N2094" s="1"/>
      <x:c r="O2094" s="1"/>
      <x:c r="P2094" s="1"/>
      <x:c r="Q2094" s="1"/>
      <x:c r="R2094" s="1"/>
      <x:c r="S2094" s="1"/>
      <x:c r="T2094" s="1"/>
      <x:c r="U2094" s="1"/>
      <x:c r="V2094" s="1"/>
      <x:c r="W2094" s="1"/>
      <x:c r="X2094" s="1"/>
      <x:c r="Y2094" s="1"/>
      <x:c r="Z2094" s="1"/>
    </x:row>
    <x:row r="2095">
      <x:c r="A2095" s="1"/>
      <x:c r="B2095" s="1"/>
      <x:c r="C2095" s="1"/>
      <x:c r="D2095" s="1"/>
      <x:c r="E2095" s="1"/>
      <x:c r="F2095" s="1"/>
      <x:c r="G2095" s="1"/>
      <x:c r="H2095" s="1"/>
      <x:c r="I2095" s="1"/>
      <x:c r="J2095" s="1"/>
      <x:c r="K2095" s="1"/>
      <x:c r="L2095" s="1"/>
      <x:c r="M2095" s="1"/>
      <x:c r="N2095" s="1"/>
      <x:c r="O2095" s="1"/>
      <x:c r="P2095" s="1"/>
      <x:c r="Q2095" s="1"/>
      <x:c r="R2095" s="1"/>
      <x:c r="S2095" s="1"/>
      <x:c r="T2095" s="1"/>
      <x:c r="U2095" s="1"/>
      <x:c r="V2095" s="1"/>
      <x:c r="W2095" s="1"/>
      <x:c r="X2095" s="1"/>
      <x:c r="Y2095" s="1"/>
      <x:c r="Z2095" s="1"/>
    </x:row>
    <x:row r="2096">
      <x:c r="A2096" s="1"/>
      <x:c r="B2096" s="1"/>
      <x:c r="C2096" s="1"/>
      <x:c r="D2096" s="1"/>
      <x:c r="E2096" s="1"/>
      <x:c r="F2096" s="1"/>
      <x:c r="G2096" s="1"/>
      <x:c r="H2096" s="1"/>
      <x:c r="I2096" s="1"/>
      <x:c r="J2096" s="1"/>
      <x:c r="K2096" s="1"/>
      <x:c r="L2096" s="1"/>
      <x:c r="M2096" s="1"/>
      <x:c r="N2096" s="1"/>
      <x:c r="O2096" s="1"/>
      <x:c r="P2096" s="1"/>
      <x:c r="Q2096" s="1"/>
      <x:c r="R2096" s="1"/>
      <x:c r="S2096" s="1"/>
      <x:c r="T2096" s="1"/>
      <x:c r="U2096" s="1"/>
      <x:c r="V2096" s="1"/>
      <x:c r="W2096" s="1"/>
      <x:c r="X2096" s="1"/>
      <x:c r="Y2096" s="1"/>
      <x:c r="Z2096" s="1"/>
    </x:row>
    <x:row r="2097">
      <x:c r="A2097" s="1"/>
      <x:c r="B2097" s="1"/>
      <x:c r="C2097" s="1"/>
      <x:c r="D2097" s="1"/>
      <x:c r="E2097" s="1"/>
      <x:c r="F2097" s="1"/>
      <x:c r="G2097" s="1"/>
      <x:c r="H2097" s="1"/>
      <x:c r="I2097" s="1"/>
      <x:c r="J2097" s="1"/>
      <x:c r="K2097" s="1"/>
      <x:c r="L2097" s="1"/>
      <x:c r="M2097" s="1"/>
      <x:c r="N2097" s="1"/>
      <x:c r="O2097" s="1"/>
      <x:c r="P2097" s="1"/>
      <x:c r="Q2097" s="1"/>
      <x:c r="R2097" s="1"/>
      <x:c r="S2097" s="1"/>
      <x:c r="T2097" s="1"/>
      <x:c r="U2097" s="1"/>
      <x:c r="V2097" s="1"/>
      <x:c r="W2097" s="1"/>
      <x:c r="X2097" s="1"/>
      <x:c r="Y2097" s="1"/>
      <x:c r="Z2097" s="1"/>
    </x:row>
    <x:row r="2098">
      <x:c r="A2098" s="1"/>
      <x:c r="B2098" s="1"/>
      <x:c r="C2098" s="1"/>
      <x:c r="D2098" s="1"/>
      <x:c r="E2098" s="1"/>
      <x:c r="F2098" s="1"/>
      <x:c r="G2098" s="1"/>
      <x:c r="H2098" s="1"/>
      <x:c r="I2098" s="1"/>
      <x:c r="J2098" s="1"/>
      <x:c r="K2098" s="1"/>
      <x:c r="L2098" s="1"/>
      <x:c r="M2098" s="1"/>
      <x:c r="N2098" s="1"/>
      <x:c r="O2098" s="1"/>
      <x:c r="P2098" s="1"/>
      <x:c r="Q2098" s="1"/>
      <x:c r="R2098" s="1"/>
      <x:c r="S2098" s="1"/>
      <x:c r="T2098" s="1"/>
      <x:c r="U2098" s="1"/>
      <x:c r="V2098" s="1"/>
      <x:c r="W2098" s="1"/>
      <x:c r="X2098" s="1"/>
      <x:c r="Y2098" s="1"/>
      <x:c r="Z2098" s="1"/>
    </x:row>
    <x:row r="2099">
      <x:c r="A2099" s="1"/>
      <x:c r="B2099" s="1"/>
      <x:c r="C2099" s="1"/>
      <x:c r="D2099" s="1"/>
      <x:c r="E2099" s="1"/>
      <x:c r="F2099" s="1"/>
      <x:c r="G2099" s="1"/>
      <x:c r="H2099" s="1"/>
      <x:c r="I2099" s="1"/>
      <x:c r="J2099" s="1"/>
      <x:c r="K2099" s="1"/>
      <x:c r="L2099" s="1"/>
      <x:c r="M2099" s="1"/>
      <x:c r="N2099" s="1"/>
      <x:c r="O2099" s="1"/>
      <x:c r="P2099" s="1"/>
      <x:c r="Q2099" s="1"/>
      <x:c r="R2099" s="1"/>
      <x:c r="S2099" s="1"/>
      <x:c r="T2099" s="1"/>
      <x:c r="U2099" s="1"/>
      <x:c r="V2099" s="1"/>
      <x:c r="W2099" s="1"/>
      <x:c r="X2099" s="1"/>
      <x:c r="Y2099" s="1"/>
      <x:c r="Z2099" s="1"/>
    </x:row>
    <x:row r="2100">
      <x:c r="A2100" s="1"/>
      <x:c r="B2100" s="1"/>
      <x:c r="C2100" s="1"/>
      <x:c r="D2100" s="1"/>
      <x:c r="E2100" s="1"/>
      <x:c r="F2100" s="1"/>
      <x:c r="G2100" s="1"/>
      <x:c r="H2100" s="1"/>
      <x:c r="I2100" s="1"/>
      <x:c r="J2100" s="1"/>
      <x:c r="K2100" s="1"/>
      <x:c r="L2100" s="1"/>
      <x:c r="M2100" s="1"/>
      <x:c r="N2100" s="1"/>
      <x:c r="O2100" s="1"/>
      <x:c r="P2100" s="1"/>
      <x:c r="Q2100" s="1"/>
      <x:c r="R2100" s="1"/>
      <x:c r="S2100" s="1"/>
      <x:c r="T2100" s="1"/>
      <x:c r="U2100" s="1"/>
      <x:c r="V2100" s="1"/>
      <x:c r="W2100" s="1"/>
      <x:c r="X2100" s="1"/>
      <x:c r="Y2100" s="1"/>
      <x:c r="Z2100" s="1"/>
    </x:row>
    <x:row r="2101">
      <x:c r="A2101" s="1"/>
      <x:c r="B2101" s="1"/>
      <x:c r="C2101" s="1"/>
      <x:c r="D2101" s="1"/>
      <x:c r="E2101" s="1"/>
      <x:c r="F2101" s="1"/>
      <x:c r="G2101" s="1"/>
      <x:c r="H2101" s="1"/>
      <x:c r="I2101" s="1"/>
      <x:c r="J2101" s="1"/>
      <x:c r="K2101" s="1"/>
      <x:c r="L2101" s="1"/>
      <x:c r="M2101" s="1"/>
      <x:c r="N2101" s="1"/>
      <x:c r="O2101" s="1"/>
      <x:c r="P2101" s="1"/>
      <x:c r="Q2101" s="1"/>
      <x:c r="R2101" s="1"/>
      <x:c r="S2101" s="1"/>
      <x:c r="T2101" s="1"/>
      <x:c r="U2101" s="1"/>
      <x:c r="V2101" s="1"/>
      <x:c r="W2101" s="1"/>
      <x:c r="X2101" s="1"/>
      <x:c r="Y2101" s="1"/>
      <x:c r="Z2101" s="1"/>
    </x:row>
    <x:row r="2102">
      <x:c r="A2102" s="1"/>
      <x:c r="B2102" s="1"/>
      <x:c r="C2102" s="1"/>
      <x:c r="D2102" s="1"/>
      <x:c r="E2102" s="1"/>
      <x:c r="F2102" s="1"/>
      <x:c r="G2102" s="1"/>
      <x:c r="H2102" s="1"/>
      <x:c r="I2102" s="1"/>
      <x:c r="J2102" s="1"/>
      <x:c r="K2102" s="1"/>
      <x:c r="L2102" s="1"/>
      <x:c r="M2102" s="1"/>
      <x:c r="N2102" s="1"/>
      <x:c r="O2102" s="1"/>
      <x:c r="P2102" s="1"/>
      <x:c r="Q2102" s="1"/>
      <x:c r="R2102" s="1"/>
      <x:c r="S2102" s="1"/>
      <x:c r="T2102" s="1"/>
      <x:c r="U2102" s="1"/>
      <x:c r="V2102" s="1"/>
      <x:c r="W2102" s="1"/>
      <x:c r="X2102" s="1"/>
      <x:c r="Y2102" s="1"/>
      <x:c r="Z2102" s="1"/>
    </x:row>
    <x:row r="2103">
      <x:c r="A2103" s="1"/>
      <x:c r="B2103" s="1"/>
      <x:c r="C2103" s="1"/>
      <x:c r="D2103" s="1"/>
      <x:c r="E2103" s="1"/>
      <x:c r="F2103" s="1"/>
      <x:c r="G2103" s="1"/>
      <x:c r="H2103" s="1"/>
      <x:c r="I2103" s="1"/>
      <x:c r="J2103" s="1"/>
      <x:c r="K2103" s="1"/>
      <x:c r="L2103" s="1"/>
      <x:c r="M2103" s="1"/>
      <x:c r="N2103" s="1"/>
      <x:c r="O2103" s="1"/>
      <x:c r="P2103" s="1"/>
      <x:c r="Q2103" s="1"/>
      <x:c r="R2103" s="1"/>
      <x:c r="S2103" s="1"/>
      <x:c r="T2103" s="1"/>
      <x:c r="U2103" s="1"/>
      <x:c r="V2103" s="1"/>
      <x:c r="W2103" s="1"/>
      <x:c r="X2103" s="1"/>
      <x:c r="Y2103" s="1"/>
      <x:c r="Z2103" s="1"/>
    </x:row>
    <x:row r="2104">
      <x:c r="A2104" s="1"/>
      <x:c r="B2104" s="1"/>
      <x:c r="C2104" s="1"/>
      <x:c r="D2104" s="1"/>
      <x:c r="E2104" s="1"/>
      <x:c r="F2104" s="1"/>
      <x:c r="G2104" s="1"/>
      <x:c r="H2104" s="1"/>
      <x:c r="I2104" s="1"/>
      <x:c r="J2104" s="1"/>
      <x:c r="K2104" s="1"/>
      <x:c r="L2104" s="1"/>
      <x:c r="M2104" s="1"/>
      <x:c r="N2104" s="1"/>
      <x:c r="O2104" s="1"/>
      <x:c r="P2104" s="1"/>
      <x:c r="Q2104" s="1"/>
      <x:c r="R2104" s="1"/>
      <x:c r="S2104" s="1"/>
      <x:c r="T2104" s="1"/>
      <x:c r="U2104" s="1"/>
      <x:c r="V2104" s="1"/>
      <x:c r="W2104" s="1"/>
      <x:c r="X2104" s="1"/>
      <x:c r="Y2104" s="1"/>
      <x:c r="Z2104" s="1"/>
    </x:row>
    <x:row r="2105">
      <x:c r="A2105" s="1"/>
      <x:c r="B2105" s="1"/>
      <x:c r="C2105" s="1"/>
      <x:c r="D2105" s="1"/>
      <x:c r="E2105" s="1"/>
      <x:c r="F2105" s="1"/>
      <x:c r="G2105" s="1"/>
      <x:c r="H2105" s="1"/>
      <x:c r="I2105" s="1"/>
      <x:c r="J2105" s="1"/>
      <x:c r="K2105" s="1"/>
      <x:c r="L2105" s="1"/>
      <x:c r="M2105" s="1"/>
      <x:c r="N2105" s="1"/>
      <x:c r="O2105" s="1"/>
      <x:c r="P2105" s="1"/>
      <x:c r="Q2105" s="1"/>
      <x:c r="R2105" s="1"/>
      <x:c r="S2105" s="1"/>
      <x:c r="T2105" s="1"/>
      <x:c r="U2105" s="1"/>
      <x:c r="V2105" s="1"/>
      <x:c r="W2105" s="1"/>
      <x:c r="X2105" s="1"/>
      <x:c r="Y2105" s="1"/>
      <x:c r="Z2105" s="1"/>
    </x:row>
    <x:row r="2106">
      <x:c r="A2106" s="1"/>
      <x:c r="B2106" s="1"/>
      <x:c r="C2106" s="1"/>
      <x:c r="D2106" s="1"/>
      <x:c r="E2106" s="1"/>
      <x:c r="F2106" s="1"/>
      <x:c r="G2106" s="1"/>
      <x:c r="H2106" s="1"/>
      <x:c r="I2106" s="1"/>
      <x:c r="J2106" s="1"/>
      <x:c r="K2106" s="1"/>
      <x:c r="L2106" s="1"/>
      <x:c r="M2106" s="1"/>
      <x:c r="N2106" s="1"/>
      <x:c r="O2106" s="1"/>
      <x:c r="P2106" s="1"/>
      <x:c r="Q2106" s="1"/>
      <x:c r="R2106" s="1"/>
      <x:c r="S2106" s="1"/>
      <x:c r="T2106" s="1"/>
      <x:c r="U2106" s="1"/>
      <x:c r="V2106" s="1"/>
      <x:c r="W2106" s="1"/>
      <x:c r="X2106" s="1"/>
      <x:c r="Y2106" s="1"/>
      <x:c r="Z2106" s="1"/>
    </x:row>
    <x:row r="2107">
      <x:c r="A2107" s="1"/>
      <x:c r="B2107" s="1"/>
      <x:c r="C2107" s="1"/>
      <x:c r="D2107" s="1"/>
      <x:c r="E2107" s="1"/>
      <x:c r="F2107" s="1"/>
      <x:c r="G2107" s="1"/>
      <x:c r="H2107" s="1"/>
      <x:c r="I2107" s="1"/>
      <x:c r="J2107" s="1"/>
      <x:c r="K2107" s="1"/>
      <x:c r="L2107" s="1"/>
      <x:c r="M2107" s="1"/>
      <x:c r="N2107" s="1"/>
      <x:c r="O2107" s="1"/>
      <x:c r="P2107" s="1"/>
      <x:c r="Q2107" s="1"/>
      <x:c r="R2107" s="1"/>
      <x:c r="S2107" s="1"/>
      <x:c r="T2107" s="1"/>
      <x:c r="U2107" s="1"/>
      <x:c r="V2107" s="1"/>
      <x:c r="W2107" s="1"/>
      <x:c r="X2107" s="1"/>
      <x:c r="Y2107" s="1"/>
      <x:c r="Z2107" s="1"/>
    </x:row>
    <x:row r="2108">
      <x:c r="A2108" s="1"/>
      <x:c r="B2108" s="1"/>
      <x:c r="C2108" s="1"/>
      <x:c r="D2108" s="1"/>
      <x:c r="E2108" s="1"/>
      <x:c r="F2108" s="1"/>
      <x:c r="G2108" s="1"/>
      <x:c r="H2108" s="1"/>
      <x:c r="I2108" s="1"/>
      <x:c r="J2108" s="1"/>
      <x:c r="K2108" s="1"/>
      <x:c r="L2108" s="1"/>
      <x:c r="M2108" s="1"/>
      <x:c r="N2108" s="1"/>
      <x:c r="O2108" s="1"/>
      <x:c r="P2108" s="1"/>
      <x:c r="Q2108" s="1"/>
      <x:c r="R2108" s="1"/>
      <x:c r="S2108" s="1"/>
      <x:c r="T2108" s="1"/>
      <x:c r="U2108" s="1"/>
      <x:c r="V2108" s="1"/>
      <x:c r="W2108" s="1"/>
      <x:c r="X2108" s="1"/>
      <x:c r="Y2108" s="1"/>
      <x:c r="Z2108" s="1"/>
    </x:row>
    <x:row r="2109">
      <x:c r="A2109" s="1"/>
      <x:c r="B2109" s="1"/>
      <x:c r="C2109" s="1"/>
      <x:c r="D2109" s="1"/>
      <x:c r="E2109" s="1"/>
      <x:c r="F2109" s="1"/>
      <x:c r="G2109" s="1"/>
      <x:c r="H2109" s="1"/>
      <x:c r="I2109" s="1"/>
      <x:c r="J2109" s="1"/>
      <x:c r="K2109" s="1"/>
      <x:c r="L2109" s="1"/>
      <x:c r="M2109" s="1"/>
      <x:c r="N2109" s="1"/>
      <x:c r="O2109" s="1"/>
      <x:c r="P2109" s="1"/>
      <x:c r="Q2109" s="1"/>
      <x:c r="R2109" s="1"/>
      <x:c r="S2109" s="1"/>
      <x:c r="T2109" s="1"/>
      <x:c r="U2109" s="1"/>
      <x:c r="V2109" s="1"/>
      <x:c r="W2109" s="1"/>
      <x:c r="X2109" s="1"/>
      <x:c r="Y2109" s="1"/>
      <x:c r="Z2109" s="1"/>
    </x:row>
    <x:row r="2110">
      <x:c r="A2110" s="1"/>
      <x:c r="B2110" s="1"/>
      <x:c r="C2110" s="1"/>
      <x:c r="D2110" s="1"/>
      <x:c r="E2110" s="1"/>
      <x:c r="F2110" s="1"/>
      <x:c r="G2110" s="1"/>
      <x:c r="H2110" s="1"/>
      <x:c r="I2110" s="1"/>
      <x:c r="J2110" s="1"/>
      <x:c r="K2110" s="1"/>
      <x:c r="L2110" s="1"/>
      <x:c r="M2110" s="1"/>
      <x:c r="N2110" s="1"/>
      <x:c r="O2110" s="1"/>
      <x:c r="P2110" s="1"/>
      <x:c r="Q2110" s="1"/>
      <x:c r="R2110" s="1"/>
      <x:c r="S2110" s="1"/>
      <x:c r="T2110" s="1"/>
      <x:c r="U2110" s="1"/>
      <x:c r="V2110" s="1"/>
      <x:c r="W2110" s="1"/>
      <x:c r="X2110" s="1"/>
      <x:c r="Y2110" s="1"/>
      <x:c r="Z2110" s="1"/>
    </x:row>
    <x:row r="2111">
      <x:c r="A2111" s="1"/>
      <x:c r="B2111" s="1"/>
      <x:c r="C2111" s="1"/>
      <x:c r="D2111" s="1"/>
      <x:c r="E2111" s="1"/>
      <x:c r="F2111" s="1"/>
      <x:c r="G2111" s="1"/>
      <x:c r="H2111" s="1"/>
      <x:c r="I2111" s="1"/>
      <x:c r="J2111" s="1"/>
      <x:c r="K2111" s="1"/>
      <x:c r="L2111" s="1"/>
      <x:c r="M2111" s="1"/>
      <x:c r="N2111" s="1"/>
      <x:c r="O2111" s="1"/>
      <x:c r="P2111" s="1"/>
      <x:c r="Q2111" s="1"/>
      <x:c r="R2111" s="1"/>
      <x:c r="S2111" s="1"/>
      <x:c r="T2111" s="1"/>
      <x:c r="U2111" s="1"/>
      <x:c r="V2111" s="1"/>
      <x:c r="W2111" s="1"/>
      <x:c r="X2111" s="1"/>
      <x:c r="Y2111" s="1"/>
      <x:c r="Z2111" s="1"/>
    </x:row>
    <x:row r="2112">
      <x:c r="A2112" s="1"/>
      <x:c r="B2112" s="1"/>
      <x:c r="C2112" s="1"/>
      <x:c r="D2112" s="1"/>
      <x:c r="E2112" s="1"/>
      <x:c r="F2112" s="1"/>
      <x:c r="G2112" s="1"/>
      <x:c r="H2112" s="1"/>
      <x:c r="I2112" s="1"/>
      <x:c r="J2112" s="1"/>
      <x:c r="K2112" s="1"/>
      <x:c r="L2112" s="1"/>
      <x:c r="M2112" s="1"/>
      <x:c r="N2112" s="1"/>
      <x:c r="O2112" s="1"/>
      <x:c r="P2112" s="1"/>
      <x:c r="Q2112" s="1"/>
      <x:c r="R2112" s="1"/>
      <x:c r="S2112" s="1"/>
      <x:c r="T2112" s="1"/>
      <x:c r="U2112" s="1"/>
      <x:c r="V2112" s="1"/>
      <x:c r="W2112" s="1"/>
      <x:c r="X2112" s="1"/>
      <x:c r="Y2112" s="1"/>
      <x:c r="Z2112" s="1"/>
    </x:row>
    <x:row r="2113">
      <x:c r="A2113" s="1"/>
      <x:c r="B2113" s="1"/>
      <x:c r="C2113" s="1"/>
      <x:c r="D2113" s="1"/>
      <x:c r="E2113" s="1"/>
      <x:c r="F2113" s="1"/>
      <x:c r="G2113" s="1"/>
      <x:c r="H2113" s="1"/>
      <x:c r="I2113" s="1"/>
      <x:c r="J2113" s="1"/>
      <x:c r="K2113" s="1"/>
      <x:c r="L2113" s="1"/>
      <x:c r="M2113" s="1"/>
      <x:c r="N2113" s="1"/>
      <x:c r="O2113" s="1"/>
      <x:c r="P2113" s="1"/>
      <x:c r="Q2113" s="1"/>
      <x:c r="R2113" s="1"/>
      <x:c r="S2113" s="1"/>
      <x:c r="T2113" s="1"/>
      <x:c r="U2113" s="1"/>
      <x:c r="V2113" s="1"/>
      <x:c r="W2113" s="1"/>
      <x:c r="X2113" s="1"/>
      <x:c r="Y2113" s="1"/>
      <x:c r="Z2113" s="1"/>
    </x:row>
    <x:row r="2114">
      <x:c r="A2114" s="1"/>
      <x:c r="B2114" s="1"/>
      <x:c r="C2114" s="1"/>
      <x:c r="D2114" s="1"/>
      <x:c r="E2114" s="1"/>
      <x:c r="F2114" s="1"/>
      <x:c r="G2114" s="1"/>
      <x:c r="H2114" s="1"/>
      <x:c r="I2114" s="1"/>
      <x:c r="J2114" s="1"/>
      <x:c r="K2114" s="1"/>
      <x:c r="L2114" s="1"/>
      <x:c r="M2114" s="1"/>
      <x:c r="N2114" s="1"/>
      <x:c r="O2114" s="1"/>
      <x:c r="P2114" s="1"/>
      <x:c r="Q2114" s="1"/>
      <x:c r="R2114" s="1"/>
      <x:c r="S2114" s="1"/>
      <x:c r="T2114" s="1"/>
      <x:c r="U2114" s="1"/>
      <x:c r="V2114" s="1"/>
      <x:c r="W2114" s="1"/>
      <x:c r="X2114" s="1"/>
      <x:c r="Y2114" s="1"/>
      <x:c r="Z2114" s="1"/>
    </x:row>
    <x:row r="2115">
      <x:c r="A2115" s="1"/>
      <x:c r="B2115" s="1"/>
      <x:c r="C2115" s="1"/>
      <x:c r="D2115" s="1"/>
      <x:c r="E2115" s="1"/>
      <x:c r="F2115" s="1"/>
      <x:c r="G2115" s="1"/>
      <x:c r="H2115" s="1"/>
      <x:c r="I2115" s="1"/>
      <x:c r="J2115" s="1"/>
      <x:c r="K2115" s="1"/>
      <x:c r="L2115" s="1"/>
      <x:c r="M2115" s="1"/>
      <x:c r="N2115" s="1"/>
      <x:c r="O2115" s="1"/>
      <x:c r="P2115" s="1"/>
      <x:c r="Q2115" s="1"/>
      <x:c r="R2115" s="1"/>
      <x:c r="S2115" s="1"/>
      <x:c r="T2115" s="1"/>
      <x:c r="U2115" s="1"/>
      <x:c r="V2115" s="1"/>
      <x:c r="W2115" s="1"/>
      <x:c r="X2115" s="1"/>
      <x:c r="Y2115" s="1"/>
      <x:c r="Z2115" s="1"/>
    </x:row>
    <x:row r="2116">
      <x:c r="A2116" s="1"/>
      <x:c r="B2116" s="1"/>
      <x:c r="C2116" s="1"/>
      <x:c r="D2116" s="1"/>
      <x:c r="E2116" s="1"/>
      <x:c r="F2116" s="1"/>
      <x:c r="G2116" s="1"/>
      <x:c r="H2116" s="1"/>
      <x:c r="I2116" s="1"/>
      <x:c r="J2116" s="1"/>
      <x:c r="K2116" s="1"/>
      <x:c r="L2116" s="1"/>
      <x:c r="M2116" s="1"/>
      <x:c r="N2116" s="1"/>
      <x:c r="O2116" s="1"/>
      <x:c r="P2116" s="1"/>
      <x:c r="Q2116" s="1"/>
      <x:c r="R2116" s="1"/>
      <x:c r="S2116" s="1"/>
      <x:c r="T2116" s="1"/>
      <x:c r="U2116" s="1"/>
      <x:c r="V2116" s="1"/>
      <x:c r="W2116" s="1"/>
      <x:c r="X2116" s="1"/>
      <x:c r="Y2116" s="1"/>
      <x:c r="Z2116" s="1"/>
    </x:row>
    <x:row r="2117">
      <x:c r="A2117" s="1"/>
      <x:c r="B2117" s="1"/>
      <x:c r="C2117" s="1"/>
      <x:c r="D2117" s="1"/>
      <x:c r="E2117" s="1"/>
      <x:c r="F2117" s="1"/>
      <x:c r="G2117" s="1"/>
      <x:c r="H2117" s="1"/>
      <x:c r="I2117" s="1"/>
      <x:c r="J2117" s="1"/>
      <x:c r="K2117" s="1"/>
      <x:c r="L2117" s="1"/>
      <x:c r="M2117" s="1"/>
      <x:c r="N2117" s="1"/>
      <x:c r="O2117" s="1"/>
      <x:c r="P2117" s="1"/>
      <x:c r="Q2117" s="1"/>
      <x:c r="R2117" s="1"/>
      <x:c r="S2117" s="1"/>
      <x:c r="T2117" s="1"/>
      <x:c r="U2117" s="1"/>
      <x:c r="V2117" s="1"/>
      <x:c r="W2117" s="1"/>
      <x:c r="X2117" s="1"/>
      <x:c r="Y2117" s="1"/>
      <x:c r="Z2117" s="1"/>
    </x:row>
    <x:row r="2118">
      <x:c r="A2118" s="1"/>
      <x:c r="B2118" s="1"/>
      <x:c r="C2118" s="1"/>
      <x:c r="D2118" s="1"/>
      <x:c r="E2118" s="1"/>
      <x:c r="F2118" s="1"/>
      <x:c r="G2118" s="1"/>
      <x:c r="H2118" s="1"/>
      <x:c r="I2118" s="1"/>
      <x:c r="J2118" s="1"/>
      <x:c r="K2118" s="1"/>
      <x:c r="L2118" s="1"/>
      <x:c r="M2118" s="1"/>
      <x:c r="N2118" s="1"/>
      <x:c r="O2118" s="1"/>
      <x:c r="P2118" s="1"/>
      <x:c r="Q2118" s="1"/>
      <x:c r="R2118" s="1"/>
      <x:c r="S2118" s="1"/>
      <x:c r="T2118" s="1"/>
      <x:c r="U2118" s="1"/>
      <x:c r="V2118" s="1"/>
      <x:c r="W2118" s="1"/>
      <x:c r="X2118" s="1"/>
      <x:c r="Y2118" s="1"/>
      <x:c r="Z2118" s="1"/>
    </x:row>
    <x:row r="2119">
      <x:c r="A2119" s="1"/>
      <x:c r="B2119" s="1"/>
      <x:c r="C2119" s="1"/>
      <x:c r="D2119" s="1"/>
      <x:c r="E2119" s="1"/>
      <x:c r="F2119" s="1"/>
      <x:c r="G2119" s="1"/>
      <x:c r="H2119" s="1"/>
      <x:c r="I2119" s="1"/>
      <x:c r="J2119" s="1"/>
      <x:c r="K2119" s="1"/>
      <x:c r="L2119" s="1"/>
      <x:c r="M2119" s="1"/>
      <x:c r="N2119" s="1"/>
      <x:c r="O2119" s="1"/>
      <x:c r="P2119" s="1"/>
      <x:c r="Q2119" s="1"/>
      <x:c r="R2119" s="1"/>
      <x:c r="S2119" s="1"/>
      <x:c r="T2119" s="1"/>
      <x:c r="U2119" s="1"/>
      <x:c r="V2119" s="1"/>
      <x:c r="W2119" s="1"/>
      <x:c r="X2119" s="1"/>
      <x:c r="Y2119" s="1"/>
      <x:c r="Z2119" s="1"/>
    </x:row>
    <x:row r="2120">
      <x:c r="A2120" s="1"/>
      <x:c r="B2120" s="1"/>
      <x:c r="C2120" s="1"/>
      <x:c r="D2120" s="1"/>
      <x:c r="E2120" s="1"/>
      <x:c r="F2120" s="1"/>
      <x:c r="G2120" s="1"/>
      <x:c r="H2120" s="1"/>
      <x:c r="I2120" s="1"/>
      <x:c r="J2120" s="1"/>
      <x:c r="K2120" s="1"/>
      <x:c r="L2120" s="1"/>
      <x:c r="M2120" s="1"/>
      <x:c r="N2120" s="1"/>
      <x:c r="O2120" s="1"/>
      <x:c r="P2120" s="1"/>
      <x:c r="Q2120" s="1"/>
      <x:c r="R2120" s="1"/>
      <x:c r="S2120" s="1"/>
      <x:c r="T2120" s="1"/>
      <x:c r="U2120" s="1"/>
      <x:c r="V2120" s="1"/>
      <x:c r="W2120" s="1"/>
      <x:c r="X2120" s="1"/>
      <x:c r="Y2120" s="1"/>
      <x:c r="Z2120" s="1"/>
    </x:row>
    <x:row r="2121">
      <x:c r="A2121" s="1"/>
      <x:c r="B2121" s="1"/>
      <x:c r="C2121" s="1"/>
      <x:c r="D2121" s="1"/>
      <x:c r="E2121" s="1"/>
      <x:c r="F2121" s="1"/>
      <x:c r="G2121" s="1"/>
      <x:c r="H2121" s="1"/>
      <x:c r="I2121" s="1"/>
      <x:c r="J2121" s="1"/>
      <x:c r="K2121" s="1"/>
      <x:c r="L2121" s="1"/>
      <x:c r="M2121" s="1"/>
      <x:c r="N2121" s="1"/>
      <x:c r="O2121" s="1"/>
      <x:c r="P2121" s="1"/>
      <x:c r="Q2121" s="1"/>
      <x:c r="R2121" s="1"/>
      <x:c r="S2121" s="1"/>
      <x:c r="T2121" s="1"/>
      <x:c r="U2121" s="1"/>
      <x:c r="V2121" s="1"/>
      <x:c r="W2121" s="1"/>
      <x:c r="X2121" s="1"/>
      <x:c r="Y2121" s="1"/>
      <x:c r="Z2121" s="1"/>
    </x:row>
    <x:row r="2122">
      <x:c r="A2122" s="1"/>
      <x:c r="B2122" s="1"/>
      <x:c r="C2122" s="1"/>
      <x:c r="D2122" s="1"/>
      <x:c r="E2122" s="1"/>
      <x:c r="F2122" s="1"/>
      <x:c r="G2122" s="1"/>
      <x:c r="H2122" s="1"/>
      <x:c r="I2122" s="1"/>
      <x:c r="J2122" s="1"/>
      <x:c r="K2122" s="1"/>
      <x:c r="L2122" s="1"/>
      <x:c r="M2122" s="1"/>
      <x:c r="N2122" s="1"/>
      <x:c r="O2122" s="1"/>
      <x:c r="P2122" s="1"/>
      <x:c r="Q2122" s="1"/>
      <x:c r="R2122" s="1"/>
      <x:c r="S2122" s="1"/>
      <x:c r="T2122" s="1"/>
      <x:c r="U2122" s="1"/>
      <x:c r="V2122" s="1"/>
      <x:c r="W2122" s="1"/>
      <x:c r="X2122" s="1"/>
      <x:c r="Y2122" s="1"/>
      <x:c r="Z2122" s="1"/>
    </x:row>
    <x:row r="2123">
      <x:c r="A2123" s="1"/>
      <x:c r="B2123" s="1"/>
      <x:c r="C2123" s="1"/>
      <x:c r="D2123" s="1"/>
      <x:c r="E2123" s="1"/>
      <x:c r="F2123" s="1"/>
      <x:c r="G2123" s="1"/>
      <x:c r="H2123" s="1"/>
      <x:c r="I2123" s="1"/>
      <x:c r="J2123" s="1"/>
      <x:c r="K2123" s="1"/>
      <x:c r="L2123" s="1"/>
      <x:c r="M2123" s="1"/>
      <x:c r="N2123" s="1"/>
      <x:c r="O2123" s="1"/>
      <x:c r="P2123" s="1"/>
      <x:c r="Q2123" s="1"/>
      <x:c r="R2123" s="1"/>
      <x:c r="S2123" s="1"/>
      <x:c r="T2123" s="1"/>
      <x:c r="U2123" s="1"/>
      <x:c r="V2123" s="1"/>
      <x:c r="W2123" s="1"/>
      <x:c r="X2123" s="1"/>
      <x:c r="Y2123" s="1"/>
      <x:c r="Z2123" s="1"/>
    </x:row>
    <x:row r="2124">
      <x:c r="A2124" s="1"/>
      <x:c r="B2124" s="1"/>
      <x:c r="C2124" s="1"/>
      <x:c r="D2124" s="1"/>
      <x:c r="E2124" s="1"/>
      <x:c r="F2124" s="1"/>
      <x:c r="G2124" s="1"/>
      <x:c r="H2124" s="1"/>
      <x:c r="I2124" s="1"/>
      <x:c r="J2124" s="1"/>
      <x:c r="K2124" s="1"/>
      <x:c r="L2124" s="1"/>
      <x:c r="M2124" s="1"/>
      <x:c r="N2124" s="1"/>
      <x:c r="O2124" s="1"/>
      <x:c r="P2124" s="1"/>
      <x:c r="Q2124" s="1"/>
      <x:c r="R2124" s="1"/>
      <x:c r="S2124" s="1"/>
      <x:c r="T2124" s="1"/>
      <x:c r="U2124" s="1"/>
      <x:c r="V2124" s="1"/>
      <x:c r="W2124" s="1"/>
      <x:c r="X2124" s="1"/>
      <x:c r="Y2124" s="1"/>
      <x:c r="Z2124" s="1"/>
    </x:row>
    <x:row r="2125">
      <x:c r="A2125" s="1"/>
      <x:c r="B2125" s="1"/>
      <x:c r="C2125" s="1"/>
      <x:c r="D2125" s="1"/>
      <x:c r="E2125" s="1"/>
      <x:c r="F2125" s="1"/>
      <x:c r="G2125" s="1"/>
      <x:c r="H2125" s="1"/>
      <x:c r="I2125" s="1"/>
      <x:c r="J2125" s="1"/>
      <x:c r="K2125" s="1"/>
      <x:c r="L2125" s="1"/>
      <x:c r="M2125" s="1"/>
      <x:c r="N2125" s="1"/>
      <x:c r="O2125" s="1"/>
      <x:c r="P2125" s="1"/>
      <x:c r="Q2125" s="1"/>
      <x:c r="R2125" s="1"/>
      <x:c r="S2125" s="1"/>
      <x:c r="T2125" s="1"/>
      <x:c r="U2125" s="1"/>
      <x:c r="V2125" s="1"/>
      <x:c r="W2125" s="1"/>
      <x:c r="X2125" s="1"/>
      <x:c r="Y2125" s="1"/>
      <x:c r="Z2125" s="1"/>
    </x:row>
    <x:row r="2126">
      <x:c r="A2126" s="1"/>
      <x:c r="B2126" s="1"/>
      <x:c r="C2126" s="1"/>
      <x:c r="D2126" s="1"/>
      <x:c r="E2126" s="1"/>
      <x:c r="F2126" s="1"/>
      <x:c r="G2126" s="1"/>
      <x:c r="H2126" s="1"/>
      <x:c r="I2126" s="1"/>
      <x:c r="J2126" s="1"/>
      <x:c r="K2126" s="1"/>
      <x:c r="L2126" s="1"/>
      <x:c r="M2126" s="1"/>
      <x:c r="N2126" s="1"/>
      <x:c r="O2126" s="1"/>
      <x:c r="P2126" s="1"/>
      <x:c r="Q2126" s="1"/>
      <x:c r="R2126" s="1"/>
      <x:c r="S2126" s="1"/>
      <x:c r="T2126" s="1"/>
      <x:c r="U2126" s="1"/>
      <x:c r="V2126" s="1"/>
      <x:c r="W2126" s="1"/>
      <x:c r="X2126" s="1"/>
      <x:c r="Y2126" s="1"/>
      <x:c r="Z2126" s="1"/>
    </x:row>
    <x:row r="2127">
      <x:c r="A2127" s="1"/>
      <x:c r="B2127" s="1"/>
      <x:c r="C2127" s="1"/>
      <x:c r="D2127" s="1"/>
      <x:c r="E2127" s="1"/>
      <x:c r="F2127" s="1"/>
      <x:c r="G2127" s="1"/>
      <x:c r="H2127" s="1"/>
      <x:c r="I2127" s="1"/>
      <x:c r="J2127" s="1"/>
      <x:c r="K2127" s="1"/>
      <x:c r="L2127" s="1"/>
      <x:c r="M2127" s="1"/>
      <x:c r="N2127" s="1"/>
      <x:c r="O2127" s="1"/>
      <x:c r="P2127" s="1"/>
      <x:c r="Q2127" s="1"/>
      <x:c r="R2127" s="1"/>
      <x:c r="S2127" s="1"/>
      <x:c r="T2127" s="1"/>
      <x:c r="U2127" s="1"/>
      <x:c r="V2127" s="1"/>
      <x:c r="W2127" s="1"/>
      <x:c r="X2127" s="1"/>
      <x:c r="Y2127" s="1"/>
      <x:c r="Z2127" s="1"/>
    </x:row>
    <x:row r="2128">
      <x:c r="A2128" s="1"/>
      <x:c r="B2128" s="1"/>
      <x:c r="C2128" s="1"/>
      <x:c r="D2128" s="1"/>
      <x:c r="E2128" s="1"/>
      <x:c r="F2128" s="1"/>
      <x:c r="G2128" s="1"/>
      <x:c r="H2128" s="1"/>
      <x:c r="I2128" s="1"/>
      <x:c r="J2128" s="1"/>
      <x:c r="K2128" s="1"/>
      <x:c r="L2128" s="1"/>
      <x:c r="M2128" s="1"/>
      <x:c r="N2128" s="1"/>
      <x:c r="O2128" s="1"/>
      <x:c r="P2128" s="1"/>
      <x:c r="Q2128" s="1"/>
      <x:c r="R2128" s="1"/>
      <x:c r="S2128" s="1"/>
      <x:c r="T2128" s="1"/>
      <x:c r="U2128" s="1"/>
      <x:c r="V2128" s="1"/>
      <x:c r="W2128" s="1"/>
      <x:c r="X2128" s="1"/>
      <x:c r="Y2128" s="1"/>
      <x:c r="Z2128" s="1"/>
    </x:row>
    <x:row r="2129">
      <x:c r="A2129" s="1"/>
      <x:c r="B2129" s="1"/>
      <x:c r="C2129" s="1"/>
      <x:c r="D2129" s="1"/>
      <x:c r="E2129" s="1"/>
      <x:c r="F2129" s="1"/>
      <x:c r="G2129" s="1"/>
      <x:c r="H2129" s="1"/>
      <x:c r="I2129" s="1"/>
      <x:c r="J2129" s="1"/>
      <x:c r="K2129" s="1"/>
      <x:c r="L2129" s="1"/>
      <x:c r="M2129" s="1"/>
      <x:c r="N2129" s="1"/>
      <x:c r="O2129" s="1"/>
      <x:c r="P2129" s="1"/>
      <x:c r="Q2129" s="1"/>
      <x:c r="R2129" s="1"/>
      <x:c r="S2129" s="1"/>
      <x:c r="T2129" s="1"/>
      <x:c r="U2129" s="1"/>
      <x:c r="V2129" s="1"/>
      <x:c r="W2129" s="1"/>
      <x:c r="X2129" s="1"/>
      <x:c r="Y2129" s="1"/>
      <x:c r="Z2129" s="1"/>
    </x:row>
    <x:row r="2130">
      <x:c r="A2130" s="1"/>
      <x:c r="B2130" s="1"/>
      <x:c r="C2130" s="1"/>
      <x:c r="D2130" s="1"/>
      <x:c r="E2130" s="1"/>
      <x:c r="F2130" s="1"/>
      <x:c r="G2130" s="1"/>
      <x:c r="H2130" s="1"/>
      <x:c r="I2130" s="1"/>
      <x:c r="J2130" s="1"/>
      <x:c r="K2130" s="1"/>
      <x:c r="L2130" s="1"/>
      <x:c r="M2130" s="1"/>
      <x:c r="N2130" s="1"/>
      <x:c r="O2130" s="1"/>
      <x:c r="P2130" s="1"/>
      <x:c r="Q2130" s="1"/>
      <x:c r="R2130" s="1"/>
      <x:c r="S2130" s="1"/>
      <x:c r="T2130" s="1"/>
      <x:c r="U2130" s="1"/>
      <x:c r="V2130" s="1"/>
      <x:c r="W2130" s="1"/>
      <x:c r="X2130" s="1"/>
      <x:c r="Y2130" s="1"/>
      <x:c r="Z2130" s="1"/>
    </x:row>
    <x:row r="2131">
      <x:c r="A2131" s="1"/>
      <x:c r="B2131" s="1"/>
      <x:c r="C2131" s="1"/>
      <x:c r="D2131" s="1"/>
      <x:c r="E2131" s="1"/>
      <x:c r="F2131" s="1"/>
      <x:c r="G2131" s="1"/>
      <x:c r="H2131" s="1"/>
      <x:c r="I2131" s="1"/>
      <x:c r="J2131" s="1"/>
      <x:c r="K2131" s="1"/>
      <x:c r="L2131" s="1"/>
      <x:c r="M2131" s="1"/>
      <x:c r="N2131" s="1"/>
      <x:c r="O2131" s="1"/>
      <x:c r="P2131" s="1"/>
      <x:c r="Q2131" s="1"/>
      <x:c r="R2131" s="1"/>
      <x:c r="S2131" s="1"/>
      <x:c r="T2131" s="1"/>
      <x:c r="U2131" s="1"/>
      <x:c r="V2131" s="1"/>
      <x:c r="W2131" s="1"/>
      <x:c r="X2131" s="1"/>
      <x:c r="Y2131" s="1"/>
      <x:c r="Z2131" s="1"/>
    </x:row>
    <x:row r="2132">
      <x:c r="A2132" s="1"/>
      <x:c r="B2132" s="1"/>
      <x:c r="C2132" s="1"/>
      <x:c r="D2132" s="1"/>
      <x:c r="E2132" s="1"/>
      <x:c r="F2132" s="1"/>
      <x:c r="G2132" s="1"/>
      <x:c r="H2132" s="1"/>
      <x:c r="I2132" s="1"/>
      <x:c r="J2132" s="1"/>
      <x:c r="K2132" s="1"/>
      <x:c r="L2132" s="1"/>
      <x:c r="M2132" s="1"/>
      <x:c r="N2132" s="1"/>
      <x:c r="O2132" s="1"/>
      <x:c r="P2132" s="1"/>
      <x:c r="Q2132" s="1"/>
      <x:c r="R2132" s="1"/>
      <x:c r="S2132" s="1"/>
      <x:c r="T2132" s="1"/>
      <x:c r="U2132" s="1"/>
      <x:c r="V2132" s="1"/>
      <x:c r="W2132" s="1"/>
      <x:c r="X2132" s="1"/>
      <x:c r="Y2132" s="1"/>
      <x:c r="Z2132" s="1"/>
    </x:row>
    <x:row r="2133">
      <x:c r="A2133" s="1"/>
      <x:c r="B2133" s="1"/>
      <x:c r="C2133" s="1"/>
      <x:c r="D2133" s="1"/>
      <x:c r="E2133" s="1"/>
      <x:c r="F2133" s="1"/>
      <x:c r="G2133" s="1"/>
      <x:c r="H2133" s="1"/>
      <x:c r="I2133" s="1"/>
      <x:c r="J2133" s="1"/>
      <x:c r="K2133" s="1"/>
      <x:c r="L2133" s="1"/>
      <x:c r="M2133" s="1"/>
      <x:c r="N2133" s="1"/>
      <x:c r="O2133" s="1"/>
      <x:c r="P2133" s="1"/>
      <x:c r="Q2133" s="1"/>
      <x:c r="R2133" s="1"/>
      <x:c r="S2133" s="1"/>
      <x:c r="T2133" s="1"/>
      <x:c r="U2133" s="1"/>
      <x:c r="V2133" s="1"/>
      <x:c r="W2133" s="1"/>
      <x:c r="X2133" s="1"/>
      <x:c r="Y2133" s="1"/>
      <x:c r="Z2133" s="1"/>
    </x:row>
    <x:row r="2134">
      <x:c r="A2134" s="1"/>
      <x:c r="B2134" s="1"/>
      <x:c r="C2134" s="1"/>
      <x:c r="D2134" s="1"/>
      <x:c r="E2134" s="1"/>
      <x:c r="F2134" s="1"/>
      <x:c r="G2134" s="1"/>
      <x:c r="H2134" s="1"/>
      <x:c r="I2134" s="1"/>
      <x:c r="J2134" s="1"/>
      <x:c r="K2134" s="1"/>
      <x:c r="L2134" s="1"/>
      <x:c r="M2134" s="1"/>
      <x:c r="N2134" s="1"/>
      <x:c r="O2134" s="1"/>
      <x:c r="P2134" s="1"/>
      <x:c r="Q2134" s="1"/>
      <x:c r="R2134" s="1"/>
      <x:c r="S2134" s="1"/>
      <x:c r="T2134" s="1"/>
      <x:c r="U2134" s="1"/>
      <x:c r="V2134" s="1"/>
      <x:c r="W2134" s="1"/>
      <x:c r="X2134" s="1"/>
      <x:c r="Y2134" s="1"/>
      <x:c r="Z2134" s="1"/>
    </x:row>
    <x:row r="2135">
      <x:c r="A2135" s="1"/>
      <x:c r="B2135" s="1"/>
      <x:c r="C2135" s="1"/>
      <x:c r="D2135" s="1"/>
      <x:c r="E2135" s="1"/>
      <x:c r="F2135" s="1"/>
      <x:c r="G2135" s="1"/>
      <x:c r="H2135" s="1"/>
      <x:c r="I2135" s="1"/>
      <x:c r="J2135" s="1"/>
      <x:c r="K2135" s="1"/>
      <x:c r="L2135" s="1"/>
      <x:c r="M2135" s="1"/>
      <x:c r="N2135" s="1"/>
      <x:c r="O2135" s="1"/>
      <x:c r="P2135" s="1"/>
      <x:c r="Q2135" s="1"/>
      <x:c r="R2135" s="1"/>
      <x:c r="S2135" s="1"/>
      <x:c r="T2135" s="1"/>
      <x:c r="U2135" s="1"/>
      <x:c r="V2135" s="1"/>
      <x:c r="W2135" s="1"/>
      <x:c r="X2135" s="1"/>
      <x:c r="Y2135" s="1"/>
      <x:c r="Z2135" s="1"/>
    </x:row>
    <x:row r="2136">
      <x:c r="A2136" s="1"/>
      <x:c r="B2136" s="1"/>
      <x:c r="C2136" s="1"/>
      <x:c r="D2136" s="1"/>
      <x:c r="E2136" s="1"/>
      <x:c r="F2136" s="1"/>
      <x:c r="G2136" s="1"/>
      <x:c r="H2136" s="1"/>
      <x:c r="I2136" s="1"/>
      <x:c r="J2136" s="1"/>
      <x:c r="K2136" s="1"/>
      <x:c r="L2136" s="1"/>
      <x:c r="M2136" s="1"/>
      <x:c r="N2136" s="1"/>
      <x:c r="O2136" s="1"/>
      <x:c r="P2136" s="1"/>
      <x:c r="Q2136" s="1"/>
      <x:c r="R2136" s="1"/>
      <x:c r="S2136" s="1"/>
      <x:c r="T2136" s="1"/>
      <x:c r="U2136" s="1"/>
      <x:c r="V2136" s="1"/>
      <x:c r="W2136" s="1"/>
      <x:c r="X2136" s="1"/>
      <x:c r="Y2136" s="1"/>
      <x:c r="Z2136" s="1"/>
    </x:row>
    <x:row r="2137">
      <x:c r="A2137" s="1"/>
      <x:c r="B2137" s="1"/>
      <x:c r="C2137" s="1"/>
      <x:c r="D2137" s="1"/>
      <x:c r="E2137" s="1"/>
      <x:c r="F2137" s="1"/>
      <x:c r="G2137" s="1"/>
      <x:c r="H2137" s="1"/>
      <x:c r="I2137" s="1"/>
      <x:c r="J2137" s="1"/>
      <x:c r="K2137" s="1"/>
      <x:c r="L2137" s="1"/>
      <x:c r="M2137" s="1"/>
      <x:c r="N2137" s="1"/>
      <x:c r="O2137" s="1"/>
      <x:c r="P2137" s="1"/>
      <x:c r="Q2137" s="1"/>
      <x:c r="R2137" s="1"/>
      <x:c r="S2137" s="1"/>
      <x:c r="T2137" s="1"/>
      <x:c r="U2137" s="1"/>
      <x:c r="V2137" s="1"/>
      <x:c r="W2137" s="1"/>
      <x:c r="X2137" s="1"/>
      <x:c r="Y2137" s="1"/>
      <x:c r="Z2137" s="1"/>
    </x:row>
    <x:row r="2138">
      <x:c r="A2138" s="1"/>
      <x:c r="B2138" s="1"/>
      <x:c r="C2138" s="1"/>
      <x:c r="D2138" s="1"/>
      <x:c r="E2138" s="1"/>
      <x:c r="F2138" s="1"/>
      <x:c r="G2138" s="1"/>
      <x:c r="H2138" s="1"/>
      <x:c r="I2138" s="1"/>
      <x:c r="J2138" s="1"/>
      <x:c r="K2138" s="1"/>
      <x:c r="L2138" s="1"/>
      <x:c r="M2138" s="1"/>
      <x:c r="N2138" s="1"/>
      <x:c r="O2138" s="1"/>
      <x:c r="P2138" s="1"/>
      <x:c r="Q2138" s="1"/>
      <x:c r="R2138" s="1"/>
      <x:c r="S2138" s="1"/>
      <x:c r="T2138" s="1"/>
      <x:c r="U2138" s="1"/>
      <x:c r="V2138" s="1"/>
      <x:c r="W2138" s="1"/>
      <x:c r="X2138" s="1"/>
      <x:c r="Y2138" s="1"/>
      <x:c r="Z2138" s="1"/>
    </x:row>
    <x:row r="2139">
      <x:c r="A2139" s="1"/>
      <x:c r="B2139" s="1"/>
      <x:c r="C2139" s="1"/>
      <x:c r="D2139" s="1"/>
      <x:c r="E2139" s="1"/>
      <x:c r="F2139" s="1"/>
      <x:c r="G2139" s="1"/>
      <x:c r="H2139" s="1"/>
      <x:c r="I2139" s="1"/>
      <x:c r="J2139" s="1"/>
      <x:c r="K2139" s="1"/>
      <x:c r="L2139" s="1"/>
      <x:c r="M2139" s="1"/>
      <x:c r="N2139" s="1"/>
      <x:c r="O2139" s="1"/>
      <x:c r="P2139" s="1"/>
      <x:c r="Q2139" s="1"/>
      <x:c r="R2139" s="1"/>
      <x:c r="S2139" s="1"/>
      <x:c r="T2139" s="1"/>
      <x:c r="U2139" s="1"/>
      <x:c r="V2139" s="1"/>
      <x:c r="W2139" s="1"/>
      <x:c r="X2139" s="1"/>
      <x:c r="Y2139" s="1"/>
      <x:c r="Z2139" s="1"/>
    </x:row>
    <x:row r="2140">
      <x:c r="A2140" s="1"/>
      <x:c r="B2140" s="1"/>
      <x:c r="C2140" s="1"/>
      <x:c r="D2140" s="1"/>
      <x:c r="E2140" s="1"/>
      <x:c r="F2140" s="1"/>
      <x:c r="G2140" s="1"/>
      <x:c r="H2140" s="1"/>
      <x:c r="I2140" s="1"/>
      <x:c r="J2140" s="1"/>
      <x:c r="K2140" s="1"/>
      <x:c r="L2140" s="1"/>
      <x:c r="M2140" s="1"/>
      <x:c r="N2140" s="1"/>
      <x:c r="O2140" s="1"/>
      <x:c r="P2140" s="1"/>
      <x:c r="Q2140" s="1"/>
      <x:c r="R2140" s="1"/>
      <x:c r="S2140" s="1"/>
      <x:c r="T2140" s="1"/>
      <x:c r="U2140" s="1"/>
      <x:c r="V2140" s="1"/>
      <x:c r="W2140" s="1"/>
      <x:c r="X2140" s="1"/>
      <x:c r="Y2140" s="1"/>
      <x:c r="Z2140" s="1"/>
    </x:row>
    <x:row r="2141">
      <x:c r="A2141" s="1"/>
      <x:c r="B2141" s="1"/>
      <x:c r="C2141" s="1"/>
      <x:c r="D2141" s="1"/>
      <x:c r="E2141" s="1"/>
      <x:c r="F2141" s="1"/>
      <x:c r="G2141" s="1"/>
      <x:c r="H2141" s="1"/>
      <x:c r="I2141" s="1"/>
      <x:c r="J2141" s="1"/>
      <x:c r="K2141" s="1"/>
      <x:c r="L2141" s="1"/>
      <x:c r="M2141" s="1"/>
      <x:c r="N2141" s="1"/>
      <x:c r="O2141" s="1"/>
      <x:c r="P2141" s="1"/>
      <x:c r="Q2141" s="1"/>
      <x:c r="R2141" s="1"/>
      <x:c r="S2141" s="1"/>
      <x:c r="T2141" s="1"/>
      <x:c r="U2141" s="1"/>
      <x:c r="V2141" s="1"/>
      <x:c r="W2141" s="1"/>
      <x:c r="X2141" s="1"/>
      <x:c r="Y2141" s="1"/>
      <x:c r="Z2141" s="1"/>
    </x:row>
    <x:row r="2142">
      <x:c r="A2142" s="1"/>
      <x:c r="B2142" s="1"/>
      <x:c r="C2142" s="1"/>
      <x:c r="D2142" s="1"/>
      <x:c r="E2142" s="1"/>
      <x:c r="F2142" s="1"/>
      <x:c r="G2142" s="1"/>
      <x:c r="H2142" s="1"/>
      <x:c r="I2142" s="1"/>
      <x:c r="J2142" s="1"/>
      <x:c r="K2142" s="1"/>
      <x:c r="L2142" s="1"/>
      <x:c r="M2142" s="1"/>
      <x:c r="N2142" s="1"/>
      <x:c r="O2142" s="1"/>
      <x:c r="P2142" s="1"/>
      <x:c r="Q2142" s="1"/>
      <x:c r="R2142" s="1"/>
      <x:c r="S2142" s="1"/>
      <x:c r="T2142" s="1"/>
      <x:c r="U2142" s="1"/>
      <x:c r="V2142" s="1"/>
      <x:c r="W2142" s="1"/>
      <x:c r="X2142" s="1"/>
      <x:c r="Y2142" s="1"/>
      <x:c r="Z2142" s="1"/>
    </x:row>
    <x:row r="2143">
      <x:c r="A2143" s="1"/>
      <x:c r="B2143" s="1"/>
      <x:c r="C2143" s="1"/>
      <x:c r="D2143" s="1"/>
      <x:c r="E2143" s="1"/>
      <x:c r="F2143" s="1"/>
      <x:c r="G2143" s="1"/>
      <x:c r="H2143" s="1"/>
      <x:c r="I2143" s="1"/>
      <x:c r="J2143" s="1"/>
      <x:c r="K2143" s="1"/>
      <x:c r="L2143" s="1"/>
      <x:c r="M2143" s="1"/>
      <x:c r="N2143" s="1"/>
      <x:c r="O2143" s="1"/>
      <x:c r="P2143" s="1"/>
      <x:c r="Q2143" s="1"/>
      <x:c r="R2143" s="1"/>
      <x:c r="S2143" s="1"/>
      <x:c r="T2143" s="1"/>
      <x:c r="U2143" s="1"/>
      <x:c r="V2143" s="1"/>
      <x:c r="W2143" s="1"/>
      <x:c r="X2143" s="1"/>
      <x:c r="Y2143" s="1"/>
      <x:c r="Z2143" s="1"/>
    </x:row>
    <x:row r="2144">
      <x:c r="A2144" s="1"/>
      <x:c r="B2144" s="1"/>
      <x:c r="C2144" s="1"/>
      <x:c r="D2144" s="1"/>
      <x:c r="E2144" s="1"/>
      <x:c r="F2144" s="1"/>
      <x:c r="G2144" s="1"/>
      <x:c r="H2144" s="1"/>
      <x:c r="I2144" s="1"/>
      <x:c r="J2144" s="1"/>
      <x:c r="K2144" s="1"/>
      <x:c r="L2144" s="1"/>
      <x:c r="M2144" s="1"/>
      <x:c r="N2144" s="1"/>
      <x:c r="O2144" s="1"/>
      <x:c r="P2144" s="1"/>
      <x:c r="Q2144" s="1"/>
      <x:c r="R2144" s="1"/>
      <x:c r="S2144" s="1"/>
      <x:c r="T2144" s="1"/>
      <x:c r="U2144" s="1"/>
      <x:c r="V2144" s="1"/>
      <x:c r="W2144" s="1"/>
      <x:c r="X2144" s="1"/>
      <x:c r="Y2144" s="1"/>
      <x:c r="Z2144" s="1"/>
    </x:row>
    <x:row r="2145">
      <x:c r="A2145" s="1"/>
      <x:c r="B2145" s="1"/>
      <x:c r="C2145" s="1"/>
      <x:c r="D2145" s="1"/>
      <x:c r="E2145" s="1"/>
      <x:c r="F2145" s="1"/>
      <x:c r="G2145" s="1"/>
      <x:c r="H2145" s="1"/>
      <x:c r="I2145" s="1"/>
      <x:c r="J2145" s="1"/>
      <x:c r="K2145" s="1"/>
      <x:c r="L2145" s="1"/>
      <x:c r="M2145" s="1"/>
      <x:c r="N2145" s="1"/>
      <x:c r="O2145" s="1"/>
      <x:c r="P2145" s="1"/>
      <x:c r="Q2145" s="1"/>
      <x:c r="R2145" s="1"/>
      <x:c r="S2145" s="1"/>
      <x:c r="T2145" s="1"/>
      <x:c r="U2145" s="1"/>
      <x:c r="V2145" s="1"/>
      <x:c r="W2145" s="1"/>
      <x:c r="X2145" s="1"/>
      <x:c r="Y2145" s="1"/>
      <x:c r="Z2145" s="1"/>
    </x:row>
    <x:row r="2146">
      <x:c r="A2146" s="1"/>
      <x:c r="B2146" s="1"/>
      <x:c r="C2146" s="1"/>
      <x:c r="D2146" s="1"/>
      <x:c r="E2146" s="1"/>
      <x:c r="F2146" s="1"/>
      <x:c r="G2146" s="1"/>
      <x:c r="H2146" s="1"/>
      <x:c r="I2146" s="1"/>
      <x:c r="J2146" s="1"/>
      <x:c r="K2146" s="1"/>
      <x:c r="L2146" s="1"/>
      <x:c r="M2146" s="1"/>
      <x:c r="N2146" s="1"/>
      <x:c r="O2146" s="1"/>
      <x:c r="P2146" s="1"/>
      <x:c r="Q2146" s="1"/>
      <x:c r="R2146" s="1"/>
      <x:c r="S2146" s="1"/>
      <x:c r="T2146" s="1"/>
      <x:c r="U2146" s="1"/>
      <x:c r="V2146" s="1"/>
      <x:c r="W2146" s="1"/>
      <x:c r="X2146" s="1"/>
      <x:c r="Y2146" s="1"/>
      <x:c r="Z2146" s="1"/>
    </x:row>
    <x:row r="2147">
      <x:c r="A2147" s="1"/>
      <x:c r="B2147" s="1"/>
      <x:c r="C2147" s="1"/>
      <x:c r="D2147" s="1"/>
      <x:c r="E2147" s="1"/>
      <x:c r="F2147" s="1"/>
      <x:c r="G2147" s="1"/>
      <x:c r="H2147" s="1"/>
      <x:c r="I2147" s="1"/>
      <x:c r="J2147" s="1"/>
      <x:c r="K2147" s="1"/>
      <x:c r="L2147" s="1"/>
      <x:c r="M2147" s="1"/>
      <x:c r="N2147" s="1"/>
      <x:c r="O2147" s="1"/>
      <x:c r="P2147" s="1"/>
      <x:c r="Q2147" s="1"/>
      <x:c r="R2147" s="1"/>
      <x:c r="S2147" s="1"/>
      <x:c r="T2147" s="1"/>
      <x:c r="U2147" s="1"/>
      <x:c r="V2147" s="1"/>
      <x:c r="W2147" s="1"/>
      <x:c r="X2147" s="1"/>
      <x:c r="Y2147" s="1"/>
      <x:c r="Z2147" s="1"/>
    </x:row>
    <x:row r="2148">
      <x:c r="A2148" s="1"/>
      <x:c r="B2148" s="1"/>
      <x:c r="C2148" s="1"/>
      <x:c r="D2148" s="1"/>
      <x:c r="E2148" s="1"/>
      <x:c r="F2148" s="1"/>
      <x:c r="G2148" s="1"/>
      <x:c r="H2148" s="1"/>
      <x:c r="I2148" s="1"/>
      <x:c r="J2148" s="1"/>
      <x:c r="K2148" s="1"/>
      <x:c r="L2148" s="1"/>
      <x:c r="M2148" s="1"/>
      <x:c r="N2148" s="1"/>
      <x:c r="O2148" s="1"/>
      <x:c r="P2148" s="1"/>
      <x:c r="Q2148" s="1"/>
      <x:c r="R2148" s="1"/>
      <x:c r="S2148" s="1"/>
      <x:c r="T2148" s="1"/>
      <x:c r="U2148" s="1"/>
      <x:c r="V2148" s="1"/>
      <x:c r="W2148" s="1"/>
      <x:c r="X2148" s="1"/>
      <x:c r="Y2148" s="1"/>
      <x:c r="Z2148" s="1"/>
    </x:row>
    <x:row r="2149">
      <x:c r="A2149" s="1"/>
      <x:c r="B2149" s="1"/>
      <x:c r="C2149" s="1"/>
      <x:c r="D2149" s="1"/>
      <x:c r="E2149" s="1"/>
      <x:c r="F2149" s="1"/>
      <x:c r="G2149" s="1"/>
      <x:c r="H2149" s="1"/>
      <x:c r="I2149" s="1"/>
      <x:c r="J2149" s="1"/>
      <x:c r="K2149" s="1"/>
      <x:c r="L2149" s="1"/>
      <x:c r="M2149" s="1"/>
      <x:c r="N2149" s="1"/>
      <x:c r="O2149" s="1"/>
      <x:c r="P2149" s="1"/>
      <x:c r="Q2149" s="1"/>
      <x:c r="R2149" s="1"/>
      <x:c r="S2149" s="1"/>
      <x:c r="T2149" s="1"/>
      <x:c r="U2149" s="1"/>
      <x:c r="V2149" s="1"/>
      <x:c r="W2149" s="1"/>
      <x:c r="X2149" s="1"/>
      <x:c r="Y2149" s="1"/>
      <x:c r="Z2149" s="1"/>
    </x:row>
    <x:row r="2150">
      <x:c r="A2150" s="1"/>
      <x:c r="B2150" s="1"/>
      <x:c r="C2150" s="1"/>
      <x:c r="D2150" s="1"/>
      <x:c r="E2150" s="1"/>
      <x:c r="F2150" s="1"/>
      <x:c r="G2150" s="1"/>
      <x:c r="H2150" s="1"/>
      <x:c r="I2150" s="1"/>
      <x:c r="J2150" s="1"/>
      <x:c r="K2150" s="1"/>
      <x:c r="L2150" s="1"/>
      <x:c r="M2150" s="1"/>
      <x:c r="N2150" s="1"/>
      <x:c r="O2150" s="1"/>
      <x:c r="P2150" s="1"/>
      <x:c r="Q2150" s="1"/>
      <x:c r="R2150" s="1"/>
      <x:c r="S2150" s="1"/>
      <x:c r="T2150" s="1"/>
      <x:c r="U2150" s="1"/>
      <x:c r="V2150" s="1"/>
      <x:c r="W2150" s="1"/>
      <x:c r="X2150" s="1"/>
      <x:c r="Y2150" s="1"/>
      <x:c r="Z2150" s="1"/>
    </x:row>
    <x:row r="2151">
      <x:c r="A2151" s="1"/>
      <x:c r="B2151" s="1"/>
      <x:c r="C2151" s="1"/>
      <x:c r="D2151" s="1"/>
      <x:c r="E2151" s="1"/>
      <x:c r="F2151" s="1"/>
      <x:c r="G2151" s="1"/>
      <x:c r="H2151" s="1"/>
      <x:c r="I2151" s="1"/>
      <x:c r="J2151" s="1"/>
      <x:c r="K2151" s="1"/>
      <x:c r="L2151" s="1"/>
      <x:c r="M2151" s="1"/>
      <x:c r="N2151" s="1"/>
      <x:c r="O2151" s="1"/>
      <x:c r="P2151" s="1"/>
      <x:c r="Q2151" s="1"/>
      <x:c r="R2151" s="1"/>
      <x:c r="S2151" s="1"/>
      <x:c r="T2151" s="1"/>
      <x:c r="U2151" s="1"/>
      <x:c r="V2151" s="1"/>
      <x:c r="W2151" s="1"/>
      <x:c r="X2151" s="1"/>
      <x:c r="Y2151" s="1"/>
      <x:c r="Z2151" s="1"/>
    </x:row>
    <x:row r="2152">
      <x:c r="A2152" s="1"/>
      <x:c r="B2152" s="1"/>
      <x:c r="C2152" s="1"/>
      <x:c r="D2152" s="1"/>
      <x:c r="E2152" s="1"/>
      <x:c r="F2152" s="1"/>
      <x:c r="G2152" s="1"/>
      <x:c r="H2152" s="1"/>
      <x:c r="I2152" s="1"/>
      <x:c r="J2152" s="1"/>
      <x:c r="K2152" s="1"/>
      <x:c r="L2152" s="1"/>
      <x:c r="M2152" s="1"/>
      <x:c r="N2152" s="1"/>
      <x:c r="O2152" s="1"/>
      <x:c r="P2152" s="1"/>
      <x:c r="Q2152" s="1"/>
      <x:c r="R2152" s="1"/>
      <x:c r="S2152" s="1"/>
      <x:c r="T2152" s="1"/>
      <x:c r="U2152" s="1"/>
      <x:c r="V2152" s="1"/>
      <x:c r="W2152" s="1"/>
      <x:c r="X2152" s="1"/>
      <x:c r="Y2152" s="1"/>
      <x:c r="Z2152" s="1"/>
    </x:row>
    <x:row r="2153">
      <x:c r="A2153" s="1"/>
      <x:c r="B2153" s="1"/>
      <x:c r="C2153" s="1"/>
      <x:c r="D2153" s="1"/>
      <x:c r="E2153" s="1"/>
      <x:c r="F2153" s="1"/>
      <x:c r="G2153" s="1"/>
      <x:c r="H2153" s="1"/>
      <x:c r="I2153" s="1"/>
      <x:c r="J2153" s="1"/>
      <x:c r="K2153" s="1"/>
      <x:c r="L2153" s="1"/>
      <x:c r="M2153" s="1"/>
      <x:c r="N2153" s="1"/>
      <x:c r="O2153" s="1"/>
      <x:c r="P2153" s="1"/>
      <x:c r="Q2153" s="1"/>
      <x:c r="R2153" s="1"/>
      <x:c r="S2153" s="1"/>
      <x:c r="T2153" s="1"/>
      <x:c r="U2153" s="1"/>
      <x:c r="V2153" s="1"/>
      <x:c r="W2153" s="1"/>
      <x:c r="X2153" s="1"/>
      <x:c r="Y2153" s="1"/>
      <x:c r="Z2153" s="1"/>
    </x:row>
    <x:row r="2154">
      <x:c r="A2154" s="1"/>
      <x:c r="B2154" s="1"/>
      <x:c r="C2154" s="1"/>
      <x:c r="D2154" s="1"/>
      <x:c r="E2154" s="1"/>
      <x:c r="F2154" s="1"/>
      <x:c r="G2154" s="1"/>
      <x:c r="H2154" s="1"/>
      <x:c r="I2154" s="1"/>
      <x:c r="J2154" s="1"/>
      <x:c r="K2154" s="1"/>
      <x:c r="L2154" s="1"/>
      <x:c r="M2154" s="1"/>
      <x:c r="N2154" s="1"/>
      <x:c r="O2154" s="1"/>
      <x:c r="P2154" s="1"/>
      <x:c r="Q2154" s="1"/>
      <x:c r="R2154" s="1"/>
      <x:c r="S2154" s="1"/>
      <x:c r="T2154" s="1"/>
      <x:c r="U2154" s="1"/>
      <x:c r="V2154" s="1"/>
      <x:c r="W2154" s="1"/>
      <x:c r="X2154" s="1"/>
      <x:c r="Y2154" s="1"/>
      <x:c r="Z2154" s="1"/>
    </x:row>
    <x:row r="2155">
      <x:c r="A2155" s="1"/>
      <x:c r="B2155" s="1"/>
      <x:c r="C2155" s="1"/>
      <x:c r="D2155" s="1"/>
      <x:c r="E2155" s="1"/>
      <x:c r="F2155" s="1"/>
      <x:c r="G2155" s="1"/>
      <x:c r="H2155" s="1"/>
      <x:c r="I2155" s="1"/>
      <x:c r="J2155" s="1"/>
      <x:c r="K2155" s="1"/>
      <x:c r="L2155" s="1"/>
      <x:c r="M2155" s="1"/>
      <x:c r="N2155" s="1"/>
      <x:c r="O2155" s="1"/>
      <x:c r="P2155" s="1"/>
      <x:c r="Q2155" s="1"/>
      <x:c r="R2155" s="1"/>
      <x:c r="S2155" s="1"/>
      <x:c r="T2155" s="1"/>
      <x:c r="U2155" s="1"/>
      <x:c r="V2155" s="1"/>
      <x:c r="W2155" s="1"/>
      <x:c r="X2155" s="1"/>
      <x:c r="Y2155" s="1"/>
      <x:c r="Z2155" s="1"/>
    </x:row>
    <x:row r="2156">
      <x:c r="A2156" s="1"/>
      <x:c r="B2156" s="1"/>
      <x:c r="C2156" s="1"/>
      <x:c r="D2156" s="1"/>
      <x:c r="E2156" s="1"/>
      <x:c r="F2156" s="1"/>
      <x:c r="G2156" s="1"/>
      <x:c r="H2156" s="1"/>
      <x:c r="I2156" s="1"/>
      <x:c r="J2156" s="1"/>
      <x:c r="K2156" s="1"/>
      <x:c r="L2156" s="1"/>
      <x:c r="M2156" s="1"/>
      <x:c r="N2156" s="1"/>
      <x:c r="O2156" s="1"/>
      <x:c r="P2156" s="1"/>
      <x:c r="Q2156" s="1"/>
      <x:c r="R2156" s="1"/>
      <x:c r="S2156" s="1"/>
      <x:c r="T2156" s="1"/>
      <x:c r="U2156" s="1"/>
      <x:c r="V2156" s="1"/>
      <x:c r="W2156" s="1"/>
      <x:c r="X2156" s="1"/>
      <x:c r="Y2156" s="1"/>
      <x:c r="Z2156" s="1"/>
    </x:row>
    <x:row r="2157">
      <x:c r="A2157" s="1"/>
      <x:c r="B2157" s="1"/>
      <x:c r="C2157" s="1"/>
      <x:c r="D2157" s="1"/>
      <x:c r="E2157" s="1"/>
      <x:c r="F2157" s="1"/>
      <x:c r="G2157" s="1"/>
      <x:c r="H2157" s="1"/>
      <x:c r="I2157" s="1"/>
      <x:c r="J2157" s="1"/>
      <x:c r="K2157" s="1"/>
      <x:c r="L2157" s="1"/>
      <x:c r="M2157" s="1"/>
      <x:c r="N2157" s="1"/>
      <x:c r="O2157" s="1"/>
      <x:c r="P2157" s="1"/>
      <x:c r="Q2157" s="1"/>
      <x:c r="R2157" s="1"/>
      <x:c r="S2157" s="1"/>
      <x:c r="T2157" s="1"/>
      <x:c r="U2157" s="1"/>
      <x:c r="V2157" s="1"/>
      <x:c r="W2157" s="1"/>
      <x:c r="X2157" s="1"/>
      <x:c r="Y2157" s="1"/>
      <x:c r="Z2157" s="1"/>
    </x:row>
    <x:row r="2158">
      <x:c r="A2158" s="1"/>
      <x:c r="B2158" s="1"/>
      <x:c r="C2158" s="1"/>
      <x:c r="D2158" s="1"/>
      <x:c r="E2158" s="1"/>
      <x:c r="F2158" s="1"/>
      <x:c r="G2158" s="1"/>
      <x:c r="H2158" s="1"/>
      <x:c r="I2158" s="1"/>
      <x:c r="J2158" s="1"/>
      <x:c r="K2158" s="1"/>
      <x:c r="L2158" s="1"/>
      <x:c r="M2158" s="1"/>
      <x:c r="N2158" s="1"/>
      <x:c r="O2158" s="1"/>
      <x:c r="P2158" s="1"/>
      <x:c r="Q2158" s="1"/>
      <x:c r="R2158" s="1"/>
      <x:c r="S2158" s="1"/>
      <x:c r="T2158" s="1"/>
      <x:c r="U2158" s="1"/>
      <x:c r="V2158" s="1"/>
      <x:c r="W2158" s="1"/>
      <x:c r="X2158" s="1"/>
      <x:c r="Y2158" s="1"/>
      <x:c r="Z2158" s="1"/>
    </x:row>
    <x:row r="2159">
      <x:c r="A2159" s="1"/>
      <x:c r="B2159" s="1"/>
      <x:c r="C2159" s="1"/>
      <x:c r="D2159" s="1"/>
      <x:c r="E2159" s="1"/>
      <x:c r="F2159" s="1"/>
      <x:c r="G2159" s="1"/>
      <x:c r="H2159" s="1"/>
      <x:c r="I2159" s="1"/>
      <x:c r="J2159" s="1"/>
      <x:c r="K2159" s="1"/>
      <x:c r="L2159" s="1"/>
      <x:c r="M2159" s="1"/>
      <x:c r="N2159" s="1"/>
      <x:c r="O2159" s="1"/>
      <x:c r="P2159" s="1"/>
      <x:c r="Q2159" s="1"/>
      <x:c r="R2159" s="1"/>
      <x:c r="S2159" s="1"/>
      <x:c r="T2159" s="1"/>
      <x:c r="U2159" s="1"/>
      <x:c r="V2159" s="1"/>
      <x:c r="W2159" s="1"/>
      <x:c r="X2159" s="1"/>
      <x:c r="Y2159" s="1"/>
      <x:c r="Z2159" s="1"/>
    </x:row>
    <x:row r="2160">
      <x:c r="A2160" s="1"/>
      <x:c r="B2160" s="1"/>
      <x:c r="C2160" s="1"/>
      <x:c r="D2160" s="1"/>
      <x:c r="E2160" s="1"/>
      <x:c r="F2160" s="1"/>
      <x:c r="G2160" s="1"/>
      <x:c r="H2160" s="1"/>
      <x:c r="I2160" s="1"/>
      <x:c r="J2160" s="1"/>
      <x:c r="K2160" s="1"/>
      <x:c r="L2160" s="1"/>
      <x:c r="M2160" s="1"/>
      <x:c r="N2160" s="1"/>
      <x:c r="O2160" s="1"/>
      <x:c r="P2160" s="1"/>
      <x:c r="Q2160" s="1"/>
      <x:c r="R2160" s="1"/>
      <x:c r="S2160" s="1"/>
      <x:c r="T2160" s="1"/>
      <x:c r="U2160" s="1"/>
      <x:c r="V2160" s="1"/>
      <x:c r="W2160" s="1"/>
      <x:c r="X2160" s="1"/>
      <x:c r="Y2160" s="1"/>
      <x:c r="Z2160" s="1"/>
    </x:row>
    <x:row r="2161">
      <x:c r="A2161" s="1"/>
      <x:c r="B2161" s="1"/>
      <x:c r="C2161" s="1"/>
      <x:c r="D2161" s="1"/>
      <x:c r="E2161" s="1"/>
      <x:c r="F2161" s="1"/>
      <x:c r="G2161" s="1"/>
      <x:c r="H2161" s="1"/>
      <x:c r="I2161" s="1"/>
      <x:c r="J2161" s="1"/>
      <x:c r="K2161" s="1"/>
      <x:c r="L2161" s="1"/>
      <x:c r="M2161" s="1"/>
      <x:c r="N2161" s="1"/>
      <x:c r="O2161" s="1"/>
      <x:c r="P2161" s="1"/>
      <x:c r="Q2161" s="1"/>
      <x:c r="R2161" s="1"/>
      <x:c r="S2161" s="1"/>
      <x:c r="T2161" s="1"/>
      <x:c r="U2161" s="1"/>
      <x:c r="V2161" s="1"/>
      <x:c r="W2161" s="1"/>
      <x:c r="X2161" s="1"/>
      <x:c r="Y2161" s="1"/>
      <x:c r="Z2161" s="1"/>
    </x:row>
    <x:row r="2162">
      <x:c r="A2162" s="1"/>
      <x:c r="B2162" s="1"/>
      <x:c r="C2162" s="1"/>
      <x:c r="D2162" s="1"/>
      <x:c r="E2162" s="1"/>
      <x:c r="F2162" s="1"/>
      <x:c r="G2162" s="1"/>
      <x:c r="H2162" s="1"/>
      <x:c r="I2162" s="1"/>
      <x:c r="J2162" s="1"/>
      <x:c r="K2162" s="1"/>
      <x:c r="L2162" s="1"/>
      <x:c r="M2162" s="1"/>
      <x:c r="N2162" s="1"/>
      <x:c r="O2162" s="1"/>
      <x:c r="P2162" s="1"/>
      <x:c r="Q2162" s="1"/>
      <x:c r="R2162" s="1"/>
      <x:c r="S2162" s="1"/>
      <x:c r="T2162" s="1"/>
      <x:c r="U2162" s="1"/>
      <x:c r="V2162" s="1"/>
      <x:c r="W2162" s="1"/>
      <x:c r="X2162" s="1"/>
      <x:c r="Y2162" s="1"/>
      <x:c r="Z2162" s="1"/>
    </x:row>
    <x:row r="2163">
      <x:c r="A2163" s="1"/>
      <x:c r="B2163" s="1"/>
      <x:c r="C2163" s="1"/>
      <x:c r="D2163" s="1"/>
      <x:c r="E2163" s="1"/>
      <x:c r="F2163" s="1"/>
      <x:c r="G2163" s="1"/>
      <x:c r="H2163" s="1"/>
      <x:c r="I2163" s="1"/>
      <x:c r="J2163" s="1"/>
      <x:c r="K2163" s="1"/>
      <x:c r="L2163" s="1"/>
      <x:c r="M2163" s="1"/>
      <x:c r="N2163" s="1"/>
      <x:c r="O2163" s="1"/>
      <x:c r="P2163" s="1"/>
      <x:c r="Q2163" s="1"/>
      <x:c r="R2163" s="1"/>
      <x:c r="S2163" s="1"/>
      <x:c r="T2163" s="1"/>
      <x:c r="U2163" s="1"/>
      <x:c r="V2163" s="1"/>
      <x:c r="W2163" s="1"/>
      <x:c r="X2163" s="1"/>
      <x:c r="Y2163" s="1"/>
      <x:c r="Z2163" s="1"/>
    </x:row>
    <x:row r="2164">
      <x:c r="A2164" s="1"/>
      <x:c r="B2164" s="1"/>
      <x:c r="C2164" s="1"/>
      <x:c r="D2164" s="1"/>
      <x:c r="E2164" s="1"/>
      <x:c r="F2164" s="1"/>
      <x:c r="G2164" s="1"/>
      <x:c r="H2164" s="1"/>
      <x:c r="I2164" s="1"/>
      <x:c r="J2164" s="1"/>
      <x:c r="K2164" s="1"/>
      <x:c r="L2164" s="1"/>
      <x:c r="M2164" s="1"/>
      <x:c r="N2164" s="1"/>
      <x:c r="O2164" s="1"/>
      <x:c r="P2164" s="1"/>
      <x:c r="Q2164" s="1"/>
      <x:c r="R2164" s="1"/>
      <x:c r="S2164" s="1"/>
      <x:c r="T2164" s="1"/>
      <x:c r="U2164" s="1"/>
      <x:c r="V2164" s="1"/>
      <x:c r="W2164" s="1"/>
      <x:c r="X2164" s="1"/>
      <x:c r="Y2164" s="1"/>
      <x:c r="Z2164" s="1"/>
    </x:row>
    <x:row r="2165">
      <x:c r="A2165" s="1"/>
      <x:c r="B2165" s="1"/>
      <x:c r="C2165" s="1"/>
      <x:c r="D2165" s="1"/>
      <x:c r="E2165" s="1"/>
      <x:c r="F2165" s="1"/>
      <x:c r="G2165" s="1"/>
      <x:c r="H2165" s="1"/>
      <x:c r="I2165" s="1"/>
      <x:c r="J2165" s="1"/>
      <x:c r="K2165" s="1"/>
      <x:c r="L2165" s="1"/>
      <x:c r="M2165" s="1"/>
      <x:c r="N2165" s="1"/>
      <x:c r="O2165" s="1"/>
      <x:c r="P2165" s="1"/>
      <x:c r="Q2165" s="1"/>
      <x:c r="R2165" s="1"/>
      <x:c r="S2165" s="1"/>
      <x:c r="T2165" s="1"/>
      <x:c r="U2165" s="1"/>
      <x:c r="V2165" s="1"/>
      <x:c r="W2165" s="1"/>
      <x:c r="X2165" s="1"/>
      <x:c r="Y2165" s="1"/>
      <x:c r="Z2165" s="1"/>
    </x:row>
    <x:row r="2166">
      <x:c r="A2166" s="1"/>
      <x:c r="B2166" s="1"/>
      <x:c r="C2166" s="1"/>
      <x:c r="D2166" s="1"/>
      <x:c r="E2166" s="1"/>
      <x:c r="F2166" s="1"/>
      <x:c r="G2166" s="1"/>
      <x:c r="H2166" s="1"/>
      <x:c r="I2166" s="1"/>
      <x:c r="J2166" s="1"/>
      <x:c r="K2166" s="1"/>
      <x:c r="L2166" s="1"/>
      <x:c r="M2166" s="1"/>
      <x:c r="N2166" s="1"/>
      <x:c r="O2166" s="1"/>
      <x:c r="P2166" s="1"/>
      <x:c r="Q2166" s="1"/>
      <x:c r="R2166" s="1"/>
      <x:c r="S2166" s="1"/>
      <x:c r="T2166" s="1"/>
      <x:c r="U2166" s="1"/>
      <x:c r="V2166" s="1"/>
      <x:c r="W2166" s="1"/>
      <x:c r="X2166" s="1"/>
      <x:c r="Y2166" s="1"/>
      <x:c r="Z2166" s="1"/>
    </x:row>
    <x:row r="2167">
      <x:c r="A2167" s="1"/>
      <x:c r="B2167" s="1"/>
      <x:c r="C2167" s="1"/>
      <x:c r="D2167" s="1"/>
      <x:c r="E2167" s="1"/>
      <x:c r="F2167" s="1"/>
      <x:c r="G2167" s="1"/>
      <x:c r="H2167" s="1"/>
      <x:c r="I2167" s="1"/>
      <x:c r="J2167" s="1"/>
      <x:c r="K2167" s="1"/>
      <x:c r="L2167" s="1"/>
      <x:c r="M2167" s="1"/>
      <x:c r="N2167" s="1"/>
      <x:c r="O2167" s="1"/>
      <x:c r="P2167" s="1"/>
      <x:c r="Q2167" s="1"/>
      <x:c r="R2167" s="1"/>
      <x:c r="S2167" s="1"/>
      <x:c r="T2167" s="1"/>
      <x:c r="U2167" s="1"/>
      <x:c r="V2167" s="1"/>
      <x:c r="W2167" s="1"/>
      <x:c r="X2167" s="1"/>
      <x:c r="Y2167" s="1"/>
      <x:c r="Z2167" s="1"/>
    </x:row>
    <x:row r="2168">
      <x:c r="A2168" s="1"/>
      <x:c r="B2168" s="1"/>
      <x:c r="C2168" s="1"/>
      <x:c r="D2168" s="1"/>
      <x:c r="E2168" s="1"/>
      <x:c r="F2168" s="1"/>
      <x:c r="G2168" s="1"/>
      <x:c r="H2168" s="1"/>
      <x:c r="I2168" s="1"/>
      <x:c r="J2168" s="1"/>
      <x:c r="K2168" s="1"/>
      <x:c r="L2168" s="1"/>
      <x:c r="M2168" s="1"/>
      <x:c r="N2168" s="1"/>
      <x:c r="O2168" s="1"/>
      <x:c r="P2168" s="1"/>
      <x:c r="Q2168" s="1"/>
      <x:c r="R2168" s="1"/>
      <x:c r="S2168" s="1"/>
      <x:c r="T2168" s="1"/>
      <x:c r="U2168" s="1"/>
      <x:c r="V2168" s="1"/>
      <x:c r="W2168" s="1"/>
      <x:c r="X2168" s="1"/>
      <x:c r="Y2168" s="1"/>
      <x:c r="Z2168" s="1"/>
    </x:row>
    <x:row r="2169">
      <x:c r="A2169" s="1"/>
      <x:c r="B2169" s="1"/>
      <x:c r="C2169" s="1"/>
      <x:c r="D2169" s="1"/>
      <x:c r="E2169" s="1"/>
      <x:c r="F2169" s="1"/>
      <x:c r="G2169" s="1"/>
      <x:c r="H2169" s="1"/>
      <x:c r="I2169" s="1"/>
      <x:c r="J2169" s="1"/>
      <x:c r="K2169" s="1"/>
      <x:c r="L2169" s="1"/>
      <x:c r="M2169" s="1"/>
      <x:c r="N2169" s="1"/>
      <x:c r="O2169" s="1"/>
      <x:c r="P2169" s="1"/>
      <x:c r="Q2169" s="1"/>
      <x:c r="R2169" s="1"/>
      <x:c r="S2169" s="1"/>
      <x:c r="T2169" s="1"/>
      <x:c r="U2169" s="1"/>
      <x:c r="V2169" s="1"/>
      <x:c r="W2169" s="1"/>
      <x:c r="X2169" s="1"/>
      <x:c r="Y2169" s="1"/>
      <x:c r="Z2169" s="1"/>
    </x:row>
    <x:row r="2170">
      <x:c r="A2170" s="1"/>
      <x:c r="B2170" s="1"/>
      <x:c r="C2170" s="1"/>
      <x:c r="D2170" s="1"/>
      <x:c r="E2170" s="1"/>
      <x:c r="F2170" s="1"/>
      <x:c r="G2170" s="1"/>
      <x:c r="H2170" s="1"/>
      <x:c r="I2170" s="1"/>
      <x:c r="J2170" s="1"/>
      <x:c r="K2170" s="1"/>
      <x:c r="L2170" s="1"/>
      <x:c r="M2170" s="1"/>
      <x:c r="N2170" s="1"/>
      <x:c r="O2170" s="1"/>
      <x:c r="P2170" s="1"/>
      <x:c r="Q2170" s="1"/>
      <x:c r="R2170" s="1"/>
      <x:c r="S2170" s="1"/>
      <x:c r="T2170" s="1"/>
      <x:c r="U2170" s="1"/>
      <x:c r="V2170" s="1"/>
      <x:c r="W2170" s="1"/>
      <x:c r="X2170" s="1"/>
      <x:c r="Y2170" s="1"/>
      <x:c r="Z2170" s="1"/>
    </x:row>
    <x:row r="2171">
      <x:c r="A2171" s="1"/>
      <x:c r="B2171" s="1"/>
      <x:c r="C2171" s="1"/>
      <x:c r="D2171" s="1"/>
      <x:c r="E2171" s="1"/>
      <x:c r="F2171" s="1"/>
      <x:c r="G2171" s="1"/>
      <x:c r="H2171" s="1"/>
      <x:c r="I2171" s="1"/>
      <x:c r="J2171" s="1"/>
      <x:c r="K2171" s="1"/>
      <x:c r="L2171" s="1"/>
      <x:c r="M2171" s="1"/>
      <x:c r="N2171" s="1"/>
      <x:c r="O2171" s="1"/>
      <x:c r="P2171" s="1"/>
      <x:c r="Q2171" s="1"/>
      <x:c r="R2171" s="1"/>
      <x:c r="S2171" s="1"/>
      <x:c r="T2171" s="1"/>
      <x:c r="U2171" s="1"/>
      <x:c r="V2171" s="1"/>
      <x:c r="W2171" s="1"/>
      <x:c r="X2171" s="1"/>
      <x:c r="Y2171" s="1"/>
      <x:c r="Z2171" s="1"/>
    </x:row>
    <x:row r="2172">
      <x:c r="A2172" s="1"/>
      <x:c r="B2172" s="1"/>
      <x:c r="C2172" s="1"/>
      <x:c r="D2172" s="1"/>
      <x:c r="E2172" s="1"/>
      <x:c r="F2172" s="1"/>
      <x:c r="G2172" s="1"/>
      <x:c r="H2172" s="1"/>
      <x:c r="I2172" s="1"/>
      <x:c r="J2172" s="1"/>
      <x:c r="K2172" s="1"/>
      <x:c r="L2172" s="1"/>
      <x:c r="M2172" s="1"/>
      <x:c r="N2172" s="1"/>
      <x:c r="O2172" s="1"/>
      <x:c r="P2172" s="1"/>
      <x:c r="Q2172" s="1"/>
      <x:c r="R2172" s="1"/>
      <x:c r="S2172" s="1"/>
      <x:c r="T2172" s="1"/>
      <x:c r="U2172" s="1"/>
      <x:c r="V2172" s="1"/>
      <x:c r="W2172" s="1"/>
      <x:c r="X2172" s="1"/>
      <x:c r="Y2172" s="1"/>
      <x:c r="Z2172" s="1"/>
    </x:row>
    <x:row r="2173">
      <x:c r="A2173" s="1"/>
      <x:c r="B2173" s="1"/>
      <x:c r="C2173" s="1"/>
      <x:c r="D2173" s="1"/>
      <x:c r="E2173" s="1"/>
      <x:c r="F2173" s="1"/>
      <x:c r="G2173" s="1"/>
      <x:c r="H2173" s="1"/>
      <x:c r="I2173" s="1"/>
      <x:c r="J2173" s="1"/>
      <x:c r="K2173" s="1"/>
      <x:c r="L2173" s="1"/>
      <x:c r="M2173" s="1"/>
      <x:c r="N2173" s="1"/>
      <x:c r="O2173" s="1"/>
      <x:c r="P2173" s="1"/>
      <x:c r="Q2173" s="1"/>
      <x:c r="R2173" s="1"/>
      <x:c r="S2173" s="1"/>
      <x:c r="T2173" s="1"/>
      <x:c r="U2173" s="1"/>
      <x:c r="V2173" s="1"/>
      <x:c r="W2173" s="1"/>
      <x:c r="X2173" s="1"/>
      <x:c r="Y2173" s="1"/>
      <x:c r="Z2173" s="1"/>
    </x:row>
    <x:row r="2174">
      <x:c r="A2174" s="1"/>
      <x:c r="B2174" s="1"/>
      <x:c r="C2174" s="1"/>
      <x:c r="D2174" s="1"/>
      <x:c r="E2174" s="1"/>
      <x:c r="F2174" s="1"/>
      <x:c r="G2174" s="1"/>
      <x:c r="H2174" s="1"/>
      <x:c r="I2174" s="1"/>
      <x:c r="J2174" s="1"/>
      <x:c r="K2174" s="1"/>
      <x:c r="L2174" s="1"/>
      <x:c r="M2174" s="1"/>
      <x:c r="N2174" s="1"/>
      <x:c r="O2174" s="1"/>
      <x:c r="P2174" s="1"/>
      <x:c r="Q2174" s="1"/>
      <x:c r="R2174" s="1"/>
      <x:c r="S2174" s="1"/>
      <x:c r="T2174" s="1"/>
      <x:c r="U2174" s="1"/>
      <x:c r="V2174" s="1"/>
      <x:c r="W2174" s="1"/>
      <x:c r="X2174" s="1"/>
      <x:c r="Y2174" s="1"/>
      <x:c r="Z2174" s="1"/>
    </x:row>
    <x:row r="2175">
      <x:c r="A2175" s="1"/>
      <x:c r="B2175" s="1"/>
      <x:c r="C2175" s="1"/>
      <x:c r="D2175" s="1"/>
      <x:c r="E2175" s="1"/>
      <x:c r="F2175" s="1"/>
      <x:c r="G2175" s="1"/>
      <x:c r="H2175" s="1"/>
      <x:c r="I2175" s="1"/>
      <x:c r="J2175" s="1"/>
      <x:c r="K2175" s="1"/>
      <x:c r="L2175" s="1"/>
      <x:c r="M2175" s="1"/>
      <x:c r="N2175" s="1"/>
      <x:c r="O2175" s="1"/>
      <x:c r="P2175" s="1"/>
      <x:c r="Q2175" s="1"/>
      <x:c r="R2175" s="1"/>
      <x:c r="S2175" s="1"/>
      <x:c r="T2175" s="1"/>
      <x:c r="U2175" s="1"/>
      <x:c r="V2175" s="1"/>
      <x:c r="W2175" s="1"/>
      <x:c r="X2175" s="1"/>
      <x:c r="Y2175" s="1"/>
      <x:c r="Z2175" s="1"/>
    </x:row>
    <x:row r="2176">
      <x:c r="A2176" s="1"/>
      <x:c r="B2176" s="1"/>
      <x:c r="C2176" s="1"/>
      <x:c r="D2176" s="1"/>
      <x:c r="E2176" s="1"/>
      <x:c r="F2176" s="1"/>
      <x:c r="G2176" s="1"/>
      <x:c r="H2176" s="1"/>
      <x:c r="I2176" s="1"/>
      <x:c r="J2176" s="1"/>
      <x:c r="K2176" s="1"/>
      <x:c r="L2176" s="1"/>
      <x:c r="M2176" s="1"/>
      <x:c r="N2176" s="1"/>
      <x:c r="O2176" s="1"/>
      <x:c r="P2176" s="1"/>
      <x:c r="Q2176" s="1"/>
      <x:c r="R2176" s="1"/>
      <x:c r="S2176" s="1"/>
      <x:c r="T2176" s="1"/>
      <x:c r="U2176" s="1"/>
      <x:c r="V2176" s="1"/>
      <x:c r="W2176" s="1"/>
      <x:c r="X2176" s="1"/>
      <x:c r="Y2176" s="1"/>
      <x:c r="Z2176" s="1"/>
    </x:row>
    <x:row r="2177">
      <x:c r="A2177" s="1"/>
      <x:c r="B2177" s="1"/>
      <x:c r="C2177" s="1"/>
      <x:c r="D2177" s="1"/>
      <x:c r="E2177" s="1"/>
      <x:c r="F2177" s="1"/>
      <x:c r="G2177" s="1"/>
      <x:c r="H2177" s="1"/>
      <x:c r="I2177" s="1"/>
      <x:c r="J2177" s="1"/>
      <x:c r="K2177" s="1"/>
      <x:c r="L2177" s="1"/>
      <x:c r="M2177" s="1"/>
      <x:c r="N2177" s="1"/>
      <x:c r="O2177" s="1"/>
      <x:c r="P2177" s="1"/>
      <x:c r="Q2177" s="1"/>
      <x:c r="R2177" s="1"/>
      <x:c r="S2177" s="1"/>
      <x:c r="T2177" s="1"/>
      <x:c r="U2177" s="1"/>
      <x:c r="V2177" s="1"/>
      <x:c r="W2177" s="1"/>
      <x:c r="X2177" s="1"/>
      <x:c r="Y2177" s="1"/>
      <x:c r="Z2177" s="1"/>
    </x:row>
    <x:row r="2178">
      <x:c r="A2178" s="1"/>
      <x:c r="B2178" s="1"/>
      <x:c r="C2178" s="1"/>
      <x:c r="D2178" s="1"/>
      <x:c r="E2178" s="1"/>
      <x:c r="F2178" s="1"/>
      <x:c r="G2178" s="1"/>
      <x:c r="H2178" s="1"/>
      <x:c r="I2178" s="1"/>
      <x:c r="J2178" s="1"/>
      <x:c r="K2178" s="1"/>
      <x:c r="L2178" s="1"/>
      <x:c r="M2178" s="1"/>
      <x:c r="N2178" s="1"/>
      <x:c r="O2178" s="1"/>
      <x:c r="P2178" s="1"/>
      <x:c r="Q2178" s="1"/>
      <x:c r="R2178" s="1"/>
      <x:c r="S2178" s="1"/>
      <x:c r="T2178" s="1"/>
      <x:c r="U2178" s="1"/>
      <x:c r="V2178" s="1"/>
      <x:c r="W2178" s="1"/>
      <x:c r="X2178" s="1"/>
      <x:c r="Y2178" s="1"/>
      <x:c r="Z2178" s="1"/>
    </x:row>
    <x:row r="2179">
      <x:c r="A2179" s="1"/>
      <x:c r="B2179" s="1"/>
      <x:c r="C2179" s="1"/>
      <x:c r="D2179" s="1"/>
      <x:c r="E2179" s="1"/>
      <x:c r="F2179" s="1"/>
      <x:c r="G2179" s="1"/>
      <x:c r="H2179" s="1"/>
      <x:c r="I2179" s="1"/>
      <x:c r="J2179" s="1"/>
      <x:c r="K2179" s="1"/>
      <x:c r="L2179" s="1"/>
      <x:c r="M2179" s="1"/>
      <x:c r="N2179" s="1"/>
      <x:c r="O2179" s="1"/>
      <x:c r="P2179" s="1"/>
      <x:c r="Q2179" s="1"/>
      <x:c r="R2179" s="1"/>
      <x:c r="S2179" s="1"/>
      <x:c r="T2179" s="1"/>
      <x:c r="U2179" s="1"/>
      <x:c r="V2179" s="1"/>
      <x:c r="W2179" s="1"/>
      <x:c r="X2179" s="1"/>
      <x:c r="Y2179" s="1"/>
      <x:c r="Z2179" s="1"/>
    </x:row>
    <x:row r="2180">
      <x:c r="A2180" s="1"/>
      <x:c r="B2180" s="1"/>
      <x:c r="C2180" s="1"/>
      <x:c r="D2180" s="1"/>
      <x:c r="E2180" s="1"/>
      <x:c r="F2180" s="1"/>
      <x:c r="G2180" s="1"/>
      <x:c r="H2180" s="1"/>
      <x:c r="I2180" s="1"/>
      <x:c r="J2180" s="1"/>
      <x:c r="K2180" s="1"/>
      <x:c r="L2180" s="1"/>
      <x:c r="M2180" s="1"/>
      <x:c r="N2180" s="1"/>
      <x:c r="O2180" s="1"/>
      <x:c r="P2180" s="1"/>
      <x:c r="Q2180" s="1"/>
      <x:c r="R2180" s="1"/>
      <x:c r="S2180" s="1"/>
      <x:c r="T2180" s="1"/>
      <x:c r="U2180" s="1"/>
      <x:c r="V2180" s="1"/>
      <x:c r="W2180" s="1"/>
      <x:c r="X2180" s="1"/>
      <x:c r="Y2180" s="1"/>
      <x:c r="Z2180" s="1"/>
    </x:row>
    <x:row r="2181">
      <x:c r="A2181" s="1"/>
      <x:c r="B2181" s="1"/>
      <x:c r="C2181" s="1"/>
      <x:c r="D2181" s="1"/>
      <x:c r="E2181" s="1"/>
      <x:c r="F2181" s="1"/>
      <x:c r="G2181" s="1"/>
      <x:c r="H2181" s="1"/>
      <x:c r="I2181" s="1"/>
      <x:c r="J2181" s="1"/>
      <x:c r="K2181" s="1"/>
      <x:c r="L2181" s="1"/>
      <x:c r="M2181" s="1"/>
      <x:c r="N2181" s="1"/>
      <x:c r="O2181" s="1"/>
      <x:c r="P2181" s="1"/>
      <x:c r="Q2181" s="1"/>
      <x:c r="R2181" s="1"/>
      <x:c r="S2181" s="1"/>
      <x:c r="T2181" s="1"/>
      <x:c r="U2181" s="1"/>
      <x:c r="V2181" s="1"/>
      <x:c r="W2181" s="1"/>
      <x:c r="X2181" s="1"/>
      <x:c r="Y2181" s="1"/>
      <x:c r="Z2181" s="1"/>
    </x:row>
    <x:row r="2182">
      <x:c r="A2182" s="1"/>
      <x:c r="B2182" s="1"/>
      <x:c r="C2182" s="1"/>
      <x:c r="D2182" s="1"/>
      <x:c r="E2182" s="1"/>
      <x:c r="F2182" s="1"/>
      <x:c r="G2182" s="1"/>
      <x:c r="H2182" s="1"/>
      <x:c r="I2182" s="1"/>
      <x:c r="J2182" s="1"/>
      <x:c r="K2182" s="1"/>
      <x:c r="L2182" s="1"/>
      <x:c r="M2182" s="1"/>
      <x:c r="N2182" s="1"/>
      <x:c r="O2182" s="1"/>
      <x:c r="P2182" s="1"/>
      <x:c r="Q2182" s="1"/>
      <x:c r="R2182" s="1"/>
      <x:c r="S2182" s="1"/>
      <x:c r="T2182" s="1"/>
      <x:c r="U2182" s="1"/>
      <x:c r="V2182" s="1"/>
      <x:c r="W2182" s="1"/>
      <x:c r="X2182" s="1"/>
      <x:c r="Y2182" s="1"/>
      <x:c r="Z2182" s="1"/>
    </x:row>
    <x:row r="2183">
      <x:c r="A2183" s="1"/>
      <x:c r="B2183" s="1"/>
      <x:c r="C2183" s="1"/>
      <x:c r="D2183" s="1"/>
      <x:c r="E2183" s="1"/>
      <x:c r="F2183" s="1"/>
      <x:c r="G2183" s="1"/>
      <x:c r="H2183" s="1"/>
      <x:c r="I2183" s="1"/>
      <x:c r="J2183" s="1"/>
      <x:c r="K2183" s="1"/>
      <x:c r="L2183" s="1"/>
      <x:c r="M2183" s="1"/>
      <x:c r="N2183" s="1"/>
      <x:c r="O2183" s="1"/>
      <x:c r="P2183" s="1"/>
      <x:c r="Q2183" s="1"/>
      <x:c r="R2183" s="1"/>
      <x:c r="S2183" s="1"/>
      <x:c r="T2183" s="1"/>
      <x:c r="U2183" s="1"/>
      <x:c r="V2183" s="1"/>
      <x:c r="W2183" s="1"/>
      <x:c r="X2183" s="1"/>
      <x:c r="Y2183" s="1"/>
      <x:c r="Z2183" s="1"/>
    </x:row>
    <x:row r="2184">
      <x:c r="A2184" s="1"/>
      <x:c r="B2184" s="1"/>
      <x:c r="C2184" s="1"/>
      <x:c r="D2184" s="1"/>
      <x:c r="E2184" s="1"/>
      <x:c r="F2184" s="1"/>
      <x:c r="G2184" s="1"/>
      <x:c r="H2184" s="1"/>
      <x:c r="I2184" s="1"/>
      <x:c r="J2184" s="1"/>
      <x:c r="K2184" s="1"/>
      <x:c r="L2184" s="1"/>
      <x:c r="M2184" s="1"/>
      <x:c r="N2184" s="1"/>
      <x:c r="O2184" s="1"/>
      <x:c r="P2184" s="1"/>
      <x:c r="Q2184" s="1"/>
      <x:c r="R2184" s="1"/>
      <x:c r="S2184" s="1"/>
      <x:c r="T2184" s="1"/>
      <x:c r="U2184" s="1"/>
      <x:c r="V2184" s="1"/>
      <x:c r="W2184" s="1"/>
      <x:c r="X2184" s="1"/>
      <x:c r="Y2184" s="1"/>
      <x:c r="Z2184" s="1"/>
    </x:row>
    <x:row r="2185">
      <x:c r="A2185" s="1"/>
      <x:c r="B2185" s="1"/>
      <x:c r="C2185" s="1"/>
      <x:c r="D2185" s="1"/>
      <x:c r="E2185" s="1"/>
      <x:c r="F2185" s="1"/>
      <x:c r="G2185" s="1"/>
      <x:c r="H2185" s="1"/>
      <x:c r="I2185" s="1"/>
      <x:c r="J2185" s="1"/>
      <x:c r="K2185" s="1"/>
      <x:c r="L2185" s="1"/>
      <x:c r="M2185" s="1"/>
      <x:c r="N2185" s="1"/>
      <x:c r="O2185" s="1"/>
      <x:c r="P2185" s="1"/>
      <x:c r="Q2185" s="1"/>
      <x:c r="R2185" s="1"/>
      <x:c r="S2185" s="1"/>
      <x:c r="T2185" s="1"/>
      <x:c r="U2185" s="1"/>
      <x:c r="V2185" s="1"/>
      <x:c r="W2185" s="1"/>
      <x:c r="X2185" s="1"/>
      <x:c r="Y2185" s="1"/>
      <x:c r="Z2185" s="1"/>
    </x:row>
    <x:row r="2186">
      <x:c r="A2186" s="1"/>
      <x:c r="B2186" s="1"/>
      <x:c r="C2186" s="1"/>
      <x:c r="D2186" s="1"/>
      <x:c r="E2186" s="1"/>
      <x:c r="F2186" s="1"/>
      <x:c r="G2186" s="1"/>
      <x:c r="H2186" s="1"/>
      <x:c r="I2186" s="1"/>
      <x:c r="J2186" s="1"/>
      <x:c r="K2186" s="1"/>
      <x:c r="L2186" s="1"/>
      <x:c r="M2186" s="1"/>
      <x:c r="N2186" s="1"/>
      <x:c r="O2186" s="1"/>
      <x:c r="P2186" s="1"/>
      <x:c r="Q2186" s="1"/>
      <x:c r="R2186" s="1"/>
      <x:c r="S2186" s="1"/>
      <x:c r="T2186" s="1"/>
      <x:c r="U2186" s="1"/>
      <x:c r="V2186" s="1"/>
      <x:c r="W2186" s="1"/>
      <x:c r="X2186" s="1"/>
      <x:c r="Y2186" s="1"/>
      <x:c r="Z2186" s="1"/>
    </x:row>
    <x:row r="2187">
      <x:c r="A2187" s="1"/>
      <x:c r="B2187" s="1"/>
      <x:c r="C2187" s="1"/>
      <x:c r="D2187" s="1"/>
      <x:c r="E2187" s="1"/>
      <x:c r="F2187" s="1"/>
      <x:c r="G2187" s="1"/>
      <x:c r="H2187" s="1"/>
      <x:c r="I2187" s="1"/>
      <x:c r="J2187" s="1"/>
      <x:c r="K2187" s="1"/>
      <x:c r="L2187" s="1"/>
      <x:c r="M2187" s="1"/>
      <x:c r="N2187" s="1"/>
      <x:c r="O2187" s="1"/>
      <x:c r="P2187" s="1"/>
      <x:c r="Q2187" s="1"/>
      <x:c r="R2187" s="1"/>
      <x:c r="S2187" s="1"/>
      <x:c r="T2187" s="1"/>
      <x:c r="U2187" s="1"/>
      <x:c r="V2187" s="1"/>
      <x:c r="W2187" s="1"/>
      <x:c r="X2187" s="1"/>
      <x:c r="Y2187" s="1"/>
      <x:c r="Z2187" s="1"/>
    </x:row>
    <x:row r="2188">
      <x:c r="A2188" s="1"/>
      <x:c r="B2188" s="1"/>
      <x:c r="C2188" s="1"/>
      <x:c r="D2188" s="1"/>
      <x:c r="E2188" s="1"/>
      <x:c r="F2188" s="1"/>
      <x:c r="G2188" s="1"/>
      <x:c r="H2188" s="1"/>
      <x:c r="I2188" s="1"/>
      <x:c r="J2188" s="1"/>
      <x:c r="K2188" s="1"/>
      <x:c r="L2188" s="1"/>
      <x:c r="M2188" s="1"/>
      <x:c r="N2188" s="1"/>
      <x:c r="O2188" s="1"/>
      <x:c r="P2188" s="1"/>
      <x:c r="Q2188" s="1"/>
      <x:c r="R2188" s="1"/>
      <x:c r="S2188" s="1"/>
      <x:c r="T2188" s="1"/>
      <x:c r="U2188" s="1"/>
      <x:c r="V2188" s="1"/>
      <x:c r="W2188" s="1"/>
      <x:c r="X2188" s="1"/>
      <x:c r="Y2188" s="1"/>
      <x:c r="Z2188" s="1"/>
    </x:row>
    <x:row r="2189">
      <x:c r="A2189" s="1"/>
      <x:c r="B2189" s="1"/>
      <x:c r="C2189" s="1"/>
      <x:c r="D2189" s="1"/>
      <x:c r="E2189" s="1"/>
      <x:c r="F2189" s="1"/>
      <x:c r="G2189" s="1"/>
      <x:c r="H2189" s="1"/>
      <x:c r="I2189" s="1"/>
      <x:c r="J2189" s="1"/>
      <x:c r="K2189" s="1"/>
      <x:c r="L2189" s="1"/>
      <x:c r="M2189" s="1"/>
      <x:c r="N2189" s="1"/>
      <x:c r="O2189" s="1"/>
      <x:c r="P2189" s="1"/>
      <x:c r="Q2189" s="1"/>
      <x:c r="R2189" s="1"/>
      <x:c r="S2189" s="1"/>
      <x:c r="T2189" s="1"/>
      <x:c r="U2189" s="1"/>
      <x:c r="V2189" s="1"/>
      <x:c r="W2189" s="1"/>
      <x:c r="X2189" s="1"/>
      <x:c r="Y2189" s="1"/>
      <x:c r="Z2189" s="1"/>
    </x:row>
    <x:row r="2190">
      <x:c r="A2190" s="1"/>
      <x:c r="B2190" s="1"/>
      <x:c r="C2190" s="1"/>
      <x:c r="D2190" s="1"/>
      <x:c r="E2190" s="1"/>
      <x:c r="F2190" s="1"/>
      <x:c r="G2190" s="1"/>
      <x:c r="H2190" s="1"/>
      <x:c r="I2190" s="1"/>
      <x:c r="J2190" s="1"/>
      <x:c r="K2190" s="1"/>
      <x:c r="L2190" s="1"/>
      <x:c r="M2190" s="1"/>
      <x:c r="N2190" s="1"/>
      <x:c r="O2190" s="1"/>
      <x:c r="P2190" s="1"/>
      <x:c r="Q2190" s="1"/>
      <x:c r="R2190" s="1"/>
      <x:c r="S2190" s="1"/>
      <x:c r="T2190" s="1"/>
      <x:c r="U2190" s="1"/>
      <x:c r="V2190" s="1"/>
      <x:c r="W2190" s="1"/>
      <x:c r="X2190" s="1"/>
      <x:c r="Y2190" s="1"/>
      <x:c r="Z2190" s="1"/>
    </x:row>
    <x:row r="2191">
      <x:c r="A2191" s="1"/>
      <x:c r="B2191" s="1"/>
      <x:c r="C2191" s="1"/>
      <x:c r="D2191" s="1"/>
      <x:c r="E2191" s="1"/>
      <x:c r="F2191" s="1"/>
      <x:c r="G2191" s="1"/>
      <x:c r="H2191" s="1"/>
      <x:c r="I2191" s="1"/>
      <x:c r="J2191" s="1"/>
      <x:c r="K2191" s="1"/>
      <x:c r="L2191" s="1"/>
      <x:c r="M2191" s="1"/>
      <x:c r="N2191" s="1"/>
      <x:c r="O2191" s="1"/>
      <x:c r="P2191" s="1"/>
      <x:c r="Q2191" s="1"/>
      <x:c r="R2191" s="1"/>
      <x:c r="S2191" s="1"/>
      <x:c r="T2191" s="1"/>
      <x:c r="U2191" s="1"/>
      <x:c r="V2191" s="1"/>
      <x:c r="W2191" s="1"/>
      <x:c r="X2191" s="1"/>
      <x:c r="Y2191" s="1"/>
      <x:c r="Z2191" s="1"/>
    </x:row>
    <x:row r="2192">
      <x:c r="A2192" s="1"/>
      <x:c r="B2192" s="1"/>
      <x:c r="C2192" s="1"/>
      <x:c r="D2192" s="1"/>
      <x:c r="E2192" s="1"/>
      <x:c r="F2192" s="1"/>
      <x:c r="G2192" s="1"/>
      <x:c r="H2192" s="1"/>
      <x:c r="I2192" s="1"/>
      <x:c r="J2192" s="1"/>
      <x:c r="K2192" s="1"/>
      <x:c r="L2192" s="1"/>
      <x:c r="M2192" s="1"/>
      <x:c r="N2192" s="1"/>
      <x:c r="O2192" s="1"/>
      <x:c r="P2192" s="1"/>
      <x:c r="Q2192" s="1"/>
      <x:c r="R2192" s="1"/>
      <x:c r="S2192" s="1"/>
      <x:c r="T2192" s="1"/>
      <x:c r="U2192" s="1"/>
      <x:c r="V2192" s="1"/>
      <x:c r="W2192" s="1"/>
      <x:c r="X2192" s="1"/>
      <x:c r="Y2192" s="1"/>
      <x:c r="Z2192" s="1"/>
    </x:row>
    <x:row r="2193">
      <x:c r="A2193" s="1"/>
      <x:c r="B2193" s="1"/>
      <x:c r="C2193" s="1"/>
      <x:c r="D2193" s="1"/>
      <x:c r="E2193" s="1"/>
      <x:c r="F2193" s="1"/>
      <x:c r="G2193" s="1"/>
      <x:c r="H2193" s="1"/>
      <x:c r="I2193" s="1"/>
      <x:c r="J2193" s="1"/>
      <x:c r="K2193" s="1"/>
      <x:c r="L2193" s="1"/>
      <x:c r="M2193" s="1"/>
      <x:c r="N2193" s="1"/>
      <x:c r="O2193" s="1"/>
      <x:c r="P2193" s="1"/>
      <x:c r="Q2193" s="1"/>
      <x:c r="R2193" s="1"/>
      <x:c r="S2193" s="1"/>
      <x:c r="T2193" s="1"/>
      <x:c r="U2193" s="1"/>
      <x:c r="V2193" s="1"/>
      <x:c r="W2193" s="1"/>
      <x:c r="X2193" s="1"/>
      <x:c r="Y2193" s="1"/>
      <x:c r="Z2193" s="1"/>
    </x:row>
    <x:row r="2194">
      <x:c r="A2194" s="1"/>
      <x:c r="B2194" s="1"/>
      <x:c r="C2194" s="1"/>
      <x:c r="D2194" s="1"/>
      <x:c r="E2194" s="1"/>
      <x:c r="F2194" s="1"/>
      <x:c r="G2194" s="1"/>
      <x:c r="H2194" s="1"/>
      <x:c r="I2194" s="1"/>
      <x:c r="J2194" s="1"/>
      <x:c r="K2194" s="1"/>
      <x:c r="L2194" s="1"/>
      <x:c r="M2194" s="1"/>
      <x:c r="N2194" s="1"/>
      <x:c r="O2194" s="1"/>
      <x:c r="P2194" s="1"/>
      <x:c r="Q2194" s="1"/>
      <x:c r="R2194" s="1"/>
      <x:c r="S2194" s="1"/>
      <x:c r="T2194" s="1"/>
      <x:c r="U2194" s="1"/>
      <x:c r="V2194" s="1"/>
      <x:c r="W2194" s="1"/>
      <x:c r="X2194" s="1"/>
      <x:c r="Y2194" s="1"/>
      <x:c r="Z2194" s="1"/>
    </x:row>
    <x:row r="2195">
      <x:c r="A2195" s="1"/>
      <x:c r="B2195" s="1"/>
      <x:c r="C2195" s="1"/>
      <x:c r="D2195" s="1"/>
      <x:c r="E2195" s="1"/>
      <x:c r="F2195" s="1"/>
      <x:c r="G2195" s="1"/>
      <x:c r="H2195" s="1"/>
      <x:c r="I2195" s="1"/>
      <x:c r="J2195" s="1"/>
      <x:c r="K2195" s="1"/>
      <x:c r="L2195" s="1"/>
      <x:c r="M2195" s="1"/>
      <x:c r="N2195" s="1"/>
      <x:c r="O2195" s="1"/>
      <x:c r="P2195" s="1"/>
      <x:c r="Q2195" s="1"/>
      <x:c r="R2195" s="1"/>
      <x:c r="S2195" s="1"/>
      <x:c r="T2195" s="1"/>
      <x:c r="U2195" s="1"/>
      <x:c r="V2195" s="1"/>
      <x:c r="W2195" s="1"/>
      <x:c r="X2195" s="1"/>
      <x:c r="Y2195" s="1"/>
      <x:c r="Z2195" s="1"/>
    </x:row>
    <x:row r="2196">
      <x:c r="A2196" s="1"/>
      <x:c r="B2196" s="1"/>
      <x:c r="C2196" s="1"/>
      <x:c r="D2196" s="1"/>
      <x:c r="E2196" s="1"/>
      <x:c r="F2196" s="1"/>
      <x:c r="G2196" s="1"/>
      <x:c r="H2196" s="1"/>
      <x:c r="I2196" s="1"/>
      <x:c r="J2196" s="1"/>
      <x:c r="K2196" s="1"/>
      <x:c r="L2196" s="1"/>
      <x:c r="M2196" s="1"/>
      <x:c r="N2196" s="1"/>
      <x:c r="O2196" s="1"/>
      <x:c r="P2196" s="1"/>
      <x:c r="Q2196" s="1"/>
      <x:c r="R2196" s="1"/>
      <x:c r="S2196" s="1"/>
      <x:c r="T2196" s="1"/>
      <x:c r="U2196" s="1"/>
      <x:c r="V2196" s="1"/>
      <x:c r="W2196" s="1"/>
      <x:c r="X2196" s="1"/>
      <x:c r="Y2196" s="1"/>
      <x:c r="Z2196" s="1"/>
    </x:row>
    <x:row r="2197">
      <x:c r="A2197" s="1"/>
      <x:c r="B2197" s="1"/>
      <x:c r="C2197" s="1"/>
      <x:c r="D2197" s="1"/>
      <x:c r="E2197" s="1"/>
      <x:c r="F2197" s="1"/>
      <x:c r="G2197" s="1"/>
      <x:c r="H2197" s="1"/>
      <x:c r="I2197" s="1"/>
      <x:c r="J2197" s="1"/>
      <x:c r="K2197" s="1"/>
      <x:c r="L2197" s="1"/>
      <x:c r="M2197" s="1"/>
      <x:c r="N2197" s="1"/>
      <x:c r="O2197" s="1"/>
      <x:c r="P2197" s="1"/>
      <x:c r="Q2197" s="1"/>
      <x:c r="R2197" s="1"/>
      <x:c r="S2197" s="1"/>
      <x:c r="T2197" s="1"/>
      <x:c r="U2197" s="1"/>
      <x:c r="V2197" s="1"/>
      <x:c r="W2197" s="1"/>
      <x:c r="X2197" s="1"/>
      <x:c r="Y2197" s="1"/>
      <x:c r="Z2197" s="1"/>
    </x:row>
    <x:row r="2198">
      <x:c r="A2198" s="1"/>
      <x:c r="B2198" s="1"/>
      <x:c r="C2198" s="1"/>
      <x:c r="D2198" s="1"/>
      <x:c r="E2198" s="1"/>
      <x:c r="F2198" s="1"/>
      <x:c r="G2198" s="1"/>
      <x:c r="H2198" s="1"/>
      <x:c r="I2198" s="1"/>
      <x:c r="J2198" s="1"/>
      <x:c r="K2198" s="1"/>
      <x:c r="L2198" s="1"/>
      <x:c r="M2198" s="1"/>
      <x:c r="N2198" s="1"/>
      <x:c r="O2198" s="1"/>
      <x:c r="P2198" s="1"/>
      <x:c r="Q2198" s="1"/>
      <x:c r="R2198" s="1"/>
      <x:c r="S2198" s="1"/>
      <x:c r="T2198" s="1"/>
      <x:c r="U2198" s="1"/>
      <x:c r="V2198" s="1"/>
      <x:c r="W2198" s="1"/>
      <x:c r="X2198" s="1"/>
      <x:c r="Y2198" s="1"/>
      <x:c r="Z2198" s="1"/>
    </x:row>
    <x:row r="2199">
      <x:c r="A2199" s="1"/>
      <x:c r="B2199" s="1"/>
      <x:c r="C2199" s="1"/>
      <x:c r="D2199" s="1"/>
      <x:c r="E2199" s="1"/>
      <x:c r="F2199" s="1"/>
      <x:c r="G2199" s="1"/>
      <x:c r="H2199" s="1"/>
      <x:c r="I2199" s="1"/>
      <x:c r="J2199" s="1"/>
      <x:c r="K2199" s="1"/>
      <x:c r="L2199" s="1"/>
      <x:c r="M2199" s="1"/>
      <x:c r="N2199" s="1"/>
      <x:c r="O2199" s="1"/>
      <x:c r="P2199" s="1"/>
      <x:c r="Q2199" s="1"/>
      <x:c r="R2199" s="1"/>
      <x:c r="S2199" s="1"/>
      <x:c r="T2199" s="1"/>
      <x:c r="U2199" s="1"/>
      <x:c r="V2199" s="1"/>
      <x:c r="W2199" s="1"/>
      <x:c r="X2199" s="1"/>
      <x:c r="Y2199" s="1"/>
      <x:c r="Z2199" s="1"/>
    </x:row>
    <x:row r="2200">
      <x:c r="A2200" s="1"/>
      <x:c r="B2200" s="1"/>
      <x:c r="C2200" s="1"/>
      <x:c r="D2200" s="1"/>
      <x:c r="E2200" s="1"/>
      <x:c r="F2200" s="1"/>
      <x:c r="G2200" s="1"/>
      <x:c r="H2200" s="1"/>
      <x:c r="I2200" s="1"/>
      <x:c r="J2200" s="1"/>
      <x:c r="K2200" s="1"/>
      <x:c r="L2200" s="1"/>
      <x:c r="M2200" s="1"/>
      <x:c r="N2200" s="1"/>
      <x:c r="O2200" s="1"/>
      <x:c r="P2200" s="1"/>
      <x:c r="Q2200" s="1"/>
      <x:c r="R2200" s="1"/>
      <x:c r="S2200" s="1"/>
      <x:c r="T2200" s="1"/>
      <x:c r="U2200" s="1"/>
      <x:c r="V2200" s="1"/>
      <x:c r="W2200" s="1"/>
      <x:c r="X2200" s="1"/>
      <x:c r="Y2200" s="1"/>
      <x:c r="Z2200" s="1"/>
    </x:row>
  </x:sheetData>
  <x:pageMargins left="0.7" right="0.7" top="0.75" bottom="0.75" header="0.3" footer="0.3"/>
  <x:tableParts count="1">
    <x:tablePart xmlns:r="http://schemas.openxmlformats.org/officeDocument/2006/relationships" r:id="R6ba1cc1dcb394da4"/>
  </x:tableParts>
</x:worksheet>
</file>